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d.docs.live.net/64cf730e279f236f/Documents/"/>
    </mc:Choice>
  </mc:AlternateContent>
  <xr:revisionPtr revIDLastSave="0" documentId="8_{A8AC6FC1-0EDD-49CE-92EC-E6E71DBEB0A2}" xr6:coauthVersionLast="47" xr6:coauthVersionMax="47" xr10:uidLastSave="{00000000-0000-0000-0000-000000000000}"/>
  <bookViews>
    <workbookView xWindow="-108" yWindow="-108" windowWidth="23256" windowHeight="12456" xr2:uid="{00000000-000D-0000-FFFF-FFFF00000000}"/>
  </bookViews>
  <sheets>
    <sheet name="Daily demand pivot" sheetId="7" r:id="rId1"/>
    <sheet name="weather condition demand pivot " sheetId="9" r:id="rId2"/>
    <sheet name="Holiday vs working day pivot" sheetId="11" r:id="rId3"/>
    <sheet name="Bike demand analysis pivot" sheetId="12" r:id="rId4"/>
    <sheet name="temperature category vs cnt" sheetId="26" r:id="rId5"/>
    <sheet name="final Bike Sharing Data" sheetId="1" r:id="rId6"/>
    <sheet name="kpi1" sheetId="31" r:id="rId7"/>
    <sheet name="merged set1,2" sheetId="5" r:id="rId8"/>
    <sheet name="Data set_1" sheetId="2" r:id="rId9"/>
    <sheet name="Data set_2" sheetId="3" r:id="rId10"/>
    <sheet name="Data set_3" sheetId="4" r:id="rId11"/>
    <sheet name="Dashboard" sheetId="28" r:id="rId12"/>
  </sheets>
  <definedNames>
    <definedName name="_xlcn.WorksheetConnection_Bike_Sharing_Complete_Project1NIKITA.xlsxTable11" hidden="1">Table1[]</definedName>
    <definedName name="ExternalData_1" localSheetId="7" hidden="1">'merged set1,2'!$A$1:$P$612</definedName>
    <definedName name="Slicer_dteday">#N/A</definedName>
    <definedName name="Slicer_hr">#N/A</definedName>
    <definedName name="Slicer_Temperature_category">#N/A</definedName>
    <definedName name="Slicer_Weather_type">#N/A</definedName>
    <definedName name="Slicer_weekday">#N/A</definedName>
  </definedNames>
  <calcPr calcId="181029"/>
  <pivotCaches>
    <pivotCache cacheId="136" r:id="rId13"/>
    <pivotCache cacheId="176" r:id="rId14"/>
    <pivotCache cacheId="209" r:id="rId15"/>
  </pivotCaches>
  <extLst>
    <ext xmlns:x14="http://schemas.microsoft.com/office/spreadsheetml/2009/9/main" uri="{876F7934-8845-4945-9796-88D515C7AA90}">
      <x14:pivotCaches>
        <pivotCache cacheId="137"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ike_Sharing_Complete_Project (1) NIKITA.xlsx!Table1"/>
        </x15:modelTables>
      </x15:dataModel>
    </ext>
  </extLst>
</workbook>
</file>

<file path=xl/calcChain.xml><?xml version="1.0" encoding="utf-8"?>
<calcChain xmlns="http://schemas.openxmlformats.org/spreadsheetml/2006/main">
  <c r="V8" i="1" l="1"/>
  <c r="L913" i="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996" i="1"/>
  <c r="S997" i="1"/>
  <c r="S998" i="1"/>
  <c r="S999" i="1"/>
  <c r="S1000" i="1"/>
  <c r="S1001"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3" i="1"/>
  <c r="S4" i="1"/>
  <c r="S5" i="1"/>
  <c r="S6" i="1"/>
  <c r="S7" i="1"/>
  <c r="S8" i="1"/>
  <c r="S9" i="1"/>
  <c r="S10" i="1"/>
  <c r="S11" i="1"/>
  <c r="S12" i="1"/>
  <c r="S13" i="1"/>
  <c r="S14"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C25" i="3" l="1"/>
  <c r="C39" i="3"/>
  <c r="C612" i="3"/>
  <c r="C71" i="3"/>
  <c r="C34" i="3"/>
  <c r="C19" i="3"/>
  <c r="C60" i="3"/>
  <c r="C45" i="3"/>
  <c r="C67" i="3"/>
  <c r="C50" i="3"/>
  <c r="C10" i="3"/>
  <c r="C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3944CF-558D-4DCF-ABF6-D6387ED76F7F}" keepAlive="1" name="Query - Merge5" description="Connection to the 'Merge5' query in the workbook." type="5" refreshedVersion="8" background="1" saveData="1">
    <dbPr connection="Provider=Microsoft.Mashup.OleDb.1;Data Source=$Workbook$;Location=Merge5;Extended Properties=&quot;&quot;" command="SELECT * FROM [Merge5]"/>
  </connection>
  <connection id="2" xr16:uid="{D51AF7BE-E5FF-4E32-9959-F789BD5F454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FB2FE390-5ED1-4F1C-8BF9-B0F40D1407D1}"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4" xr16:uid="{1B41A4BF-9766-4B52-8C54-AFB4860C5B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538A900-D0A0-4F89-B21B-1790E3989FA3}" name="WorksheetConnection_Bike_Sharing_Complete_Project (1) NIKITA.xlsx!Table1" type="102" refreshedVersion="8" minRefreshableVersion="5">
    <extLst>
      <ext xmlns:x15="http://schemas.microsoft.com/office/spreadsheetml/2010/11/main" uri="{DE250136-89BD-433C-8126-D09CA5730AF9}">
        <x15:connection id="Table1" autoDelete="1">
          <x15:rangePr sourceName="_xlcn.WorksheetConnection_Bike_Sharing_Complete_Project1NIKITA.xlsxTable11"/>
        </x15:connection>
      </ext>
    </extLst>
  </connection>
</connections>
</file>

<file path=xl/sharedStrings.xml><?xml version="1.0" encoding="utf-8"?>
<sst xmlns="http://schemas.openxmlformats.org/spreadsheetml/2006/main" count="1137" uniqueCount="83">
  <si>
    <t>instant</t>
  </si>
  <si>
    <t>dteday</t>
  </si>
  <si>
    <t>season</t>
  </si>
  <si>
    <t>yr</t>
  </si>
  <si>
    <t>mnth</t>
  </si>
  <si>
    <t>hr</t>
  </si>
  <si>
    <t>holiday</t>
  </si>
  <si>
    <t>weekday</t>
  </si>
  <si>
    <t>weathersit</t>
  </si>
  <si>
    <t>temp</t>
  </si>
  <si>
    <t>atemp</t>
  </si>
  <si>
    <t>hum</t>
  </si>
  <si>
    <t>windspeed</t>
  </si>
  <si>
    <t>casual</t>
  </si>
  <si>
    <t>registered</t>
  </si>
  <si>
    <t>cnt</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</si>
  <si>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</si>
  <si>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</si>
  <si>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</si>
  <si>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</si>
  <si>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</si>
  <si>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</si>
  <si>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</si>
  <si>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</si>
  <si>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</si>
  <si>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</si>
  <si>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</si>
  <si>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</si>
  <si>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</si>
  <si>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</si>
  <si>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</si>
  <si>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</si>
  <si>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</si>
  <si>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</si>
  <si>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</si>
  <si>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</si>
  <si>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</si>
  <si>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</si>
  <si>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</si>
  <si>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</si>
  <si>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</si>
  <si>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</si>
  <si>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</si>
  <si>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</si>
  <si>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</si>
  <si>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</si>
  <si>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</si>
  <si>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</si>
  <si>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</si>
  <si>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</si>
  <si>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</si>
  <si>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</si>
  <si>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</si>
  <si>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</si>
  <si>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</si>
  <si>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</si>
  <si>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</si>
  <si>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</si>
  <si>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</si>
  <si>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</si>
  <si>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</si>
  <si>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Unnamed: 0</t>
  </si>
  <si>
    <t xml:space="preserve">       atemp</t>
  </si>
  <si>
    <t xml:space="preserve">        hum</t>
  </si>
  <si>
    <t xml:space="preserve">   windspeed</t>
  </si>
  <si>
    <t xml:space="preserve">    registered</t>
  </si>
  <si>
    <t xml:space="preserve">           cnt</t>
  </si>
  <si>
    <t xml:space="preserve">      casual</t>
  </si>
  <si>
    <t>Row Labels</t>
  </si>
  <si>
    <t>Grand Total</t>
  </si>
  <si>
    <t>Sum of cnt</t>
  </si>
  <si>
    <t>Day type</t>
  </si>
  <si>
    <t>Demand level</t>
  </si>
  <si>
    <t>Weather type</t>
  </si>
  <si>
    <t>Clear</t>
  </si>
  <si>
    <t>Heavy Rain/Ice</t>
  </si>
  <si>
    <t>Light Rain/Snow</t>
  </si>
  <si>
    <t>Mist/Cloudy</t>
  </si>
  <si>
    <t>Temperature category</t>
  </si>
  <si>
    <t>Cold</t>
  </si>
  <si>
    <t>Warm</t>
  </si>
  <si>
    <t>Total cnt</t>
  </si>
  <si>
    <t>Average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</si>
</sst>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1"/>
      <color theme="1"/>
      <name val="Calibri"/>
      <family val="2"/>
      <scheme val="minor"/>
    </font>
    <font>
      <sz val="10"/>
      <color theme="1"/>
      <name val="Calibri"/>
      <scheme val="minor"/>
    </font>
    <font>
      <sz val="11"/>
      <color theme="1"/>
      <name val="Calibri"/>
      <scheme val="minor"/>
    </font>
    <font>
      <sz val="20"/>
      <color theme="1"/>
      <name val="Calibri"/>
      <family val="2"/>
      <scheme val="minor"/>
    </font>
    <font>
      <b/>
      <sz val="20"/>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14" fontId="0" fillId="0" borderId="0" xfId="0" applyNumberFormat="1"/>
    <xf numFmtId="0" fontId="1" fillId="0" borderId="1" xfId="0" applyFont="1" applyBorder="1" applyAlignment="1">
      <alignment horizontal="center" vertical="top"/>
    </xf>
    <xf numFmtId="0" fontId="2" fillId="0" borderId="0" xfId="0" applyFont="1"/>
    <xf numFmtId="164" fontId="2" fillId="0" borderId="0" xfId="0" applyNumberFormat="1" applyFont="1"/>
    <xf numFmtId="0" fontId="3" fillId="0" borderId="0" xfId="0" applyFont="1"/>
    <xf numFmtId="2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0" fontId="0" fillId="0" borderId="0" xfId="0" applyAlignment="1">
      <alignment horizontal="center" wrapText="1"/>
    </xf>
    <xf numFmtId="0" fontId="5" fillId="2" borderId="0" xfId="0" applyNumberFormat="1" applyFont="1" applyFill="1" applyAlignment="1">
      <alignment horizontal="center" wrapText="1"/>
    </xf>
    <xf numFmtId="0" fontId="4" fillId="2" borderId="0" xfId="0" applyFont="1" applyFill="1" applyAlignment="1">
      <alignment horizontal="center" wrapText="1"/>
    </xf>
  </cellXfs>
  <cellStyles count="1">
    <cellStyle name="Normal" xfId="0" builtinId="0"/>
  </cellStyles>
  <dxfs count="68">
    <dxf>
      <fill>
        <patternFill patternType="solid">
          <bgColor rgb="FFFFFF00"/>
        </patternFill>
      </fill>
    </dxf>
    <dxf>
      <fill>
        <patternFill patternType="solid">
          <bgColor rgb="FFFFFF00"/>
        </patternFill>
      </fill>
    </dxf>
    <dxf>
      <font>
        <b/>
      </font>
    </dxf>
    <dxf>
      <font>
        <name val="Times New Roman"/>
        <family val="1"/>
        <scheme val="none"/>
      </font>
    </dxf>
    <dxf>
      <font>
        <sz val="20"/>
      </font>
    </dxf>
    <dxf>
      <font>
        <sz val="20"/>
      </font>
    </dxf>
    <dxf>
      <alignment wrapText="1"/>
    </dxf>
    <dxf>
      <alignment wrapText="1"/>
    </dxf>
    <dxf>
      <alignment wrapText="1"/>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27" formatCode="dd/mm/yyyy\ hh:mm"/>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NIKITA.xlsx]Daily demand pivot!PivotTable1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demand pivot'!$B$3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'Daily demand pivot'!$A$4:$A$50</c:f>
              <c:strCache>
                <c:ptCount val="46"/>
                <c:pt idx="0">
                  <c:v>2011-01-01</c:v>
                </c:pt>
                <c:pt idx="1">
                  <c:v>2011-01-02</c:v>
                </c:pt>
                <c:pt idx="2">
                  <c:v>2011-01-03</c:v>
                </c:pt>
                <c:pt idx="3">
                  <c:v>2011-01-04</c:v>
                </c:pt>
                <c:pt idx="4">
                  <c:v>2011-01-05</c:v>
                </c:pt>
                <c:pt idx="5">
                  <c:v>2011-01-06</c:v>
                </c:pt>
                <c:pt idx="6">
                  <c:v>2011-01-07</c:v>
                </c:pt>
                <c:pt idx="7">
                  <c:v>2011-01-08</c:v>
                </c:pt>
                <c:pt idx="8">
                  <c:v>2011-01-09</c:v>
                </c:pt>
                <c:pt idx="9">
                  <c:v>2011-01-10</c:v>
                </c:pt>
                <c:pt idx="10">
                  <c:v>2011-01-11</c:v>
                </c:pt>
                <c:pt idx="11">
                  <c:v>2011-01-12</c:v>
                </c:pt>
                <c:pt idx="12">
                  <c:v>2011-01-13</c:v>
                </c:pt>
                <c:pt idx="13">
                  <c:v>2011-01-14</c:v>
                </c:pt>
                <c:pt idx="14">
                  <c:v>2011-01-15</c:v>
                </c:pt>
                <c:pt idx="15">
                  <c:v>2011-01-16</c:v>
                </c:pt>
                <c:pt idx="16">
                  <c:v>2011-01-17</c:v>
                </c:pt>
                <c:pt idx="17">
                  <c:v>2011-01-18</c:v>
                </c:pt>
                <c:pt idx="18">
                  <c:v>2011-01-19</c:v>
                </c:pt>
                <c:pt idx="19">
                  <c:v>2011-01-20</c:v>
                </c:pt>
                <c:pt idx="20">
                  <c:v>2011-01-21</c:v>
                </c:pt>
                <c:pt idx="21">
                  <c:v>2011-01-22</c:v>
                </c:pt>
                <c:pt idx="22">
                  <c:v>2011-01-23</c:v>
                </c:pt>
                <c:pt idx="23">
                  <c:v>2011-01-24</c:v>
                </c:pt>
                <c:pt idx="24">
                  <c:v>2011-01-25</c:v>
                </c:pt>
                <c:pt idx="25">
                  <c:v>2011-01-26</c:v>
                </c:pt>
                <c:pt idx="26">
                  <c:v>2011-01-27</c:v>
                </c:pt>
                <c:pt idx="27">
                  <c:v>2011-01-28</c:v>
                </c:pt>
                <c:pt idx="28">
                  <c:v>2011-01-29</c:v>
                </c:pt>
                <c:pt idx="29">
                  <c:v>2011-01-30</c:v>
                </c:pt>
                <c:pt idx="30">
                  <c:v>2011-01-31</c:v>
                </c:pt>
                <c:pt idx="31">
                  <c:v>2011-02-01</c:v>
                </c:pt>
                <c:pt idx="32">
                  <c:v>2011-02-02</c:v>
                </c:pt>
                <c:pt idx="33">
                  <c:v>2011-02-03</c:v>
                </c:pt>
                <c:pt idx="34">
                  <c:v>2011-02-04</c:v>
                </c:pt>
                <c:pt idx="35">
                  <c:v>2011-02-05</c:v>
                </c:pt>
                <c:pt idx="36">
                  <c:v>2011-02-06</c:v>
                </c:pt>
                <c:pt idx="37">
                  <c:v>2011-02-07</c:v>
                </c:pt>
                <c:pt idx="38">
                  <c:v>2011-02-08</c:v>
                </c:pt>
                <c:pt idx="39">
                  <c:v>2011-02-09</c:v>
                </c:pt>
                <c:pt idx="40">
                  <c:v>2011-02-10</c:v>
                </c:pt>
                <c:pt idx="41">
                  <c:v>2011-02-11</c:v>
                </c:pt>
                <c:pt idx="42">
                  <c:v>2011-02-12</c:v>
                </c:pt>
                <c:pt idx="43">
                  <c:v>2011-02-13</c:v>
                </c:pt>
                <c:pt idx="44">
                  <c:v>2011-02-14</c:v>
                </c:pt>
                <c:pt idx="45">
                  <c:v>01-01-2011</c:v>
                </c:pt>
              </c:strCache>
            </c:strRef>
          </c:cat>
          <c:val>
            <c:numRef>
              <c:f>'Daily demand pivot'!$B$4:$B$50</c:f>
              <c:numCache>
                <c:formatCode>General</c:formatCode>
                <c:ptCount val="46"/>
                <c:pt idx="0">
                  <c:v>969</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pt idx="45">
                  <c:v>16</c:v>
                </c:pt>
              </c:numCache>
            </c:numRef>
          </c:val>
          <c:smooth val="0"/>
          <c:extLst>
            <c:ext xmlns:c16="http://schemas.microsoft.com/office/drawing/2014/chart" uri="{C3380CC4-5D6E-409C-BE32-E72D297353CC}">
              <c16:uniqueId val="{00000000-633F-45AF-B5B1-A9D9DBCCEFAA}"/>
            </c:ext>
          </c:extLst>
        </c:ser>
        <c:dLbls>
          <c:showLegendKey val="0"/>
          <c:showVal val="0"/>
          <c:showCatName val="0"/>
          <c:showSerName val="0"/>
          <c:showPercent val="0"/>
          <c:showBubbleSize val="0"/>
        </c:dLbls>
        <c:marker val="1"/>
        <c:smooth val="0"/>
        <c:axId val="648694032"/>
        <c:axId val="648695832"/>
      </c:lineChart>
      <c:catAx>
        <c:axId val="648694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95832"/>
        <c:crosses val="autoZero"/>
        <c:auto val="1"/>
        <c:lblAlgn val="ctr"/>
        <c:lblOffset val="100"/>
        <c:noMultiLvlLbl val="0"/>
      </c:catAx>
      <c:valAx>
        <c:axId val="648695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9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NIKITA.xlsx]weather condition demand 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condition demand pivot '!$B$3</c:f>
              <c:strCache>
                <c:ptCount val="1"/>
                <c:pt idx="0">
                  <c:v>Total</c:v>
                </c:pt>
              </c:strCache>
            </c:strRef>
          </c:tx>
          <c:spPr>
            <a:solidFill>
              <a:schemeClr val="bg2">
                <a:lumMod val="50000"/>
              </a:schemeClr>
            </a:solidFill>
            <a:ln>
              <a:noFill/>
            </a:ln>
            <a:effectLst/>
          </c:spPr>
          <c:invertIfNegative val="0"/>
          <c:cat>
            <c:strRef>
              <c:f>'weather condition demand pivot '!$A$4:$A$8</c:f>
              <c:strCache>
                <c:ptCount val="4"/>
                <c:pt idx="0">
                  <c:v>Clear</c:v>
                </c:pt>
                <c:pt idx="1">
                  <c:v>Heavy Rain/Ice</c:v>
                </c:pt>
                <c:pt idx="2">
                  <c:v>Light Rain/Snow</c:v>
                </c:pt>
                <c:pt idx="3">
                  <c:v>Mist/Cloudy</c:v>
                </c:pt>
              </c:strCache>
            </c:strRef>
          </c:cat>
          <c:val>
            <c:numRef>
              <c:f>'weather condition demand pivot '!$B$4:$B$8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DAED-4CA9-B379-3E8D2419A72E}"/>
            </c:ext>
          </c:extLst>
        </c:ser>
        <c:dLbls>
          <c:showLegendKey val="0"/>
          <c:showVal val="0"/>
          <c:showCatName val="0"/>
          <c:showSerName val="0"/>
          <c:showPercent val="0"/>
          <c:showBubbleSize val="0"/>
        </c:dLbls>
        <c:gapWidth val="182"/>
        <c:axId val="612713864"/>
        <c:axId val="612708824"/>
      </c:barChart>
      <c:catAx>
        <c:axId val="612713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08824"/>
        <c:crosses val="autoZero"/>
        <c:auto val="1"/>
        <c:lblAlgn val="ctr"/>
        <c:lblOffset val="100"/>
        <c:noMultiLvlLbl val="0"/>
      </c:catAx>
      <c:valAx>
        <c:axId val="61270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1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[Bike_Sharing_Complete_Project (1) NIKITA.xlsx]Holiday vs working day 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 vs working day pivot'!$B$3</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'Holiday vs working day pivot'!$A$4:$A$11</c:f>
              <c:strCache>
                <c:ptCount val="7"/>
                <c:pt idx="0">
                  <c:v>0</c:v>
                </c:pt>
                <c:pt idx="1">
                  <c:v>1</c:v>
                </c:pt>
                <c:pt idx="2">
                  <c:v>2</c:v>
                </c:pt>
                <c:pt idx="3">
                  <c:v>3</c:v>
                </c:pt>
                <c:pt idx="4">
                  <c:v>4</c:v>
                </c:pt>
                <c:pt idx="5">
                  <c:v>5</c:v>
                </c:pt>
                <c:pt idx="6">
                  <c:v>6</c:v>
                </c:pt>
              </c:strCache>
            </c:strRef>
          </c:cat>
          <c:val>
            <c:numRef>
              <c:f>'Holiday vs working day pivot'!$B$4:$B$11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1B5F-4133-A0FD-EBB3018C4C1F}"/>
            </c:ext>
          </c:extLst>
        </c:ser>
        <c:dLbls>
          <c:showLegendKey val="0"/>
          <c:showVal val="0"/>
          <c:showCatName val="0"/>
          <c:showSerName val="0"/>
          <c:showPercent val="0"/>
          <c:showBubbleSize val="0"/>
        </c:dLbls>
        <c:gapWidth val="100"/>
        <c:overlap val="-24"/>
        <c:axId val="648696552"/>
        <c:axId val="612704144"/>
      </c:barChart>
      <c:catAx>
        <c:axId val="64869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2704144"/>
        <c:crosses val="autoZero"/>
        <c:auto val="1"/>
        <c:lblAlgn val="ctr"/>
        <c:lblOffset val="100"/>
        <c:noMultiLvlLbl val="0"/>
      </c:catAx>
      <c:valAx>
        <c:axId val="6127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8696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NIKITA.xlsx]Bike demand analysis 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demand analysis pivot'!$B$3</c:f>
              <c:strCache>
                <c:ptCount val="1"/>
                <c:pt idx="0">
                  <c:v>Total</c:v>
                </c:pt>
              </c:strCache>
            </c:strRef>
          </c:tx>
          <c:spPr>
            <a:solidFill>
              <a:schemeClr val="accent1"/>
            </a:solidFill>
            <a:ln>
              <a:noFill/>
            </a:ln>
            <a:effectLst/>
          </c:spPr>
          <c:invertIfNegative val="0"/>
          <c:cat>
            <c:strRef>
              <c:f>'Bike demand analysis pivot'!$A$4:$A$28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'Bike demand analysis pivot'!$B$4:$B$28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CC72-4CC3-B3C0-EA00DB2C9DFA}"/>
            </c:ext>
          </c:extLst>
        </c:ser>
        <c:dLbls>
          <c:showLegendKey val="0"/>
          <c:showVal val="0"/>
          <c:showCatName val="0"/>
          <c:showSerName val="0"/>
          <c:showPercent val="0"/>
          <c:showBubbleSize val="0"/>
        </c:dLbls>
        <c:gapWidth val="182"/>
        <c:axId val="404077832"/>
        <c:axId val="404078912"/>
      </c:barChart>
      <c:catAx>
        <c:axId val="40407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78912"/>
        <c:crosses val="autoZero"/>
        <c:auto val="1"/>
        <c:lblAlgn val="ctr"/>
        <c:lblOffset val="100"/>
        <c:noMultiLvlLbl val="0"/>
      </c:catAx>
      <c:valAx>
        <c:axId val="4040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7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NIKITA.xlsx]temperature category vs cnt!PivotTable23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RENTALS</a:t>
            </a:r>
          </a:p>
        </c:rich>
      </c:tx>
      <c:layout>
        <c:manualLayout>
          <c:xMode val="edge"/>
          <c:yMode val="edge"/>
          <c:x val="0.37804155730533678"/>
          <c:y val="3.6016331291921846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'temperature category vs cnt'!$B$3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'temperature category vs cnt'!$A$4:$A$6</c:f>
              <c:strCache>
                <c:ptCount val="2"/>
                <c:pt idx="0">
                  <c:v>Cold</c:v>
                </c:pt>
                <c:pt idx="1">
                  <c:v>Warm</c:v>
                </c:pt>
              </c:strCache>
            </c:strRef>
          </c:cat>
          <c:val>
            <c:numRef>
              <c:f>'temperature category vs cnt'!$B$4:$B$6</c:f>
              <c:numCache>
                <c:formatCode>General</c:formatCode>
                <c:ptCount val="2"/>
                <c:pt idx="0">
                  <c:v>46484</c:v>
                </c:pt>
                <c:pt idx="1">
                  <c:v>11820</c:v>
                </c:pt>
              </c:numCache>
            </c:numRef>
          </c:val>
          <c:extLst>
            <c:ext xmlns:c16="http://schemas.microsoft.com/office/drawing/2014/chart" uri="{C3380CC4-5D6E-409C-BE32-E72D297353CC}">
              <c16:uniqueId val="{00000000-278A-42CE-888D-65900A78428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NIKITA.xlsx]Daily demand pivot!PivotTable1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demand pivot'!$B$3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'Daily demand pivot'!$A$4:$A$50</c:f>
              <c:strCache>
                <c:ptCount val="46"/>
                <c:pt idx="0">
                  <c:v>2011-01-01</c:v>
                </c:pt>
                <c:pt idx="1">
                  <c:v>2011-01-02</c:v>
                </c:pt>
                <c:pt idx="2">
                  <c:v>2011-01-03</c:v>
                </c:pt>
                <c:pt idx="3">
                  <c:v>2011-01-04</c:v>
                </c:pt>
                <c:pt idx="4">
                  <c:v>2011-01-05</c:v>
                </c:pt>
                <c:pt idx="5">
                  <c:v>2011-01-06</c:v>
                </c:pt>
                <c:pt idx="6">
                  <c:v>2011-01-07</c:v>
                </c:pt>
                <c:pt idx="7">
                  <c:v>2011-01-08</c:v>
                </c:pt>
                <c:pt idx="8">
                  <c:v>2011-01-09</c:v>
                </c:pt>
                <c:pt idx="9">
                  <c:v>2011-01-10</c:v>
                </c:pt>
                <c:pt idx="10">
                  <c:v>2011-01-11</c:v>
                </c:pt>
                <c:pt idx="11">
                  <c:v>2011-01-12</c:v>
                </c:pt>
                <c:pt idx="12">
                  <c:v>2011-01-13</c:v>
                </c:pt>
                <c:pt idx="13">
                  <c:v>2011-01-14</c:v>
                </c:pt>
                <c:pt idx="14">
                  <c:v>2011-01-15</c:v>
                </c:pt>
                <c:pt idx="15">
                  <c:v>2011-01-16</c:v>
                </c:pt>
                <c:pt idx="16">
                  <c:v>2011-01-17</c:v>
                </c:pt>
                <c:pt idx="17">
                  <c:v>2011-01-18</c:v>
                </c:pt>
                <c:pt idx="18">
                  <c:v>2011-01-19</c:v>
                </c:pt>
                <c:pt idx="19">
                  <c:v>2011-01-20</c:v>
                </c:pt>
                <c:pt idx="20">
                  <c:v>2011-01-21</c:v>
                </c:pt>
                <c:pt idx="21">
                  <c:v>2011-01-22</c:v>
                </c:pt>
                <c:pt idx="22">
                  <c:v>2011-01-23</c:v>
                </c:pt>
                <c:pt idx="23">
                  <c:v>2011-01-24</c:v>
                </c:pt>
                <c:pt idx="24">
                  <c:v>2011-01-25</c:v>
                </c:pt>
                <c:pt idx="25">
                  <c:v>2011-01-26</c:v>
                </c:pt>
                <c:pt idx="26">
                  <c:v>2011-01-27</c:v>
                </c:pt>
                <c:pt idx="27">
                  <c:v>2011-01-28</c:v>
                </c:pt>
                <c:pt idx="28">
                  <c:v>2011-01-29</c:v>
                </c:pt>
                <c:pt idx="29">
                  <c:v>2011-01-30</c:v>
                </c:pt>
                <c:pt idx="30">
                  <c:v>2011-01-31</c:v>
                </c:pt>
                <c:pt idx="31">
                  <c:v>2011-02-01</c:v>
                </c:pt>
                <c:pt idx="32">
                  <c:v>2011-02-02</c:v>
                </c:pt>
                <c:pt idx="33">
                  <c:v>2011-02-03</c:v>
                </c:pt>
                <c:pt idx="34">
                  <c:v>2011-02-04</c:v>
                </c:pt>
                <c:pt idx="35">
                  <c:v>2011-02-05</c:v>
                </c:pt>
                <c:pt idx="36">
                  <c:v>2011-02-06</c:v>
                </c:pt>
                <c:pt idx="37">
                  <c:v>2011-02-07</c:v>
                </c:pt>
                <c:pt idx="38">
                  <c:v>2011-02-08</c:v>
                </c:pt>
                <c:pt idx="39">
                  <c:v>2011-02-09</c:v>
                </c:pt>
                <c:pt idx="40">
                  <c:v>2011-02-10</c:v>
                </c:pt>
                <c:pt idx="41">
                  <c:v>2011-02-11</c:v>
                </c:pt>
                <c:pt idx="42">
                  <c:v>2011-02-12</c:v>
                </c:pt>
                <c:pt idx="43">
                  <c:v>2011-02-13</c:v>
                </c:pt>
                <c:pt idx="44">
                  <c:v>2011-02-14</c:v>
                </c:pt>
                <c:pt idx="45">
                  <c:v>01-01-2011</c:v>
                </c:pt>
              </c:strCache>
            </c:strRef>
          </c:cat>
          <c:val>
            <c:numRef>
              <c:f>'Daily demand pivot'!$B$4:$B$50</c:f>
              <c:numCache>
                <c:formatCode>General</c:formatCode>
                <c:ptCount val="46"/>
                <c:pt idx="0">
                  <c:v>969</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pt idx="45">
                  <c:v>16</c:v>
                </c:pt>
              </c:numCache>
            </c:numRef>
          </c:val>
          <c:smooth val="0"/>
          <c:extLst>
            <c:ext xmlns:c16="http://schemas.microsoft.com/office/drawing/2014/chart" uri="{C3380CC4-5D6E-409C-BE32-E72D297353CC}">
              <c16:uniqueId val="{00000000-1CB5-41FC-86AD-24632A21E02B}"/>
            </c:ext>
          </c:extLst>
        </c:ser>
        <c:dLbls>
          <c:showLegendKey val="0"/>
          <c:showVal val="0"/>
          <c:showCatName val="0"/>
          <c:showSerName val="0"/>
          <c:showPercent val="0"/>
          <c:showBubbleSize val="0"/>
        </c:dLbls>
        <c:marker val="1"/>
        <c:smooth val="0"/>
        <c:axId val="648694032"/>
        <c:axId val="648695832"/>
      </c:lineChart>
      <c:catAx>
        <c:axId val="648694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95832"/>
        <c:crosses val="autoZero"/>
        <c:auto val="1"/>
        <c:lblAlgn val="ctr"/>
        <c:lblOffset val="100"/>
        <c:noMultiLvlLbl val="0"/>
      </c:catAx>
      <c:valAx>
        <c:axId val="648695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9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NIKITA.xlsx]weather condition demand pivot !PivotTable4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condition demand pivot '!$B$3</c:f>
              <c:strCache>
                <c:ptCount val="1"/>
                <c:pt idx="0">
                  <c:v>Total</c:v>
                </c:pt>
              </c:strCache>
            </c:strRef>
          </c:tx>
          <c:spPr>
            <a:solidFill>
              <a:schemeClr val="bg2">
                <a:lumMod val="50000"/>
              </a:schemeClr>
            </a:solidFill>
            <a:ln>
              <a:noFill/>
            </a:ln>
            <a:effectLst/>
          </c:spPr>
          <c:invertIfNegative val="0"/>
          <c:cat>
            <c:strRef>
              <c:f>'weather condition demand pivot '!$A$4:$A$8</c:f>
              <c:strCache>
                <c:ptCount val="4"/>
                <c:pt idx="0">
                  <c:v>Clear</c:v>
                </c:pt>
                <c:pt idx="1">
                  <c:v>Heavy Rain/Ice</c:v>
                </c:pt>
                <c:pt idx="2">
                  <c:v>Light Rain/Snow</c:v>
                </c:pt>
                <c:pt idx="3">
                  <c:v>Mist/Cloudy</c:v>
                </c:pt>
              </c:strCache>
            </c:strRef>
          </c:cat>
          <c:val>
            <c:numRef>
              <c:f>'weather condition demand pivot '!$B$4:$B$8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EA3F-4F9A-8496-3B8B144DBBEB}"/>
            </c:ext>
          </c:extLst>
        </c:ser>
        <c:dLbls>
          <c:showLegendKey val="0"/>
          <c:showVal val="0"/>
          <c:showCatName val="0"/>
          <c:showSerName val="0"/>
          <c:showPercent val="0"/>
          <c:showBubbleSize val="0"/>
        </c:dLbls>
        <c:gapWidth val="182"/>
        <c:axId val="612713864"/>
        <c:axId val="612708824"/>
      </c:barChart>
      <c:catAx>
        <c:axId val="612713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08824"/>
        <c:crosses val="autoZero"/>
        <c:auto val="1"/>
        <c:lblAlgn val="ctr"/>
        <c:lblOffset val="100"/>
        <c:noMultiLvlLbl val="0"/>
      </c:catAx>
      <c:valAx>
        <c:axId val="61270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1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[Bike_Sharing_Complete_Project (1) NIKITA.xlsx]Holiday vs working day pivot!PivotTable5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 vs working day pivot'!$B$3</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'Holiday vs working day pivot'!$A$4:$A$11</c:f>
              <c:strCache>
                <c:ptCount val="7"/>
                <c:pt idx="0">
                  <c:v>0</c:v>
                </c:pt>
                <c:pt idx="1">
                  <c:v>1</c:v>
                </c:pt>
                <c:pt idx="2">
                  <c:v>2</c:v>
                </c:pt>
                <c:pt idx="3">
                  <c:v>3</c:v>
                </c:pt>
                <c:pt idx="4">
                  <c:v>4</c:v>
                </c:pt>
                <c:pt idx="5">
                  <c:v>5</c:v>
                </c:pt>
                <c:pt idx="6">
                  <c:v>6</c:v>
                </c:pt>
              </c:strCache>
            </c:strRef>
          </c:cat>
          <c:val>
            <c:numRef>
              <c:f>'Holiday vs working day pivot'!$B$4:$B$11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76A6-411E-B987-658808156CF4}"/>
            </c:ext>
          </c:extLst>
        </c:ser>
        <c:dLbls>
          <c:showLegendKey val="0"/>
          <c:showVal val="0"/>
          <c:showCatName val="0"/>
          <c:showSerName val="0"/>
          <c:showPercent val="0"/>
          <c:showBubbleSize val="0"/>
        </c:dLbls>
        <c:gapWidth val="100"/>
        <c:overlap val="-24"/>
        <c:axId val="648696552"/>
        <c:axId val="612704144"/>
      </c:barChart>
      <c:catAx>
        <c:axId val="64869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2704144"/>
        <c:crosses val="autoZero"/>
        <c:auto val="1"/>
        <c:lblAlgn val="ctr"/>
        <c:lblOffset val="100"/>
        <c:noMultiLvlLbl val="0"/>
      </c:catAx>
      <c:valAx>
        <c:axId val="6127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8696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NIKITA.xlsx]Bike demand analysis pivot!PivotTable6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demand analysis pivot'!$B$3</c:f>
              <c:strCache>
                <c:ptCount val="1"/>
                <c:pt idx="0">
                  <c:v>Total</c:v>
                </c:pt>
              </c:strCache>
            </c:strRef>
          </c:tx>
          <c:spPr>
            <a:solidFill>
              <a:schemeClr val="accent1"/>
            </a:solidFill>
            <a:ln>
              <a:noFill/>
            </a:ln>
            <a:effectLst/>
          </c:spPr>
          <c:invertIfNegative val="0"/>
          <c:cat>
            <c:strRef>
              <c:f>'Bike demand analysis pivot'!$A$4:$A$28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'Bike demand analysis pivot'!$B$4:$B$28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0E89-44F5-9B0C-F4197F7E9195}"/>
            </c:ext>
          </c:extLst>
        </c:ser>
        <c:dLbls>
          <c:showLegendKey val="0"/>
          <c:showVal val="0"/>
          <c:showCatName val="0"/>
          <c:showSerName val="0"/>
          <c:showPercent val="0"/>
          <c:showBubbleSize val="0"/>
        </c:dLbls>
        <c:gapWidth val="182"/>
        <c:axId val="404077832"/>
        <c:axId val="404078912"/>
      </c:barChart>
      <c:catAx>
        <c:axId val="40407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78912"/>
        <c:crosses val="autoZero"/>
        <c:auto val="1"/>
        <c:lblAlgn val="ctr"/>
        <c:lblOffset val="100"/>
        <c:noMultiLvlLbl val="0"/>
      </c:catAx>
      <c:valAx>
        <c:axId val="4040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7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[Bike_Sharing_Complete_Project (1) NIKITA.xlsx]temperature category vs cnt!PivotTable23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RENTALS</a:t>
            </a:r>
          </a:p>
        </c:rich>
      </c:tx>
      <c:layout>
        <c:manualLayout>
          <c:xMode val="edge"/>
          <c:yMode val="edge"/>
          <c:x val="0.37804155730533678"/>
          <c:y val="3.6016331291921846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500634295713036"/>
          <c:y val="0.24886373578302712"/>
          <c:w val="0.39790398075240596"/>
          <c:h val="0.66317330125400986"/>
        </c:manualLayout>
      </c:layout>
      <c:pieChart>
        <c:varyColors val="1"/>
        <c:ser>
          <c:idx val="0"/>
          <c:order val="0"/>
          <c:tx>
            <c:strRef>
              <c:f>'temperature category vs cnt'!$B$3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4D-4557-B19F-EC73D24C6A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4D-4557-B19F-EC73D24C6A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'temperature category vs cnt'!$A$4:$A$6</c:f>
              <c:strCache>
                <c:ptCount val="2"/>
                <c:pt idx="0">
                  <c:v>Cold</c:v>
                </c:pt>
                <c:pt idx="1">
                  <c:v>Warm</c:v>
                </c:pt>
              </c:strCache>
            </c:strRef>
          </c:cat>
          <c:val>
            <c:numRef>
              <c:f>'temperature category vs cnt'!$B$4:$B$6</c:f>
              <c:numCache>
                <c:formatCode>General</c:formatCode>
                <c:ptCount val="2"/>
                <c:pt idx="0">
                  <c:v>46484</c:v>
                </c:pt>
                <c:pt idx="1">
                  <c:v>11820</c:v>
                </c:pt>
              </c:numCache>
            </c:numRef>
          </c:val>
          <c:extLst>
            <c:ext xmlns:c16="http://schemas.microsoft.com/office/drawing/2014/chart" uri="{C3380CC4-5D6E-409C-BE32-E72D297353CC}">
              <c16:uniqueId val="{00000004-524D-4557-B19F-EC73D24C6A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358140</xdr:colOff>
      <xdr:row>6</xdr:row>
      <xdr:rowOff>148590</xdr:rowOff>
    </xdr:from>
    <xdr:to>
      <xdr:col>12</xdr:col>
      <xdr:colOff>53340</xdr:colOff>
      <xdr:row>21</xdr:row>
      <xdr:rowOff>148590</xdr:rowOff>
    </xdr:to>
    <xdr:graphicFrame macro="">
      <xdr:nvGraphicFramePr>
        <xdr:cNvPr id="2" name="Chart 1">
          <a:extLst>
            <a:ext uri="{FF2B5EF4-FFF2-40B4-BE49-F238E27FC236}">
              <a16:creationId xmlns:a16="http://schemas.microsoft.com/office/drawing/2014/main" id="{3D9AC4F0-5D53-EB1F-7751-C522D323A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182880</xdr:colOff>
      <xdr:row>4</xdr:row>
      <xdr:rowOff>171450</xdr:rowOff>
    </xdr:from>
    <xdr:to>
      <xdr:col>12</xdr:col>
      <xdr:colOff>487680</xdr:colOff>
      <xdr:row>19</xdr:row>
      <xdr:rowOff>171450</xdr:rowOff>
    </xdr:to>
    <xdr:graphicFrame macro="">
      <xdr:nvGraphicFramePr>
        <xdr:cNvPr id="2" name="Chart 1">
          <a:extLst>
            <a:ext uri="{FF2B5EF4-FFF2-40B4-BE49-F238E27FC236}">
              <a16:creationId xmlns:a16="http://schemas.microsoft.com/office/drawing/2014/main" id="{4DA15585-75D7-B893-6D5E-9BDA75B5B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6</xdr:row>
      <xdr:rowOff>148590</xdr:rowOff>
    </xdr:from>
    <xdr:to>
      <xdr:col>12</xdr:col>
      <xdr:colOff>53340</xdr:colOff>
      <xdr:row>21</xdr:row>
      <xdr:rowOff>148590</xdr:rowOff>
    </xdr:to>
    <xdr:graphicFrame macro="">
      <xdr:nvGraphicFramePr>
        <xdr:cNvPr id="2" name="Chart 1">
          <a:extLst>
            <a:ext uri="{FF2B5EF4-FFF2-40B4-BE49-F238E27FC236}">
              <a16:creationId xmlns:a16="http://schemas.microsoft.com/office/drawing/2014/main" id="{D82D3D46-28AA-674E-89B9-4EE0E725A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358140</xdr:colOff>
      <xdr:row>6</xdr:row>
      <xdr:rowOff>148590</xdr:rowOff>
    </xdr:from>
    <xdr:to>
      <xdr:col>12</xdr:col>
      <xdr:colOff>53340</xdr:colOff>
      <xdr:row>21</xdr:row>
      <xdr:rowOff>148590</xdr:rowOff>
    </xdr:to>
    <xdr:graphicFrame macro="">
      <xdr:nvGraphicFramePr>
        <xdr:cNvPr id="2" name="Chart 1">
          <a:extLst>
            <a:ext uri="{FF2B5EF4-FFF2-40B4-BE49-F238E27FC236}">
              <a16:creationId xmlns:a16="http://schemas.microsoft.com/office/drawing/2014/main" id="{8D2F7E03-70A5-C1D1-1D49-122F8356B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480060</xdr:colOff>
      <xdr:row>1</xdr:row>
      <xdr:rowOff>179070</xdr:rowOff>
    </xdr:from>
    <xdr:to>
      <xdr:col>12</xdr:col>
      <xdr:colOff>175260</xdr:colOff>
      <xdr:row>16</xdr:row>
      <xdr:rowOff>179070</xdr:rowOff>
    </xdr:to>
    <xdr:graphicFrame macro="">
      <xdr:nvGraphicFramePr>
        <xdr:cNvPr id="2" name="Chart 1">
          <a:extLst>
            <a:ext uri="{FF2B5EF4-FFF2-40B4-BE49-F238E27FC236}">
              <a16:creationId xmlns:a16="http://schemas.microsoft.com/office/drawing/2014/main" id="{866E895D-FF7B-D378-925C-942039869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21</xdr:col>
      <xdr:colOff>93289</xdr:colOff>
      <xdr:row>15</xdr:row>
      <xdr:rowOff>25647</xdr:rowOff>
    </xdr:from>
    <xdr:ext cx="1908230" cy="436786"/>
    <xdr:sp macro="" textlink="">
      <xdr:nvSpPr>
        <xdr:cNvPr id="2" name="TextBox 1">
          <a:extLst>
            <a:ext uri="{FF2B5EF4-FFF2-40B4-BE49-F238E27FC236}">
              <a16:creationId xmlns:a16="http://schemas.microsoft.com/office/drawing/2014/main" id="{038C1E22-42E4-B063-3673-ADEC18063AFF}"/>
            </a:ext>
          </a:extLst>
        </xdr:cNvPr>
        <xdr:cNvSpPr txBox="1"/>
      </xdr:nvSpPr>
      <xdr:spPr>
        <a:xfrm rot="10800000" flipH="1" flipV="1">
          <a:off x="16745529" y="2768847"/>
          <a:ext cx="190823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a:p>
          <a:endParaRPr lang="en-IN"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160020</xdr:colOff>
      <xdr:row>1</xdr:row>
      <xdr:rowOff>45720</xdr:rowOff>
    </xdr:from>
    <xdr:ext cx="11231880" cy="682174"/>
    <xdr:sp macro="" textlink="">
      <xdr:nvSpPr>
        <xdr:cNvPr id="2" name="TextBox 1">
          <a:extLst>
            <a:ext uri="{FF2B5EF4-FFF2-40B4-BE49-F238E27FC236}">
              <a16:creationId xmlns:a16="http://schemas.microsoft.com/office/drawing/2014/main" id="{C7E15294-8341-2588-D885-4EAD59C33965}"/>
            </a:ext>
          </a:extLst>
        </xdr:cNvPr>
        <xdr:cNvSpPr txBox="1"/>
      </xdr:nvSpPr>
      <xdr:spPr>
        <a:xfrm>
          <a:off x="1379220" y="228600"/>
          <a:ext cx="11231880" cy="682174"/>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b="1">
              <a:latin typeface="Times New Roman" panose="02020603050405020304" pitchFamily="18" charset="0"/>
              <a:cs typeface="Times New Roman" panose="02020603050405020304" pitchFamily="18" charset="0"/>
            </a:rPr>
            <a:t>      Bike</a:t>
          </a:r>
          <a:r>
            <a:rPr lang="en-IN" sz="4000" b="1" baseline="0">
              <a:latin typeface="Times New Roman" panose="02020603050405020304" pitchFamily="18" charset="0"/>
              <a:cs typeface="Times New Roman" panose="02020603050405020304" pitchFamily="18" charset="0"/>
            </a:rPr>
            <a:t> Sharing Demand Analysis Dashboard</a:t>
          </a:r>
          <a:endParaRPr lang="en-IN" sz="4000" b="1">
            <a:latin typeface="Times New Roman" panose="02020603050405020304" pitchFamily="18" charset="0"/>
            <a:cs typeface="Times New Roman" panose="02020603050405020304" pitchFamily="18" charset="0"/>
          </a:endParaRPr>
        </a:p>
      </xdr:txBody>
    </xdr:sp>
    <xdr:clientData/>
  </xdr:oneCellAnchor>
  <xdr:twoCellAnchor>
    <xdr:from>
      <xdr:col>1</xdr:col>
      <xdr:colOff>15240</xdr:colOff>
      <xdr:row>14</xdr:row>
      <xdr:rowOff>0</xdr:rowOff>
    </xdr:from>
    <xdr:to>
      <xdr:col>8</xdr:col>
      <xdr:colOff>320040</xdr:colOff>
      <xdr:row>29</xdr:row>
      <xdr:rowOff>0</xdr:rowOff>
    </xdr:to>
    <xdr:graphicFrame macro="">
      <xdr:nvGraphicFramePr>
        <xdr:cNvPr id="3" name="Chart 2">
          <a:extLst>
            <a:ext uri="{FF2B5EF4-FFF2-40B4-BE49-F238E27FC236}">
              <a16:creationId xmlns:a16="http://schemas.microsoft.com/office/drawing/2014/main" id="{67C31CC2-84EA-4DEF-9607-4930AE130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14</xdr:row>
      <xdr:rowOff>0</xdr:rowOff>
    </xdr:from>
    <xdr:to>
      <xdr:col>16</xdr:col>
      <xdr:colOff>304800</xdr:colOff>
      <xdr:row>29</xdr:row>
      <xdr:rowOff>0</xdr:rowOff>
    </xdr:to>
    <xdr:graphicFrame macro="">
      <xdr:nvGraphicFramePr>
        <xdr:cNvPr id="4" name="Chart 3">
          <a:extLst>
            <a:ext uri="{FF2B5EF4-FFF2-40B4-BE49-F238E27FC236}">
              <a16:creationId xmlns:a16="http://schemas.microsoft.com/office/drawing/2014/main" id="{3D5FC58B-338A-4FEC-8E77-8BD016100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586740</xdr:colOff>
      <xdr:row>31</xdr:row>
      <xdr:rowOff>22860</xdr:rowOff>
    </xdr:from>
    <xdr:to>
      <xdr:col>8</xdr:col>
      <xdr:colOff>281940</xdr:colOff>
      <xdr:row>46</xdr:row>
      <xdr:rowOff>22860</xdr:rowOff>
    </xdr:to>
    <xdr:graphicFrame macro="">
      <xdr:nvGraphicFramePr>
        <xdr:cNvPr id="5" name="Chart 4">
          <a:extLst>
            <a:ext uri="{FF2B5EF4-FFF2-40B4-BE49-F238E27FC236}">
              <a16:creationId xmlns:a16="http://schemas.microsoft.com/office/drawing/2014/main" id="{08B71880-9E64-4EEA-B92D-DD7064622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30</xdr:row>
      <xdr:rowOff>175260</xdr:rowOff>
    </xdr:from>
    <xdr:to>
      <xdr:col>16</xdr:col>
      <xdr:colOff>228600</xdr:colOff>
      <xdr:row>45</xdr:row>
      <xdr:rowOff>175260</xdr:rowOff>
    </xdr:to>
    <xdr:graphicFrame macro="">
      <xdr:nvGraphicFramePr>
        <xdr:cNvPr id="6" name="Chart 5">
          <a:extLst>
            <a:ext uri="{FF2B5EF4-FFF2-40B4-BE49-F238E27FC236}">
              <a16:creationId xmlns:a16="http://schemas.microsoft.com/office/drawing/2014/main" id="{2841053A-C15B-4770-AF5F-D71D82E63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373380</xdr:colOff>
      <xdr:row>47</xdr:row>
      <xdr:rowOff>53340</xdr:rowOff>
    </xdr:from>
    <xdr:to>
      <xdr:col>13</xdr:col>
      <xdr:colOff>68580</xdr:colOff>
      <xdr:row>62</xdr:row>
      <xdr:rowOff>53340</xdr:rowOff>
    </xdr:to>
    <xdr:graphicFrame macro="">
      <xdr:nvGraphicFramePr>
        <xdr:cNvPr id="7" name="Chart 6">
          <a:extLst>
            <a:ext uri="{FF2B5EF4-FFF2-40B4-BE49-F238E27FC236}">
              <a16:creationId xmlns:a16="http://schemas.microsoft.com/office/drawing/2014/main" id="{5341B0CE-8231-477F-9F5E-53FE90594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502920</xdr:colOff>
      <xdr:row>5</xdr:row>
      <xdr:rowOff>167640</xdr:rowOff>
    </xdr:from>
    <xdr:to>
      <xdr:col>7</xdr:col>
      <xdr:colOff>45720</xdr:colOff>
      <xdr:row>10</xdr:row>
      <xdr:rowOff>175260</xdr:rowOff>
    </xdr:to>
    <xdr:sp macro="" textlink="">
      <xdr:nvSpPr>
        <xdr:cNvPr id="8" name="TextBox 7">
          <a:extLst>
            <a:ext uri="{FF2B5EF4-FFF2-40B4-BE49-F238E27FC236}">
              <a16:creationId xmlns:a16="http://schemas.microsoft.com/office/drawing/2014/main" id="{9DA093B9-96E8-92D5-B4D5-4443D814673A}"/>
            </a:ext>
          </a:extLst>
        </xdr:cNvPr>
        <xdr:cNvSpPr txBox="1"/>
      </xdr:nvSpPr>
      <xdr:spPr>
        <a:xfrm>
          <a:off x="1722120" y="1082040"/>
          <a:ext cx="2590800" cy="9220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Times New Roman" panose="02020603050405020304" pitchFamily="18" charset="0"/>
              <a:cs typeface="Times New Roman" panose="02020603050405020304" pitchFamily="18" charset="0"/>
            </a:rPr>
            <a:t>Total </a:t>
          </a:r>
          <a:r>
            <a:rPr lang="en-IN" sz="2000" b="1">
              <a:solidFill>
                <a:schemeClr val="dk1"/>
              </a:solidFill>
              <a:latin typeface="+mn-lt"/>
              <a:ea typeface="+mn-ea"/>
              <a:cs typeface="+mn-cs"/>
            </a:rPr>
            <a:t>Demand</a:t>
          </a:r>
        </a:p>
        <a:p>
          <a:pPr algn="ctr"/>
          <a:r>
            <a:rPr lang="en-IN" sz="2000" b="1">
              <a:latin typeface="Times New Roman" panose="02020603050405020304" pitchFamily="18" charset="0"/>
              <a:cs typeface="Times New Roman" panose="02020603050405020304" pitchFamily="18" charset="0"/>
            </a:rPr>
            <a:t> </a:t>
          </a:r>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58304</a:t>
          </a:r>
          <a:r>
            <a:rPr lang="en-IN" sz="2000" b="1">
              <a:effectLst/>
              <a:latin typeface="Times New Roman" panose="02020603050405020304" pitchFamily="18" charset="0"/>
              <a:cs typeface="Times New Roman" panose="02020603050405020304" pitchFamily="18" charset="0"/>
            </a:rPr>
            <a:t> </a:t>
          </a:r>
          <a:endParaRPr lang="en-IN" sz="2000" b="1">
            <a:latin typeface="Times New Roman" panose="02020603050405020304" pitchFamily="18" charset="0"/>
            <a:cs typeface="Times New Roman" panose="02020603050405020304" pitchFamily="18" charset="0"/>
          </a:endParaRPr>
        </a:p>
      </xdr:txBody>
    </xdr:sp>
    <xdr:clientData/>
  </xdr:twoCellAnchor>
  <xdr:oneCellAnchor>
    <xdr:from>
      <xdr:col>5</xdr:col>
      <xdr:colOff>114300</xdr:colOff>
      <xdr:row>8</xdr:row>
      <xdr:rowOff>99060</xdr:rowOff>
    </xdr:from>
    <xdr:ext cx="184731" cy="264560"/>
    <xdr:sp macro="" textlink="">
      <xdr:nvSpPr>
        <xdr:cNvPr id="9" name="TextBox 8">
          <a:extLst>
            <a:ext uri="{FF2B5EF4-FFF2-40B4-BE49-F238E27FC236}">
              <a16:creationId xmlns:a16="http://schemas.microsoft.com/office/drawing/2014/main" id="{D4193727-3DFF-21B5-A37A-55AAF7F958A5}"/>
            </a:ext>
          </a:extLst>
        </xdr:cNvPr>
        <xdr:cNvSpPr txBox="1"/>
      </xdr:nvSpPr>
      <xdr:spPr>
        <a:xfrm>
          <a:off x="3162300" y="156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70431</xdr:colOff>
      <xdr:row>8</xdr:row>
      <xdr:rowOff>28340</xdr:rowOff>
    </xdr:from>
    <xdr:ext cx="318189" cy="45719"/>
    <xdr:sp macro="" textlink="">
      <xdr:nvSpPr>
        <xdr:cNvPr id="10" name="TextBox 9">
          <a:extLst>
            <a:ext uri="{FF2B5EF4-FFF2-40B4-BE49-F238E27FC236}">
              <a16:creationId xmlns:a16="http://schemas.microsoft.com/office/drawing/2014/main" id="{2F3BF6A6-9936-0A57-E257-3DCA0564FCCA}"/>
            </a:ext>
          </a:extLst>
        </xdr:cNvPr>
        <xdr:cNvSpPr txBox="1"/>
      </xdr:nvSpPr>
      <xdr:spPr>
        <a:xfrm flipH="1">
          <a:off x="6166431" y="1491380"/>
          <a:ext cx="318189"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8</xdr:col>
      <xdr:colOff>335280</xdr:colOff>
      <xdr:row>6</xdr:row>
      <xdr:rowOff>38100</xdr:rowOff>
    </xdr:from>
    <xdr:to>
      <xdr:col>12</xdr:col>
      <xdr:colOff>335280</xdr:colOff>
      <xdr:row>11</xdr:row>
      <xdr:rowOff>30480</xdr:rowOff>
    </xdr:to>
    <xdr:sp macro="" textlink="">
      <xdr:nvSpPr>
        <xdr:cNvPr id="11" name="TextBox 10">
          <a:extLst>
            <a:ext uri="{FF2B5EF4-FFF2-40B4-BE49-F238E27FC236}">
              <a16:creationId xmlns:a16="http://schemas.microsoft.com/office/drawing/2014/main" id="{B3765DB0-C29F-5C25-F0E7-D77AD1C20A63}"/>
            </a:ext>
          </a:extLst>
        </xdr:cNvPr>
        <xdr:cNvSpPr txBox="1"/>
      </xdr:nvSpPr>
      <xdr:spPr>
        <a:xfrm>
          <a:off x="5212080" y="1135380"/>
          <a:ext cx="2438400" cy="9067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Times New Roman" panose="02020603050405020304" pitchFamily="18" charset="0"/>
              <a:cs typeface="Times New Roman" panose="02020603050405020304" pitchFamily="18" charset="0"/>
            </a:rPr>
            <a:t>Total</a:t>
          </a:r>
          <a:r>
            <a:rPr lang="en-IN" sz="2000" b="1" baseline="0">
              <a:latin typeface="Times New Roman" panose="02020603050405020304" pitchFamily="18" charset="0"/>
              <a:cs typeface="Times New Roman" panose="02020603050405020304" pitchFamily="18" charset="0"/>
            </a:rPr>
            <a:t> Average</a:t>
          </a:r>
        </a:p>
        <a:p>
          <a:pPr algn="ctr"/>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58.304</a:t>
          </a:r>
          <a:r>
            <a:rPr lang="en-IN" sz="2000" b="1">
              <a:effectLst/>
              <a:latin typeface="Times New Roman" panose="02020603050405020304" pitchFamily="18" charset="0"/>
              <a:cs typeface="Times New Roman" panose="02020603050405020304" pitchFamily="18" charset="0"/>
            </a:rPr>
            <a:t> </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14</xdr:col>
      <xdr:colOff>15240</xdr:colOff>
      <xdr:row>6</xdr:row>
      <xdr:rowOff>0</xdr:rowOff>
    </xdr:from>
    <xdr:to>
      <xdr:col>18</xdr:col>
      <xdr:colOff>594360</xdr:colOff>
      <xdr:row>10</xdr:row>
      <xdr:rowOff>175260</xdr:rowOff>
    </xdr:to>
    <xdr:sp macro="" textlink="">
      <xdr:nvSpPr>
        <xdr:cNvPr id="12" name="TextBox 11">
          <a:extLst>
            <a:ext uri="{FF2B5EF4-FFF2-40B4-BE49-F238E27FC236}">
              <a16:creationId xmlns:a16="http://schemas.microsoft.com/office/drawing/2014/main" id="{09AFD8E5-BF0B-268D-CDFD-5B7A819A1FC2}"/>
            </a:ext>
          </a:extLst>
        </xdr:cNvPr>
        <xdr:cNvSpPr txBox="1"/>
      </xdr:nvSpPr>
      <xdr:spPr>
        <a:xfrm>
          <a:off x="8549640" y="1097280"/>
          <a:ext cx="3017520" cy="9067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Times New Roman" panose="02020603050405020304" pitchFamily="18" charset="0"/>
              <a:cs typeface="Times New Roman" panose="02020603050405020304" pitchFamily="18" charset="0"/>
            </a:rPr>
            <a:t>Total Peak</a:t>
          </a:r>
          <a:r>
            <a:rPr lang="en-IN" sz="2000" b="1" baseline="0">
              <a:latin typeface="Times New Roman" panose="02020603050405020304" pitchFamily="18" charset="0"/>
              <a:cs typeface="Times New Roman" panose="02020603050405020304" pitchFamily="18" charset="0"/>
            </a:rPr>
            <a:t> Demand </a:t>
          </a:r>
        </a:p>
        <a:p>
          <a:pPr algn="ctr"/>
          <a:r>
            <a:rPr lang="en-IN" sz="2000" b="1" baseline="0">
              <a:latin typeface="Times New Roman" panose="02020603050405020304" pitchFamily="18" charset="0"/>
              <a:cs typeface="Times New Roman" panose="02020603050405020304" pitchFamily="18" charset="0"/>
            </a:rPr>
            <a:t>249</a:t>
          </a:r>
          <a:endParaRPr lang="en-IN" sz="2000" b="1">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30480</xdr:colOff>
      <xdr:row>15</xdr:row>
      <xdr:rowOff>1</xdr:rowOff>
    </xdr:from>
    <xdr:to>
      <xdr:col>21</xdr:col>
      <xdr:colOff>30480</xdr:colOff>
      <xdr:row>22</xdr:row>
      <xdr:rowOff>99061</xdr:rowOff>
    </xdr:to>
    <mc:AlternateContent xmlns:mc="http://schemas.openxmlformats.org/markup-compatibility/2006">
      <mc:Choice xmlns:a14="http://schemas.microsoft.com/office/drawing/2010/main" Requires="a14">
        <xdr:graphicFrame macro="">
          <xdr:nvGraphicFramePr>
            <xdr:cNvPr id="30" name="Weather type">
              <a:extLst>
                <a:ext uri="{FF2B5EF4-FFF2-40B4-BE49-F238E27FC236}">
                  <a16:creationId xmlns:a16="http://schemas.microsoft.com/office/drawing/2014/main" id="{18C53058-41F8-F354-A074-A2A747BE329F}"/>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dr:sp macro="" textlink="">
          <xdr:nvSpPr>
            <xdr:cNvPr id="0" name=""/>
            <xdr:cNvSpPr>
              <a:spLocks noTextEdit="1"/>
            </xdr:cNvSpPr>
          </xdr:nvSpPr>
          <xdr:spPr>
            <a:xfrm>
              <a:off x="11003280" y="274320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510540</xdr:colOff>
      <xdr:row>28</xdr:row>
      <xdr:rowOff>175261</xdr:rowOff>
    </xdr:from>
    <xdr:to>
      <xdr:col>20</xdr:col>
      <xdr:colOff>510540</xdr:colOff>
      <xdr:row>40</xdr:row>
      <xdr:rowOff>175261</xdr:rowOff>
    </xdr:to>
    <mc:AlternateContent xmlns:mc="http://schemas.openxmlformats.org/markup-compatibility/2006">
      <mc:Choice xmlns:a14="http://schemas.microsoft.com/office/drawing/2010/main" Requires="a14">
        <xdr:graphicFrame macro="">
          <xdr:nvGraphicFramePr>
            <xdr:cNvPr id="31" name="weekday">
              <a:extLst>
                <a:ext uri="{FF2B5EF4-FFF2-40B4-BE49-F238E27FC236}">
                  <a16:creationId xmlns:a16="http://schemas.microsoft.com/office/drawing/2014/main" id="{4E1B94FD-0656-011A-CAE8-DE2FF1F27B6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0873740" y="5295901"/>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106680</xdr:colOff>
      <xdr:row>29</xdr:row>
      <xdr:rowOff>167640</xdr:rowOff>
    </xdr:from>
    <xdr:to>
      <xdr:col>24</xdr:col>
      <xdr:colOff>106680</xdr:colOff>
      <xdr:row>43</xdr:row>
      <xdr:rowOff>74295</xdr:rowOff>
    </xdr:to>
    <mc:AlternateContent xmlns:mc="http://schemas.openxmlformats.org/markup-compatibility/2006">
      <mc:Choice xmlns:a14="http://schemas.microsoft.com/office/drawing/2010/main" Requires="a14">
        <xdr:graphicFrame macro="">
          <xdr:nvGraphicFramePr>
            <xdr:cNvPr id="32" name="hr">
              <a:extLst>
                <a:ext uri="{FF2B5EF4-FFF2-40B4-BE49-F238E27FC236}">
                  <a16:creationId xmlns:a16="http://schemas.microsoft.com/office/drawing/2014/main" id="{78FB4665-3085-9294-F300-9A1285B5F02E}"/>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12908280" y="547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510540</xdr:colOff>
      <xdr:row>43</xdr:row>
      <xdr:rowOff>1</xdr:rowOff>
    </xdr:from>
    <xdr:to>
      <xdr:col>20</xdr:col>
      <xdr:colOff>510540</xdr:colOff>
      <xdr:row>47</xdr:row>
      <xdr:rowOff>152401</xdr:rowOff>
    </xdr:to>
    <mc:AlternateContent xmlns:mc="http://schemas.openxmlformats.org/markup-compatibility/2006">
      <mc:Choice xmlns:a14="http://schemas.microsoft.com/office/drawing/2010/main" Requires="a14">
        <xdr:graphicFrame macro="">
          <xdr:nvGraphicFramePr>
            <xdr:cNvPr id="33" name="Temperature category">
              <a:extLst>
                <a:ext uri="{FF2B5EF4-FFF2-40B4-BE49-F238E27FC236}">
                  <a16:creationId xmlns:a16="http://schemas.microsoft.com/office/drawing/2014/main" id="{A36D467A-783F-C012-DECA-4C0B4200CE48}"/>
                </a:ext>
              </a:extLst>
            </xdr:cNvPr>
            <xdr:cNvGraphicFramePr/>
          </xdr:nvGraphicFramePr>
          <xdr:xfrm>
            <a:off x="0" y="0"/>
            <a:ext cx="0" cy="0"/>
          </xdr:xfrm>
          <a:graphic>
            <a:graphicData uri="http://schemas.microsoft.com/office/drawing/2010/slicer">
              <sle:slicer xmlns:sle="http://schemas.microsoft.com/office/drawing/2010/slicer" name="Temperature category"/>
            </a:graphicData>
          </a:graphic>
        </xdr:graphicFrame>
      </mc:Choice>
      <mc:Fallback>
        <xdr:sp macro="" textlink="">
          <xdr:nvSpPr>
            <xdr:cNvPr id="0" name=""/>
            <xdr:cNvSpPr>
              <a:spLocks noTextEdit="1"/>
            </xdr:cNvSpPr>
          </xdr:nvSpPr>
          <xdr:spPr>
            <a:xfrm>
              <a:off x="10873740" y="786384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14</xdr:row>
      <xdr:rowOff>144780</xdr:rowOff>
    </xdr:from>
    <xdr:to>
      <xdr:col>24</xdr:col>
      <xdr:colOff>76200</xdr:colOff>
      <xdr:row>28</xdr:row>
      <xdr:rowOff>51435</xdr:rowOff>
    </xdr:to>
    <mc:AlternateContent xmlns:mc="http://schemas.openxmlformats.org/markup-compatibility/2006">
      <mc:Choice xmlns:a14="http://schemas.microsoft.com/office/drawing/2010/main" Requires="a14">
        <xdr:graphicFrame macro="">
          <xdr:nvGraphicFramePr>
            <xdr:cNvPr id="35" name="dteday">
              <a:extLst>
                <a:ext uri="{FF2B5EF4-FFF2-40B4-BE49-F238E27FC236}">
                  <a16:creationId xmlns:a16="http://schemas.microsoft.com/office/drawing/2014/main" id="{E4AC69E8-CC1A-A827-356E-4838F568B777}"/>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dr:sp macro="" textlink="">
          <xdr:nvSpPr>
            <xdr:cNvPr id="0" name=""/>
            <xdr:cNvSpPr>
              <a:spLocks noTextEdit="1"/>
            </xdr:cNvSpPr>
          </xdr:nvSpPr>
          <xdr:spPr>
            <a:xfrm>
              <a:off x="12877800" y="270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malik" refreshedDate="46105.817773379633" createdVersion="8" refreshedVersion="8" minRefreshableVersion="3" recordCount="1000" xr:uid="{2CA70B0C-6B97-4447-8B4B-7513ED634429}">
  <cacheSource type="worksheet">
    <worksheetSource name="Table1"/>
  </cacheSource>
  <cacheFields count="16">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611"/>
        <n v="612"/>
        <n v="613"/>
        <n v="614"/>
        <n v="615"/>
        <n v="616"/>
        <n v="617"/>
        <n v="618"/>
        <n v="619"/>
      </sharedItems>
    </cacheField>
    <cacheField name="dteday" numFmtId="0">
      <sharedItems containsDate="1" containsMixedTypes="1" minDate="2011-01-01T00:00:00" maxDate="2011-01-02T00:00:00" count="46">
        <d v="2011-01-01T00:00:00"/>
        <s v="2011-01-01"/>
        <s v="2011-01-02"/>
        <s v="2011-01-03"/>
        <s v="2011-01-04"/>
        <s v="2011-01-05"/>
        <s v="2011-01-06"/>
        <s v="2011-01-07"/>
        <s v="2011-01-08"/>
        <s v="2011-01-09"/>
        <s v="2011-01-10"/>
        <s v="2011-01-11"/>
        <s v="2011-01-12"/>
        <s v="2011-01-13"/>
        <s v="2011-01-14"/>
        <s v="2011-01-15"/>
        <s v="2011-01-16"/>
        <s v="2011-01-17"/>
        <s v="2011-01-18"/>
        <s v="2011-01-19"/>
        <s v="2011-01-20"/>
        <s v="2011-01-21"/>
        <s v="2011-01-22"/>
        <s v="2011-01-23"/>
        <s v="2011-01-24"/>
        <s v="2011-01-25"/>
        <s v="2011-01-26"/>
        <s v="2011-01-27"/>
        <s v="2011-01-28"/>
        <s v="2011-01-29"/>
        <s v="2011-01-30"/>
        <s v="2011-01-31"/>
        <s v="2011-02-01"/>
        <s v="2011-02-02"/>
        <s v="2011-02-03"/>
        <s v="2011-02-04"/>
        <s v="2011-02-05"/>
        <s v="2011-02-06"/>
        <s v="2011-02-07"/>
        <s v="2011-02-08"/>
        <s v="2011-02-09"/>
        <s v="2011-02-10"/>
        <s v="2011-02-11"/>
        <s v="2011-02-12"/>
        <s v="2011-02-13"/>
        <s v="2011-02-14"/>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21195783619818001"/>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sharedItems>
    </cacheField>
  </cacheFields>
  <extLst>
    <ext xmlns:x14="http://schemas.microsoft.com/office/spreadsheetml/2009/9/main" uri="{725AE2AE-9491-48be-B2B4-4EB974FC3084}">
      <x14:pivotCacheDefinition pivotCacheId="5082207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malik" refreshedDate="46106.056406249998" backgroundQuery="1" createdVersion="8" refreshedVersion="8" minRefreshableVersion="3" recordCount="0" supportSubquery="1" supportAdvancedDrill="1" xr:uid="{FE25427F-3DBD-4C60-AC04-17CAAE1D3D2F}">
  <cacheSource type="external" connectionId="4"/>
  <cacheFields count="2">
    <cacheField name="[Table1].[Weather type].[Weather type]" caption="Weather type" numFmtId="0" hierarchy="18" level="1">
      <sharedItems count="4">
        <s v="Clear"/>
        <s v="Heavy Rain/Ice"/>
        <s v="Light Rain/Snow"/>
        <s v="Mist/Cloudy"/>
      </sharedItems>
    </cacheField>
    <cacheField name="[Measures].[Sum of cnt]" caption="Sum of cnt" numFmtId="0" hierarchy="22" level="32767"/>
  </cacheFields>
  <cacheHierarchies count="23">
    <cacheHierarchy uniqueName="[Table1].[instant]" caption="instant" attribute="1" defaultMemberUniqueName="[Table1].[instant].[All]" allUniqueName="[Table1].[instant].[All]" dimensionUniqueName="[Table1]" displayFolder="" count="2" memberValueDatatype="20" unbalanced="0"/>
    <cacheHierarchy uniqueName="[Table1].[dteday]" caption="dteday" attribute="1" defaultMemberUniqueName="[Table1].[dteday].[All]" allUniqueName="[Table1].[dteday].[All]" dimensionUniqueName="[Table1]" displayFolder="" count="2" memberValueDatatype="130" unbalanced="0"/>
    <cacheHierarchy uniqueName="[Table1].[season]" caption="season" attribute="1" defaultMemberUniqueName="[Table1].[season].[All]" allUniqueName="[Table1].[season].[All]" dimensionUniqueName="[Table1]" displayFolder="" count="2" memberValueDatatype="20" unbalanced="0"/>
    <cacheHierarchy uniqueName="[Table1].[yr]" caption="yr" attribute="1" defaultMemberUniqueName="[Table1].[yr].[All]" allUniqueName="[Table1].[yr].[All]" dimensionUniqueName="[Table1]" displayFolder="" count="2" memberValueDatatype="20" unbalanced="0"/>
    <cacheHierarchy uniqueName="[Table1].[mnth]" caption="mnth" attribute="1" defaultMemberUniqueName="[Table1].[mnth].[All]" allUniqueName="[Table1].[mnth].[All]" dimensionUniqueName="[Table1]" displayFolder="" count="2" memberValueDatatype="20" unbalanced="0"/>
    <cacheHierarchy uniqueName="[Table1].[hr]" caption="hr" attribute="1" defaultMemberUniqueName="[Table1].[hr].[All]" allUniqueName="[Table1].[hr].[All]" dimensionUniqueName="[Table1]" displayFolder="" count="2" memberValueDatatype="20" unbalanced="0"/>
    <cacheHierarchy uniqueName="[Table1].[holiday]" caption="holiday" attribute="1" defaultMemberUniqueName="[Table1].[holiday].[All]" allUniqueName="[Table1].[holiday].[All]" dimensionUniqueName="[Table1]" displayFolder="" count="2" memberValueDatatype="11" unbalanced="0"/>
    <cacheHierarchy uniqueName="[Table1].[weekday]" caption="weekday" attribute="1" defaultMemberUniqueName="[Table1].[weekday].[All]" allUniqueName="[Table1].[weekday].[All]" dimensionUniqueName="[Table1]" displayFolder="" count="2" memberValueDatatype="20" unbalanced="0"/>
    <cacheHierarchy uniqueName="[Table1].[weathersit]" caption="weathersit" attribute="1" defaultMemberUniqueName="[Table1].[weathersit].[All]" allUniqueName="[Table1].[weathersit].[All]" dimensionUniqueName="[Table1]" displayFolder="" count="2" memberValueDatatype="20" unbalanced="0"/>
    <cacheHierarchy uniqueName="[Table1].[temp]" caption="temp" attribute="1" defaultMemberUniqueName="[Table1].[temp].[All]" allUniqueName="[Table1].[temp].[All]" dimensionUniqueName="[Table1]" displayFolder="" count="2" memberValueDatatype="5" unbalanced="0"/>
    <cacheHierarchy uniqueName="[Table1].[atemp]" caption="atemp" attribute="1" defaultMemberUniqueName="[Table1].[atemp].[All]" allUniqueName="[Table1].[atemp].[All]" dimensionUniqueName="[Table1]" displayFolder="" count="2" memberValueDatatype="5" unbalanced="0"/>
    <cacheHierarchy uniqueName="[Table1].[hum]" caption="hum" attribute="1" defaultMemberUniqueName="[Table1].[hum].[All]" allUniqueName="[Table1].[hum].[All]" dimensionUniqueName="[Table1]" displayFolder="" count="2" memberValueDatatype="5" unbalanced="0"/>
    <cacheHierarchy uniqueName="[Table1].[windspeed]" caption="windspeed" attribute="1" defaultMemberUniqueName="[Table1].[windspeed].[All]" allUniqueName="[Table1].[windspeed].[All]" dimensionUniqueName="[Table1]" displayFolder="" count="2" memberValueDatatype="5" unbalanced="0"/>
    <cacheHierarchy uniqueName="[Table1].[casual]" caption="casual" attribute="1" defaultMemberUniqueName="[Table1].[casual].[All]" allUniqueName="[Table1].[casual].[All]" dimensionUniqueName="[Table1]" displayFolder="" count="2" memberValueDatatype="20" unbalanced="0"/>
    <cacheHierarchy uniqueName="[Table1].[registered]" caption="registered" attribute="1" defaultMemberUniqueName="[Table1].[registered].[All]" allUniqueName="[Table1].[registered].[All]" dimensionUniqueName="[Table1]" displayFolder="" count="2" memberValueDatatype="20" unbalanced="0"/>
    <cacheHierarchy uniqueName="[Table1].[cnt]" caption="cnt" attribute="1" defaultMemberUniqueName="[Table1].[cnt].[All]" allUniqueName="[Table1].[cnt].[All]" dimensionUniqueName="[Table1]" displayFolder="" count="2" memberValueDatatype="20" unbalanced="0"/>
    <cacheHierarchy uniqueName="[Table1].[Day type]" caption="Day type" attribute="1" defaultMemberUniqueName="[Table1].[Day type].[All]" allUniqueName="[Table1].[Day type].[All]" dimensionUniqueName="[Table1]" displayFolder="" count="2" memberValueDatatype="130" unbalanced="0"/>
    <cacheHierarchy uniqueName="[Table1].[Demand level]" caption="Demand level" attribute="1" defaultMemberUniqueName="[Table1].[Demand level].[All]" allUniqueName="[Table1].[Demand level].[All]" dimensionUniqueName="[Table1]" displayFolder="" count="2" memberValueDatatype="130" unbalanced="0"/>
    <cacheHierarchy uniqueName="[Table1].[Weather type]" caption="Weather type" attribute="1" defaultMemberUniqueName="[Table1].[Weather type].[All]" allUniqueName="[Table1].[Weather type].[All]" dimensionUniqueName="[Table1]" displayFolder="" count="2" memberValueDatatype="130" unbalanced="0">
      <fieldsUsage count="2">
        <fieldUsage x="-1"/>
        <fieldUsage x="0"/>
      </fieldsUsage>
    </cacheHierarchy>
    <cacheHierarchy uniqueName="[Table1].[Temperature category]" caption="Temperature category" attribute="1" defaultMemberUniqueName="[Table1].[Temperature category].[All]" allUniqueName="[Table1].[Temperature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nt]" caption="Sum of cn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malik" refreshedDate="46106.057037268518" backgroundQuery="1" createdVersion="8" refreshedVersion="8" minRefreshableVersion="3" recordCount="0" supportSubquery="1" supportAdvancedDrill="1" xr:uid="{CE8A1399-588A-4E00-90FC-E8EFD32A8369}">
  <cacheSource type="external" connectionId="4"/>
  <cacheFields count="2">
    <cacheField name="[Table1].[Temperature category].[Temperature category]" caption="Temperature category" numFmtId="0" hierarchy="19" level="1">
      <sharedItems count="2">
        <s v="Cold"/>
        <s v="Warm"/>
      </sharedItems>
    </cacheField>
    <cacheField name="[Measures].[Sum of cnt]" caption="Sum of cnt" numFmtId="0" hierarchy="22" level="32767"/>
  </cacheFields>
  <cacheHierarchies count="23">
    <cacheHierarchy uniqueName="[Table1].[instant]" caption="instant" attribute="1" defaultMemberUniqueName="[Table1].[instant].[All]" allUniqueName="[Table1].[instant].[All]" dimensionUniqueName="[Table1]" displayFolder="" count="2" memberValueDatatype="20" unbalanced="0"/>
    <cacheHierarchy uniqueName="[Table1].[dteday]" caption="dteday" attribute="1" defaultMemberUniqueName="[Table1].[dteday].[All]" allUniqueName="[Table1].[dteday].[All]" dimensionUniqueName="[Table1]" displayFolder="" count="2" memberValueDatatype="130" unbalanced="0"/>
    <cacheHierarchy uniqueName="[Table1].[season]" caption="season" attribute="1" defaultMemberUniqueName="[Table1].[season].[All]" allUniqueName="[Table1].[season].[All]" dimensionUniqueName="[Table1]" displayFolder="" count="2" memberValueDatatype="20" unbalanced="0"/>
    <cacheHierarchy uniqueName="[Table1].[yr]" caption="yr" attribute="1" defaultMemberUniqueName="[Table1].[yr].[All]" allUniqueName="[Table1].[yr].[All]" dimensionUniqueName="[Table1]" displayFolder="" count="2" memberValueDatatype="20" unbalanced="0"/>
    <cacheHierarchy uniqueName="[Table1].[mnth]" caption="mnth" attribute="1" defaultMemberUniqueName="[Table1].[mnth].[All]" allUniqueName="[Table1].[mnth].[All]" dimensionUniqueName="[Table1]" displayFolder="" count="2" memberValueDatatype="20" unbalanced="0"/>
    <cacheHierarchy uniqueName="[Table1].[hr]" caption="hr" attribute="1" defaultMemberUniqueName="[Table1].[hr].[All]" allUniqueName="[Table1].[hr].[All]" dimensionUniqueName="[Table1]" displayFolder="" count="2" memberValueDatatype="20" unbalanced="0"/>
    <cacheHierarchy uniqueName="[Table1].[holiday]" caption="holiday" attribute="1" defaultMemberUniqueName="[Table1].[holiday].[All]" allUniqueName="[Table1].[holiday].[All]" dimensionUniqueName="[Table1]" displayFolder="" count="2" memberValueDatatype="11" unbalanced="0"/>
    <cacheHierarchy uniqueName="[Table1].[weekday]" caption="weekday" attribute="1" defaultMemberUniqueName="[Table1].[weekday].[All]" allUniqueName="[Table1].[weekday].[All]" dimensionUniqueName="[Table1]" displayFolder="" count="2" memberValueDatatype="20" unbalanced="0"/>
    <cacheHierarchy uniqueName="[Table1].[weathersit]" caption="weathersit" attribute="1" defaultMemberUniqueName="[Table1].[weathersit].[All]" allUniqueName="[Table1].[weathersit].[All]" dimensionUniqueName="[Table1]" displayFolder="" count="2" memberValueDatatype="20" unbalanced="0"/>
    <cacheHierarchy uniqueName="[Table1].[temp]" caption="temp" attribute="1" defaultMemberUniqueName="[Table1].[temp].[All]" allUniqueName="[Table1].[temp].[All]" dimensionUniqueName="[Table1]" displayFolder="" count="2" memberValueDatatype="5" unbalanced="0"/>
    <cacheHierarchy uniqueName="[Table1].[atemp]" caption="atemp" attribute="1" defaultMemberUniqueName="[Table1].[atemp].[All]" allUniqueName="[Table1].[atemp].[All]" dimensionUniqueName="[Table1]" displayFolder="" count="2" memberValueDatatype="5" unbalanced="0"/>
    <cacheHierarchy uniqueName="[Table1].[hum]" caption="hum" attribute="1" defaultMemberUniqueName="[Table1].[hum].[All]" allUniqueName="[Table1].[hum].[All]" dimensionUniqueName="[Table1]" displayFolder="" count="2" memberValueDatatype="5" unbalanced="0"/>
    <cacheHierarchy uniqueName="[Table1].[windspeed]" caption="windspeed" attribute="1" defaultMemberUniqueName="[Table1].[windspeed].[All]" allUniqueName="[Table1].[windspeed].[All]" dimensionUniqueName="[Table1]" displayFolder="" count="2" memberValueDatatype="5" unbalanced="0"/>
    <cacheHierarchy uniqueName="[Table1].[casual]" caption="casual" attribute="1" defaultMemberUniqueName="[Table1].[casual].[All]" allUniqueName="[Table1].[casual].[All]" dimensionUniqueName="[Table1]" displayFolder="" count="2" memberValueDatatype="20" unbalanced="0"/>
    <cacheHierarchy uniqueName="[Table1].[registered]" caption="registered" attribute="1" defaultMemberUniqueName="[Table1].[registered].[All]" allUniqueName="[Table1].[registered].[All]" dimensionUniqueName="[Table1]" displayFolder="" count="2" memberValueDatatype="20" unbalanced="0"/>
    <cacheHierarchy uniqueName="[Table1].[cnt]" caption="cnt" attribute="1" defaultMemberUniqueName="[Table1].[cnt].[All]" allUniqueName="[Table1].[cnt].[All]" dimensionUniqueName="[Table1]" displayFolder="" count="2" memberValueDatatype="20" unbalanced="0"/>
    <cacheHierarchy uniqueName="[Table1].[Day type]" caption="Day type" attribute="1" defaultMemberUniqueName="[Table1].[Day type].[All]" allUniqueName="[Table1].[Day type].[All]" dimensionUniqueName="[Table1]" displayFolder="" count="2" memberValueDatatype="130" unbalanced="0"/>
    <cacheHierarchy uniqueName="[Table1].[Demand level]" caption="Demand level" attribute="1" defaultMemberUniqueName="[Table1].[Demand level].[All]" allUniqueName="[Table1].[Demand level].[All]" dimensionUniqueName="[Table1]" displayFolder="" count="2" memberValueDatatype="130" unbalanced="0"/>
    <cacheHierarchy uniqueName="[Table1].[Weather type]" caption="Weather type" attribute="1" defaultMemberUniqueName="[Table1].[Weather type].[All]" allUniqueName="[Table1].[Weather type].[All]" dimensionUniqueName="[Table1]" displayFolder="" count="2" memberValueDatatype="130" unbalanced="0"/>
    <cacheHierarchy uniqueName="[Table1].[Temperature category]" caption="Temperature category" attribute="1" defaultMemberUniqueName="[Table1].[Temperature category].[All]" allUniqueName="[Table1].[Temperature category].[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nt]" caption="Sum of cn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malik" refreshedDate="46106.037279166667" backgroundQuery="1" createdVersion="3" refreshedVersion="8" minRefreshableVersion="3" recordCount="0" supportSubquery="1" supportAdvancedDrill="1" xr:uid="{EFBCDFCD-EB42-4804-99E9-93140D5B7ABF}">
  <cacheSource type="external" connectionId="4">
    <extLst>
      <ext xmlns:x14="http://schemas.microsoft.com/office/spreadsheetml/2009/9/main" uri="{F057638F-6D5F-4e77-A914-E7F072B9BCA8}">
        <x14:sourceConnection name="ThisWorkbookDataModel"/>
      </ext>
    </extLst>
  </cacheSource>
  <cacheFields count="0"/>
  <cacheHierarchies count="23">
    <cacheHierarchy uniqueName="[Table1].[instant]" caption="instant" attribute="1" defaultMemberUniqueName="[Table1].[instant].[All]" allUniqueName="[Table1].[instant].[All]" dimensionUniqueName="[Table1]" displayFolder="" count="0" memberValueDatatype="20" unbalanced="0"/>
    <cacheHierarchy uniqueName="[Table1].[dteday]" caption="dteday" attribute="1" defaultMemberUniqueName="[Table1].[dteday].[All]" allUniqueName="[Table1].[dteday].[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20" unbalanced="0"/>
    <cacheHierarchy uniqueName="[Table1].[yr]" caption="yr" attribute="1" defaultMemberUniqueName="[Table1].[yr].[All]" allUniqueName="[Table1].[yr].[All]" dimensionUniqueName="[Table1]" displayFolder="" count="0" memberValueDatatype="20" unbalanced="0"/>
    <cacheHierarchy uniqueName="[Table1].[mnth]" caption="mnth" attribute="1" defaultMemberUniqueName="[Table1].[mnth].[All]" allUniqueName="[Table1].[mnth].[All]" dimensionUniqueName="[Table1]" displayFolder="" count="0" memberValueDatatype="20" unbalanced="0"/>
    <cacheHierarchy uniqueName="[Table1].[hr]" caption="hr" attribute="1" defaultMemberUniqueName="[Table1].[hr].[All]" allUniqueName="[Table1].[hr].[All]" dimensionUniqueName="[Table1]" displayFolder="" count="0" memberValueDatatype="20" unbalanced="0"/>
    <cacheHierarchy uniqueName="[Table1].[holiday]" caption="holiday" attribute="1" defaultMemberUniqueName="[Table1].[holiday].[All]" allUniqueName="[Table1].[holiday].[All]" dimensionUniqueName="[Table1]" displayFolder="" count="0" memberValueDatatype="11" unbalanced="0"/>
    <cacheHierarchy uniqueName="[Table1].[weekday]" caption="weekday" attribute="1" defaultMemberUniqueName="[Table1].[weekday].[All]" allUniqueName="[Table1].[weekday].[All]" dimensionUniqueName="[Table1]" displayFolder="" count="0" memberValueDatatype="20" unbalanced="0"/>
    <cacheHierarchy uniqueName="[Table1].[weathersit]" caption="weathersit" attribute="1" defaultMemberUniqueName="[Table1].[weathersit].[All]" allUniqueName="[Table1].[weathersit].[All]" dimensionUniqueName="[Table1]" displayFolder="" count="0" memberValueDatatype="20" unbalanced="0"/>
    <cacheHierarchy uniqueName="[Table1].[temp]" caption="temp" attribute="1" defaultMemberUniqueName="[Table1].[temp].[All]" allUniqueName="[Table1].[temp].[All]" dimensionUniqueName="[Table1]" displayFolder="" count="0" memberValueDatatype="5" unbalanced="0"/>
    <cacheHierarchy uniqueName="[Table1].[atemp]" caption="atemp" attribute="1" defaultMemberUniqueName="[Table1].[atemp].[All]" allUniqueName="[Table1].[atemp].[All]" dimensionUniqueName="[Table1]" displayFolder="" count="2" memberValueDatatype="5" unbalanced="0"/>
    <cacheHierarchy uniqueName="[Table1].[hum]" caption="hum" attribute="1" defaultMemberUniqueName="[Table1].[hum].[All]" allUniqueName="[Table1].[hum].[All]" dimensionUniqueName="[Table1]" displayFolder="" count="0" memberValueDatatype="5" unbalanced="0"/>
    <cacheHierarchy uniqueName="[Table1].[windspeed]" caption="windspeed" attribute="1" defaultMemberUniqueName="[Table1].[windspeed].[All]" allUniqueName="[Table1].[windspeed].[All]" dimensionUniqueName="[Table1]" displayFolder="" count="0" memberValueDatatype="5" unbalanced="0"/>
    <cacheHierarchy uniqueName="[Table1].[casual]" caption="casual" attribute="1" defaultMemberUniqueName="[Table1].[casual].[All]" allUniqueName="[Table1].[casual].[All]" dimensionUniqueName="[Table1]" displayFolder="" count="0" memberValueDatatype="20" unbalanced="0"/>
    <cacheHierarchy uniqueName="[Table1].[registered]" caption="registered" attribute="1" defaultMemberUniqueName="[Table1].[registered].[All]" allUniqueName="[Table1].[registered].[All]" dimensionUniqueName="[Table1]" displayFolder="" count="0" memberValueDatatype="20" unbalanced="0"/>
    <cacheHierarchy uniqueName="[Table1].[cnt]" caption="cnt" attribute="1" defaultMemberUniqueName="[Table1].[cnt].[All]" allUniqueName="[Table1].[cnt].[All]" dimensionUniqueName="[Table1]" displayFolder="" count="0" memberValueDatatype="20" unbalanced="0"/>
    <cacheHierarchy uniqueName="[Table1].[Day type]" caption="Day type" attribute="1" defaultMemberUniqueName="[Table1].[Day type].[All]" allUniqueName="[Table1].[Day type].[All]" dimensionUniqueName="[Table1]" displayFolder="" count="0" memberValueDatatype="130" unbalanced="0"/>
    <cacheHierarchy uniqueName="[Table1].[Demand level]" caption="Demand level" attribute="1" defaultMemberUniqueName="[Table1].[Demand level].[All]" allUniqueName="[Table1].[Demand level].[All]" dimensionUniqueName="[Table1]" displayFolder="" count="0" memberValueDatatype="130" unbalanced="0"/>
    <cacheHierarchy uniqueName="[Table1].[Weather type]" caption="Weather type" attribute="1" defaultMemberUniqueName="[Table1].[Weather type].[All]" allUniqueName="[Table1].[Weather type].[All]" dimensionUniqueName="[Table1]" displayFolder="" count="2" memberValueDatatype="130" unbalanced="0"/>
    <cacheHierarchy uniqueName="[Table1].[Temperature category]" caption="Temperature category" attribute="1" defaultMemberUniqueName="[Table1].[Temperature category].[All]" allUniqueName="[Table1].[Temperature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nt]" caption="Sum of cnt"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371038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r>
  <r>
    <x v="1"/>
    <x v="1"/>
    <x v="0"/>
    <x v="0"/>
    <x v="0"/>
    <x v="1"/>
    <x v="0"/>
    <x v="0"/>
    <x v="0"/>
    <x v="1"/>
    <x v="1"/>
    <x v="1"/>
    <x v="0"/>
    <x v="1"/>
    <x v="1"/>
    <x v="1"/>
  </r>
  <r>
    <x v="2"/>
    <x v="1"/>
    <x v="0"/>
    <x v="0"/>
    <x v="0"/>
    <x v="2"/>
    <x v="0"/>
    <x v="0"/>
    <x v="0"/>
    <x v="1"/>
    <x v="1"/>
    <x v="1"/>
    <x v="0"/>
    <x v="2"/>
    <x v="2"/>
    <x v="2"/>
  </r>
  <r>
    <x v="3"/>
    <x v="1"/>
    <x v="0"/>
    <x v="0"/>
    <x v="0"/>
    <x v="3"/>
    <x v="0"/>
    <x v="0"/>
    <x v="0"/>
    <x v="0"/>
    <x v="0"/>
    <x v="2"/>
    <x v="0"/>
    <x v="0"/>
    <x v="3"/>
    <x v="3"/>
  </r>
  <r>
    <x v="4"/>
    <x v="1"/>
    <x v="0"/>
    <x v="0"/>
    <x v="0"/>
    <x v="4"/>
    <x v="0"/>
    <x v="0"/>
    <x v="0"/>
    <x v="0"/>
    <x v="0"/>
    <x v="2"/>
    <x v="0"/>
    <x v="3"/>
    <x v="4"/>
    <x v="4"/>
  </r>
  <r>
    <x v="5"/>
    <x v="1"/>
    <x v="0"/>
    <x v="0"/>
    <x v="0"/>
    <x v="5"/>
    <x v="0"/>
    <x v="0"/>
    <x v="1"/>
    <x v="0"/>
    <x v="2"/>
    <x v="2"/>
    <x v="1"/>
    <x v="3"/>
    <x v="4"/>
    <x v="4"/>
  </r>
  <r>
    <x v="6"/>
    <x v="1"/>
    <x v="0"/>
    <x v="0"/>
    <x v="0"/>
    <x v="6"/>
    <x v="0"/>
    <x v="0"/>
    <x v="0"/>
    <x v="1"/>
    <x v="1"/>
    <x v="1"/>
    <x v="0"/>
    <x v="4"/>
    <x v="5"/>
    <x v="5"/>
  </r>
  <r>
    <x v="7"/>
    <x v="1"/>
    <x v="0"/>
    <x v="0"/>
    <x v="0"/>
    <x v="7"/>
    <x v="0"/>
    <x v="0"/>
    <x v="0"/>
    <x v="2"/>
    <x v="2"/>
    <x v="3"/>
    <x v="0"/>
    <x v="5"/>
    <x v="6"/>
    <x v="6"/>
  </r>
  <r>
    <x v="8"/>
    <x v="1"/>
    <x v="0"/>
    <x v="0"/>
    <x v="0"/>
    <x v="8"/>
    <x v="0"/>
    <x v="0"/>
    <x v="0"/>
    <x v="0"/>
    <x v="3"/>
    <x v="2"/>
    <x v="0"/>
    <x v="5"/>
    <x v="7"/>
    <x v="7"/>
  </r>
  <r>
    <x v="9"/>
    <x v="1"/>
    <x v="0"/>
    <x v="0"/>
    <x v="0"/>
    <x v="9"/>
    <x v="0"/>
    <x v="0"/>
    <x v="0"/>
    <x v="3"/>
    <x v="4"/>
    <x v="4"/>
    <x v="0"/>
    <x v="1"/>
    <x v="8"/>
    <x v="8"/>
  </r>
  <r>
    <x v="10"/>
    <x v="1"/>
    <x v="0"/>
    <x v="0"/>
    <x v="0"/>
    <x v="10"/>
    <x v="0"/>
    <x v="0"/>
    <x v="0"/>
    <x v="4"/>
    <x v="5"/>
    <x v="4"/>
    <x v="2"/>
    <x v="6"/>
    <x v="9"/>
    <x v="9"/>
  </r>
  <r>
    <x v="11"/>
    <x v="1"/>
    <x v="0"/>
    <x v="0"/>
    <x v="0"/>
    <x v="11"/>
    <x v="0"/>
    <x v="0"/>
    <x v="0"/>
    <x v="5"/>
    <x v="6"/>
    <x v="0"/>
    <x v="3"/>
    <x v="7"/>
    <x v="10"/>
    <x v="10"/>
  </r>
  <r>
    <x v="12"/>
    <x v="1"/>
    <x v="0"/>
    <x v="0"/>
    <x v="0"/>
    <x v="12"/>
    <x v="0"/>
    <x v="0"/>
    <x v="0"/>
    <x v="6"/>
    <x v="7"/>
    <x v="5"/>
    <x v="3"/>
    <x v="8"/>
    <x v="11"/>
    <x v="11"/>
  </r>
  <r>
    <x v="13"/>
    <x v="1"/>
    <x v="0"/>
    <x v="0"/>
    <x v="0"/>
    <x v="13"/>
    <x v="0"/>
    <x v="0"/>
    <x v="1"/>
    <x v="7"/>
    <x v="8"/>
    <x v="6"/>
    <x v="4"/>
    <x v="9"/>
    <x v="12"/>
    <x v="12"/>
  </r>
  <r>
    <x v="14"/>
    <x v="1"/>
    <x v="0"/>
    <x v="0"/>
    <x v="0"/>
    <x v="14"/>
    <x v="0"/>
    <x v="0"/>
    <x v="1"/>
    <x v="7"/>
    <x v="8"/>
    <x v="6"/>
    <x v="3"/>
    <x v="10"/>
    <x v="13"/>
    <x v="13"/>
  </r>
  <r>
    <x v="15"/>
    <x v="1"/>
    <x v="0"/>
    <x v="0"/>
    <x v="0"/>
    <x v="15"/>
    <x v="0"/>
    <x v="0"/>
    <x v="1"/>
    <x v="8"/>
    <x v="9"/>
    <x v="5"/>
    <x v="4"/>
    <x v="11"/>
    <x v="14"/>
    <x v="14"/>
  </r>
  <r>
    <x v="16"/>
    <x v="1"/>
    <x v="0"/>
    <x v="0"/>
    <x v="0"/>
    <x v="16"/>
    <x v="0"/>
    <x v="0"/>
    <x v="1"/>
    <x v="6"/>
    <x v="7"/>
    <x v="7"/>
    <x v="4"/>
    <x v="12"/>
    <x v="15"/>
    <x v="15"/>
  </r>
  <r>
    <x v="17"/>
    <x v="1"/>
    <x v="0"/>
    <x v="0"/>
    <x v="0"/>
    <x v="17"/>
    <x v="0"/>
    <x v="0"/>
    <x v="1"/>
    <x v="8"/>
    <x v="3"/>
    <x v="7"/>
    <x v="3"/>
    <x v="13"/>
    <x v="15"/>
    <x v="16"/>
  </r>
  <r>
    <x v="18"/>
    <x v="1"/>
    <x v="0"/>
    <x v="0"/>
    <x v="0"/>
    <x v="18"/>
    <x v="0"/>
    <x v="0"/>
    <x v="2"/>
    <x v="6"/>
    <x v="7"/>
    <x v="8"/>
    <x v="2"/>
    <x v="14"/>
    <x v="16"/>
    <x v="17"/>
  </r>
  <r>
    <x v="19"/>
    <x v="1"/>
    <x v="0"/>
    <x v="0"/>
    <x v="0"/>
    <x v="19"/>
    <x v="0"/>
    <x v="0"/>
    <x v="2"/>
    <x v="6"/>
    <x v="7"/>
    <x v="8"/>
    <x v="2"/>
    <x v="15"/>
    <x v="17"/>
    <x v="18"/>
  </r>
  <r>
    <x v="20"/>
    <x v="1"/>
    <x v="0"/>
    <x v="0"/>
    <x v="0"/>
    <x v="20"/>
    <x v="0"/>
    <x v="0"/>
    <x v="1"/>
    <x v="9"/>
    <x v="10"/>
    <x v="9"/>
    <x v="2"/>
    <x v="16"/>
    <x v="18"/>
    <x v="9"/>
  </r>
  <r>
    <x v="21"/>
    <x v="1"/>
    <x v="0"/>
    <x v="0"/>
    <x v="0"/>
    <x v="21"/>
    <x v="0"/>
    <x v="0"/>
    <x v="1"/>
    <x v="9"/>
    <x v="10"/>
    <x v="9"/>
    <x v="5"/>
    <x v="0"/>
    <x v="17"/>
    <x v="19"/>
  </r>
  <r>
    <x v="22"/>
    <x v="1"/>
    <x v="0"/>
    <x v="0"/>
    <x v="0"/>
    <x v="22"/>
    <x v="0"/>
    <x v="0"/>
    <x v="1"/>
    <x v="9"/>
    <x v="10"/>
    <x v="10"/>
    <x v="6"/>
    <x v="16"/>
    <x v="19"/>
    <x v="20"/>
  </r>
  <r>
    <x v="23"/>
    <x v="1"/>
    <x v="0"/>
    <x v="0"/>
    <x v="0"/>
    <x v="23"/>
    <x v="0"/>
    <x v="0"/>
    <x v="1"/>
    <x v="7"/>
    <x v="3"/>
    <x v="8"/>
    <x v="4"/>
    <x v="13"/>
    <x v="9"/>
    <x v="21"/>
  </r>
  <r>
    <x v="24"/>
    <x v="2"/>
    <x v="0"/>
    <x v="0"/>
    <x v="0"/>
    <x v="0"/>
    <x v="0"/>
    <x v="1"/>
    <x v="1"/>
    <x v="7"/>
    <x v="8"/>
    <x v="8"/>
    <x v="4"/>
    <x v="17"/>
    <x v="0"/>
    <x v="22"/>
  </r>
  <r>
    <x v="25"/>
    <x v="2"/>
    <x v="0"/>
    <x v="0"/>
    <x v="0"/>
    <x v="1"/>
    <x v="0"/>
    <x v="1"/>
    <x v="1"/>
    <x v="8"/>
    <x v="9"/>
    <x v="10"/>
    <x v="2"/>
    <x v="5"/>
    <x v="20"/>
    <x v="22"/>
  </r>
  <r>
    <x v="26"/>
    <x v="2"/>
    <x v="0"/>
    <x v="0"/>
    <x v="0"/>
    <x v="2"/>
    <x v="0"/>
    <x v="1"/>
    <x v="1"/>
    <x v="6"/>
    <x v="7"/>
    <x v="11"/>
    <x v="3"/>
    <x v="5"/>
    <x v="21"/>
    <x v="23"/>
  </r>
  <r>
    <x v="27"/>
    <x v="2"/>
    <x v="0"/>
    <x v="0"/>
    <x v="0"/>
    <x v="3"/>
    <x v="0"/>
    <x v="1"/>
    <x v="1"/>
    <x v="7"/>
    <x v="8"/>
    <x v="10"/>
    <x v="5"/>
    <x v="4"/>
    <x v="22"/>
    <x v="24"/>
  </r>
  <r>
    <x v="28"/>
    <x v="2"/>
    <x v="0"/>
    <x v="0"/>
    <x v="0"/>
    <x v="4"/>
    <x v="0"/>
    <x v="1"/>
    <x v="1"/>
    <x v="7"/>
    <x v="3"/>
    <x v="10"/>
    <x v="5"/>
    <x v="4"/>
    <x v="4"/>
    <x v="6"/>
  </r>
  <r>
    <x v="29"/>
    <x v="2"/>
    <x v="0"/>
    <x v="0"/>
    <x v="0"/>
    <x v="6"/>
    <x v="0"/>
    <x v="1"/>
    <x v="2"/>
    <x v="6"/>
    <x v="7"/>
    <x v="5"/>
    <x v="4"/>
    <x v="3"/>
    <x v="6"/>
    <x v="5"/>
  </r>
  <r>
    <x v="30"/>
    <x v="2"/>
    <x v="0"/>
    <x v="0"/>
    <x v="0"/>
    <x v="7"/>
    <x v="0"/>
    <x v="1"/>
    <x v="1"/>
    <x v="9"/>
    <x v="10"/>
    <x v="4"/>
    <x v="5"/>
    <x v="3"/>
    <x v="4"/>
    <x v="4"/>
  </r>
  <r>
    <x v="31"/>
    <x v="2"/>
    <x v="0"/>
    <x v="0"/>
    <x v="0"/>
    <x v="8"/>
    <x v="0"/>
    <x v="1"/>
    <x v="2"/>
    <x v="9"/>
    <x v="10"/>
    <x v="12"/>
    <x v="6"/>
    <x v="3"/>
    <x v="21"/>
    <x v="7"/>
  </r>
  <r>
    <x v="32"/>
    <x v="2"/>
    <x v="0"/>
    <x v="0"/>
    <x v="0"/>
    <x v="9"/>
    <x v="0"/>
    <x v="1"/>
    <x v="1"/>
    <x v="4"/>
    <x v="3"/>
    <x v="4"/>
    <x v="6"/>
    <x v="5"/>
    <x v="23"/>
    <x v="25"/>
  </r>
  <r>
    <x v="33"/>
    <x v="2"/>
    <x v="0"/>
    <x v="0"/>
    <x v="0"/>
    <x v="10"/>
    <x v="0"/>
    <x v="1"/>
    <x v="1"/>
    <x v="5"/>
    <x v="4"/>
    <x v="0"/>
    <x v="6"/>
    <x v="18"/>
    <x v="24"/>
    <x v="26"/>
  </r>
  <r>
    <x v="34"/>
    <x v="2"/>
    <x v="0"/>
    <x v="0"/>
    <x v="0"/>
    <x v="11"/>
    <x v="0"/>
    <x v="1"/>
    <x v="1"/>
    <x v="5"/>
    <x v="6"/>
    <x v="12"/>
    <x v="2"/>
    <x v="19"/>
    <x v="25"/>
    <x v="27"/>
  </r>
  <r>
    <x v="35"/>
    <x v="2"/>
    <x v="0"/>
    <x v="0"/>
    <x v="0"/>
    <x v="12"/>
    <x v="0"/>
    <x v="1"/>
    <x v="1"/>
    <x v="5"/>
    <x v="6"/>
    <x v="13"/>
    <x v="4"/>
    <x v="20"/>
    <x v="26"/>
    <x v="15"/>
  </r>
  <r>
    <x v="36"/>
    <x v="2"/>
    <x v="0"/>
    <x v="0"/>
    <x v="0"/>
    <x v="13"/>
    <x v="0"/>
    <x v="1"/>
    <x v="1"/>
    <x v="5"/>
    <x v="4"/>
    <x v="13"/>
    <x v="7"/>
    <x v="16"/>
    <x v="27"/>
    <x v="28"/>
  </r>
  <r>
    <x v="37"/>
    <x v="2"/>
    <x v="0"/>
    <x v="0"/>
    <x v="0"/>
    <x v="14"/>
    <x v="0"/>
    <x v="1"/>
    <x v="2"/>
    <x v="5"/>
    <x v="3"/>
    <x v="4"/>
    <x v="5"/>
    <x v="17"/>
    <x v="11"/>
    <x v="29"/>
  </r>
  <r>
    <x v="38"/>
    <x v="2"/>
    <x v="0"/>
    <x v="0"/>
    <x v="0"/>
    <x v="15"/>
    <x v="0"/>
    <x v="1"/>
    <x v="2"/>
    <x v="10"/>
    <x v="6"/>
    <x v="0"/>
    <x v="8"/>
    <x v="21"/>
    <x v="11"/>
    <x v="30"/>
  </r>
  <r>
    <x v="39"/>
    <x v="2"/>
    <x v="0"/>
    <x v="0"/>
    <x v="0"/>
    <x v="16"/>
    <x v="0"/>
    <x v="1"/>
    <x v="2"/>
    <x v="10"/>
    <x v="6"/>
    <x v="12"/>
    <x v="8"/>
    <x v="14"/>
    <x v="28"/>
    <x v="31"/>
  </r>
  <r>
    <x v="40"/>
    <x v="2"/>
    <x v="0"/>
    <x v="0"/>
    <x v="0"/>
    <x v="17"/>
    <x v="0"/>
    <x v="1"/>
    <x v="0"/>
    <x v="10"/>
    <x v="6"/>
    <x v="14"/>
    <x v="5"/>
    <x v="18"/>
    <x v="29"/>
    <x v="32"/>
  </r>
  <r>
    <x v="41"/>
    <x v="2"/>
    <x v="0"/>
    <x v="0"/>
    <x v="0"/>
    <x v="18"/>
    <x v="0"/>
    <x v="1"/>
    <x v="1"/>
    <x v="5"/>
    <x v="6"/>
    <x v="15"/>
    <x v="9"/>
    <x v="22"/>
    <x v="30"/>
    <x v="26"/>
  </r>
  <r>
    <x v="42"/>
    <x v="2"/>
    <x v="0"/>
    <x v="0"/>
    <x v="0"/>
    <x v="19"/>
    <x v="0"/>
    <x v="1"/>
    <x v="0"/>
    <x v="3"/>
    <x v="0"/>
    <x v="16"/>
    <x v="10"/>
    <x v="5"/>
    <x v="31"/>
    <x v="33"/>
  </r>
  <r>
    <x v="43"/>
    <x v="2"/>
    <x v="0"/>
    <x v="0"/>
    <x v="0"/>
    <x v="20"/>
    <x v="0"/>
    <x v="1"/>
    <x v="0"/>
    <x v="11"/>
    <x v="3"/>
    <x v="17"/>
    <x v="11"/>
    <x v="2"/>
    <x v="19"/>
    <x v="34"/>
  </r>
  <r>
    <x v="44"/>
    <x v="2"/>
    <x v="0"/>
    <x v="0"/>
    <x v="0"/>
    <x v="21"/>
    <x v="0"/>
    <x v="1"/>
    <x v="0"/>
    <x v="12"/>
    <x v="11"/>
    <x v="18"/>
    <x v="9"/>
    <x v="16"/>
    <x v="32"/>
    <x v="35"/>
  </r>
  <r>
    <x v="45"/>
    <x v="2"/>
    <x v="0"/>
    <x v="0"/>
    <x v="0"/>
    <x v="22"/>
    <x v="0"/>
    <x v="1"/>
    <x v="0"/>
    <x v="0"/>
    <x v="12"/>
    <x v="18"/>
    <x v="4"/>
    <x v="3"/>
    <x v="33"/>
    <x v="23"/>
  </r>
  <r>
    <x v="46"/>
    <x v="2"/>
    <x v="0"/>
    <x v="0"/>
    <x v="0"/>
    <x v="23"/>
    <x v="0"/>
    <x v="1"/>
    <x v="0"/>
    <x v="1"/>
    <x v="11"/>
    <x v="19"/>
    <x v="8"/>
    <x v="3"/>
    <x v="21"/>
    <x v="7"/>
  </r>
  <r>
    <x v="47"/>
    <x v="3"/>
    <x v="0"/>
    <x v="0"/>
    <x v="0"/>
    <x v="0"/>
    <x v="0"/>
    <x v="2"/>
    <x v="0"/>
    <x v="1"/>
    <x v="13"/>
    <x v="18"/>
    <x v="11"/>
    <x v="3"/>
    <x v="34"/>
    <x v="36"/>
  </r>
  <r>
    <x v="48"/>
    <x v="3"/>
    <x v="0"/>
    <x v="0"/>
    <x v="0"/>
    <x v="1"/>
    <x v="0"/>
    <x v="2"/>
    <x v="0"/>
    <x v="2"/>
    <x v="3"/>
    <x v="18"/>
    <x v="12"/>
    <x v="3"/>
    <x v="6"/>
    <x v="5"/>
  </r>
  <r>
    <x v="49"/>
    <x v="3"/>
    <x v="0"/>
    <x v="0"/>
    <x v="0"/>
    <x v="4"/>
    <x v="0"/>
    <x v="2"/>
    <x v="0"/>
    <x v="13"/>
    <x v="14"/>
    <x v="19"/>
    <x v="13"/>
    <x v="3"/>
    <x v="4"/>
    <x v="4"/>
  </r>
  <r>
    <x v="50"/>
    <x v="3"/>
    <x v="0"/>
    <x v="0"/>
    <x v="0"/>
    <x v="5"/>
    <x v="0"/>
    <x v="2"/>
    <x v="0"/>
    <x v="13"/>
    <x v="14"/>
    <x v="19"/>
    <x v="3"/>
    <x v="3"/>
    <x v="35"/>
    <x v="6"/>
  </r>
  <r>
    <x v="51"/>
    <x v="3"/>
    <x v="0"/>
    <x v="0"/>
    <x v="0"/>
    <x v="6"/>
    <x v="0"/>
    <x v="2"/>
    <x v="0"/>
    <x v="14"/>
    <x v="15"/>
    <x v="20"/>
    <x v="13"/>
    <x v="3"/>
    <x v="10"/>
    <x v="33"/>
  </r>
  <r>
    <x v="52"/>
    <x v="3"/>
    <x v="0"/>
    <x v="0"/>
    <x v="0"/>
    <x v="7"/>
    <x v="0"/>
    <x v="2"/>
    <x v="0"/>
    <x v="14"/>
    <x v="14"/>
    <x v="20"/>
    <x v="5"/>
    <x v="5"/>
    <x v="36"/>
    <x v="37"/>
  </r>
  <r>
    <x v="53"/>
    <x v="3"/>
    <x v="0"/>
    <x v="0"/>
    <x v="0"/>
    <x v="8"/>
    <x v="0"/>
    <x v="2"/>
    <x v="0"/>
    <x v="14"/>
    <x v="16"/>
    <x v="20"/>
    <x v="3"/>
    <x v="5"/>
    <x v="37"/>
    <x v="38"/>
  </r>
  <r>
    <x v="54"/>
    <x v="3"/>
    <x v="0"/>
    <x v="0"/>
    <x v="0"/>
    <x v="9"/>
    <x v="0"/>
    <x v="2"/>
    <x v="0"/>
    <x v="13"/>
    <x v="14"/>
    <x v="21"/>
    <x v="13"/>
    <x v="18"/>
    <x v="38"/>
    <x v="39"/>
  </r>
  <r>
    <x v="55"/>
    <x v="3"/>
    <x v="0"/>
    <x v="0"/>
    <x v="0"/>
    <x v="10"/>
    <x v="0"/>
    <x v="2"/>
    <x v="0"/>
    <x v="15"/>
    <x v="17"/>
    <x v="21"/>
    <x v="2"/>
    <x v="16"/>
    <x v="39"/>
    <x v="40"/>
  </r>
  <r>
    <x v="56"/>
    <x v="3"/>
    <x v="0"/>
    <x v="0"/>
    <x v="0"/>
    <x v="11"/>
    <x v="0"/>
    <x v="2"/>
    <x v="0"/>
    <x v="2"/>
    <x v="18"/>
    <x v="22"/>
    <x v="9"/>
    <x v="22"/>
    <x v="40"/>
    <x v="41"/>
  </r>
  <r>
    <x v="57"/>
    <x v="3"/>
    <x v="0"/>
    <x v="0"/>
    <x v="0"/>
    <x v="12"/>
    <x v="0"/>
    <x v="2"/>
    <x v="0"/>
    <x v="1"/>
    <x v="12"/>
    <x v="23"/>
    <x v="4"/>
    <x v="23"/>
    <x v="41"/>
    <x v="42"/>
  </r>
  <r>
    <x v="58"/>
    <x v="3"/>
    <x v="0"/>
    <x v="0"/>
    <x v="0"/>
    <x v="13"/>
    <x v="0"/>
    <x v="2"/>
    <x v="0"/>
    <x v="0"/>
    <x v="3"/>
    <x v="23"/>
    <x v="3"/>
    <x v="1"/>
    <x v="42"/>
    <x v="42"/>
  </r>
  <r>
    <x v="59"/>
    <x v="3"/>
    <x v="0"/>
    <x v="0"/>
    <x v="0"/>
    <x v="14"/>
    <x v="0"/>
    <x v="2"/>
    <x v="0"/>
    <x v="12"/>
    <x v="19"/>
    <x v="24"/>
    <x v="3"/>
    <x v="16"/>
    <x v="43"/>
    <x v="43"/>
  </r>
  <r>
    <x v="60"/>
    <x v="3"/>
    <x v="0"/>
    <x v="0"/>
    <x v="0"/>
    <x v="15"/>
    <x v="0"/>
    <x v="2"/>
    <x v="0"/>
    <x v="12"/>
    <x v="19"/>
    <x v="24"/>
    <x v="2"/>
    <x v="24"/>
    <x v="29"/>
    <x v="44"/>
  </r>
  <r>
    <x v="61"/>
    <x v="3"/>
    <x v="0"/>
    <x v="0"/>
    <x v="0"/>
    <x v="16"/>
    <x v="0"/>
    <x v="2"/>
    <x v="0"/>
    <x v="12"/>
    <x v="19"/>
    <x v="24"/>
    <x v="2"/>
    <x v="14"/>
    <x v="28"/>
    <x v="31"/>
  </r>
  <r>
    <x v="62"/>
    <x v="3"/>
    <x v="0"/>
    <x v="0"/>
    <x v="0"/>
    <x v="17"/>
    <x v="0"/>
    <x v="2"/>
    <x v="0"/>
    <x v="0"/>
    <x v="11"/>
    <x v="24"/>
    <x v="6"/>
    <x v="16"/>
    <x v="44"/>
    <x v="45"/>
  </r>
  <r>
    <x v="63"/>
    <x v="3"/>
    <x v="0"/>
    <x v="0"/>
    <x v="0"/>
    <x v="18"/>
    <x v="0"/>
    <x v="2"/>
    <x v="0"/>
    <x v="0"/>
    <x v="2"/>
    <x v="25"/>
    <x v="14"/>
    <x v="14"/>
    <x v="45"/>
    <x v="45"/>
  </r>
  <r>
    <x v="64"/>
    <x v="3"/>
    <x v="0"/>
    <x v="0"/>
    <x v="0"/>
    <x v="19"/>
    <x v="0"/>
    <x v="2"/>
    <x v="0"/>
    <x v="2"/>
    <x v="2"/>
    <x v="19"/>
    <x v="0"/>
    <x v="1"/>
    <x v="46"/>
    <x v="14"/>
  </r>
  <r>
    <x v="65"/>
    <x v="3"/>
    <x v="0"/>
    <x v="0"/>
    <x v="0"/>
    <x v="20"/>
    <x v="0"/>
    <x v="2"/>
    <x v="0"/>
    <x v="2"/>
    <x v="3"/>
    <x v="19"/>
    <x v="14"/>
    <x v="0"/>
    <x v="47"/>
    <x v="46"/>
  </r>
  <r>
    <x v="66"/>
    <x v="3"/>
    <x v="0"/>
    <x v="0"/>
    <x v="0"/>
    <x v="21"/>
    <x v="0"/>
    <x v="2"/>
    <x v="0"/>
    <x v="15"/>
    <x v="13"/>
    <x v="26"/>
    <x v="7"/>
    <x v="0"/>
    <x v="47"/>
    <x v="46"/>
  </r>
  <r>
    <x v="67"/>
    <x v="3"/>
    <x v="0"/>
    <x v="0"/>
    <x v="0"/>
    <x v="22"/>
    <x v="0"/>
    <x v="2"/>
    <x v="0"/>
    <x v="14"/>
    <x v="20"/>
    <x v="27"/>
    <x v="7"/>
    <x v="3"/>
    <x v="32"/>
    <x v="25"/>
  </r>
  <r>
    <x v="68"/>
    <x v="3"/>
    <x v="0"/>
    <x v="0"/>
    <x v="0"/>
    <x v="23"/>
    <x v="0"/>
    <x v="2"/>
    <x v="0"/>
    <x v="15"/>
    <x v="12"/>
    <x v="28"/>
    <x v="14"/>
    <x v="5"/>
    <x v="48"/>
    <x v="47"/>
  </r>
  <r>
    <x v="69"/>
    <x v="4"/>
    <x v="0"/>
    <x v="0"/>
    <x v="0"/>
    <x v="0"/>
    <x v="0"/>
    <x v="3"/>
    <x v="0"/>
    <x v="13"/>
    <x v="3"/>
    <x v="28"/>
    <x v="14"/>
    <x v="3"/>
    <x v="34"/>
    <x v="36"/>
  </r>
  <r>
    <x v="70"/>
    <x v="4"/>
    <x v="0"/>
    <x v="0"/>
    <x v="0"/>
    <x v="1"/>
    <x v="0"/>
    <x v="3"/>
    <x v="0"/>
    <x v="13"/>
    <x v="18"/>
    <x v="29"/>
    <x v="14"/>
    <x v="3"/>
    <x v="6"/>
    <x v="5"/>
  </r>
  <r>
    <x v="71"/>
    <x v="4"/>
    <x v="0"/>
    <x v="0"/>
    <x v="0"/>
    <x v="2"/>
    <x v="0"/>
    <x v="3"/>
    <x v="0"/>
    <x v="14"/>
    <x v="20"/>
    <x v="30"/>
    <x v="7"/>
    <x v="3"/>
    <x v="4"/>
    <x v="4"/>
  </r>
  <r>
    <x v="72"/>
    <x v="4"/>
    <x v="0"/>
    <x v="0"/>
    <x v="0"/>
    <x v="4"/>
    <x v="0"/>
    <x v="3"/>
    <x v="0"/>
    <x v="14"/>
    <x v="18"/>
    <x v="30"/>
    <x v="1"/>
    <x v="3"/>
    <x v="6"/>
    <x v="5"/>
  </r>
  <r>
    <x v="73"/>
    <x v="4"/>
    <x v="0"/>
    <x v="0"/>
    <x v="0"/>
    <x v="5"/>
    <x v="0"/>
    <x v="3"/>
    <x v="0"/>
    <x v="16"/>
    <x v="20"/>
    <x v="31"/>
    <x v="14"/>
    <x v="3"/>
    <x v="22"/>
    <x v="48"/>
  </r>
  <r>
    <x v="74"/>
    <x v="4"/>
    <x v="0"/>
    <x v="0"/>
    <x v="0"/>
    <x v="6"/>
    <x v="0"/>
    <x v="3"/>
    <x v="0"/>
    <x v="16"/>
    <x v="20"/>
    <x v="32"/>
    <x v="14"/>
    <x v="3"/>
    <x v="49"/>
    <x v="9"/>
  </r>
  <r>
    <x v="75"/>
    <x v="4"/>
    <x v="0"/>
    <x v="0"/>
    <x v="0"/>
    <x v="7"/>
    <x v="0"/>
    <x v="3"/>
    <x v="0"/>
    <x v="16"/>
    <x v="20"/>
    <x v="32"/>
    <x v="7"/>
    <x v="4"/>
    <x v="50"/>
    <x v="12"/>
  </r>
  <r>
    <x v="76"/>
    <x v="4"/>
    <x v="0"/>
    <x v="0"/>
    <x v="0"/>
    <x v="8"/>
    <x v="0"/>
    <x v="3"/>
    <x v="0"/>
    <x v="14"/>
    <x v="20"/>
    <x v="27"/>
    <x v="8"/>
    <x v="4"/>
    <x v="51"/>
    <x v="49"/>
  </r>
  <r>
    <x v="77"/>
    <x v="4"/>
    <x v="0"/>
    <x v="0"/>
    <x v="0"/>
    <x v="9"/>
    <x v="0"/>
    <x v="3"/>
    <x v="0"/>
    <x v="13"/>
    <x v="20"/>
    <x v="26"/>
    <x v="6"/>
    <x v="4"/>
    <x v="52"/>
    <x v="50"/>
  </r>
  <r>
    <x v="78"/>
    <x v="4"/>
    <x v="0"/>
    <x v="0"/>
    <x v="0"/>
    <x v="10"/>
    <x v="0"/>
    <x v="3"/>
    <x v="1"/>
    <x v="13"/>
    <x v="14"/>
    <x v="27"/>
    <x v="9"/>
    <x v="2"/>
    <x v="53"/>
    <x v="51"/>
  </r>
  <r>
    <x v="79"/>
    <x v="4"/>
    <x v="0"/>
    <x v="0"/>
    <x v="0"/>
    <x v="11"/>
    <x v="0"/>
    <x v="3"/>
    <x v="0"/>
    <x v="1"/>
    <x v="12"/>
    <x v="33"/>
    <x v="4"/>
    <x v="18"/>
    <x v="54"/>
    <x v="52"/>
  </r>
  <r>
    <x v="80"/>
    <x v="4"/>
    <x v="0"/>
    <x v="0"/>
    <x v="0"/>
    <x v="12"/>
    <x v="0"/>
    <x v="3"/>
    <x v="0"/>
    <x v="1"/>
    <x v="11"/>
    <x v="33"/>
    <x v="8"/>
    <x v="6"/>
    <x v="43"/>
    <x v="53"/>
  </r>
  <r>
    <x v="81"/>
    <x v="4"/>
    <x v="0"/>
    <x v="0"/>
    <x v="0"/>
    <x v="13"/>
    <x v="0"/>
    <x v="3"/>
    <x v="0"/>
    <x v="0"/>
    <x v="11"/>
    <x v="34"/>
    <x v="5"/>
    <x v="25"/>
    <x v="55"/>
    <x v="54"/>
  </r>
  <r>
    <x v="82"/>
    <x v="4"/>
    <x v="0"/>
    <x v="0"/>
    <x v="0"/>
    <x v="14"/>
    <x v="0"/>
    <x v="3"/>
    <x v="0"/>
    <x v="12"/>
    <x v="2"/>
    <x v="35"/>
    <x v="6"/>
    <x v="14"/>
    <x v="25"/>
    <x v="55"/>
  </r>
  <r>
    <x v="83"/>
    <x v="4"/>
    <x v="0"/>
    <x v="0"/>
    <x v="0"/>
    <x v="15"/>
    <x v="0"/>
    <x v="3"/>
    <x v="0"/>
    <x v="17"/>
    <x v="1"/>
    <x v="35"/>
    <x v="2"/>
    <x v="26"/>
    <x v="41"/>
    <x v="32"/>
  </r>
  <r>
    <x v="84"/>
    <x v="4"/>
    <x v="0"/>
    <x v="0"/>
    <x v="0"/>
    <x v="16"/>
    <x v="0"/>
    <x v="3"/>
    <x v="0"/>
    <x v="11"/>
    <x v="0"/>
    <x v="36"/>
    <x v="2"/>
    <x v="13"/>
    <x v="56"/>
    <x v="56"/>
  </r>
  <r>
    <x v="85"/>
    <x v="4"/>
    <x v="0"/>
    <x v="0"/>
    <x v="0"/>
    <x v="17"/>
    <x v="0"/>
    <x v="3"/>
    <x v="0"/>
    <x v="17"/>
    <x v="1"/>
    <x v="37"/>
    <x v="6"/>
    <x v="22"/>
    <x v="57"/>
    <x v="57"/>
  </r>
  <r>
    <x v="86"/>
    <x v="4"/>
    <x v="0"/>
    <x v="0"/>
    <x v="0"/>
    <x v="18"/>
    <x v="0"/>
    <x v="3"/>
    <x v="0"/>
    <x v="12"/>
    <x v="2"/>
    <x v="37"/>
    <x v="5"/>
    <x v="0"/>
    <x v="58"/>
    <x v="58"/>
  </r>
  <r>
    <x v="87"/>
    <x v="4"/>
    <x v="0"/>
    <x v="0"/>
    <x v="0"/>
    <x v="19"/>
    <x v="0"/>
    <x v="3"/>
    <x v="0"/>
    <x v="0"/>
    <x v="2"/>
    <x v="37"/>
    <x v="14"/>
    <x v="4"/>
    <x v="59"/>
    <x v="59"/>
  </r>
  <r>
    <x v="88"/>
    <x v="4"/>
    <x v="0"/>
    <x v="0"/>
    <x v="0"/>
    <x v="20"/>
    <x v="0"/>
    <x v="3"/>
    <x v="0"/>
    <x v="0"/>
    <x v="2"/>
    <x v="37"/>
    <x v="14"/>
    <x v="5"/>
    <x v="42"/>
    <x v="60"/>
  </r>
  <r>
    <x v="89"/>
    <x v="4"/>
    <x v="0"/>
    <x v="0"/>
    <x v="0"/>
    <x v="21"/>
    <x v="0"/>
    <x v="3"/>
    <x v="0"/>
    <x v="1"/>
    <x v="1"/>
    <x v="26"/>
    <x v="0"/>
    <x v="3"/>
    <x v="41"/>
    <x v="61"/>
  </r>
  <r>
    <x v="90"/>
    <x v="4"/>
    <x v="0"/>
    <x v="0"/>
    <x v="0"/>
    <x v="22"/>
    <x v="0"/>
    <x v="3"/>
    <x v="0"/>
    <x v="1"/>
    <x v="2"/>
    <x v="26"/>
    <x v="1"/>
    <x v="5"/>
    <x v="60"/>
    <x v="17"/>
  </r>
  <r>
    <x v="91"/>
    <x v="4"/>
    <x v="0"/>
    <x v="0"/>
    <x v="0"/>
    <x v="23"/>
    <x v="0"/>
    <x v="3"/>
    <x v="0"/>
    <x v="2"/>
    <x v="11"/>
    <x v="27"/>
    <x v="1"/>
    <x v="4"/>
    <x v="33"/>
    <x v="62"/>
  </r>
  <r>
    <x v="92"/>
    <x v="5"/>
    <x v="0"/>
    <x v="0"/>
    <x v="0"/>
    <x v="0"/>
    <x v="0"/>
    <x v="4"/>
    <x v="0"/>
    <x v="2"/>
    <x v="2"/>
    <x v="26"/>
    <x v="0"/>
    <x v="3"/>
    <x v="8"/>
    <x v="24"/>
  </r>
  <r>
    <x v="93"/>
    <x v="5"/>
    <x v="0"/>
    <x v="0"/>
    <x v="0"/>
    <x v="1"/>
    <x v="0"/>
    <x v="4"/>
    <x v="0"/>
    <x v="13"/>
    <x v="13"/>
    <x v="32"/>
    <x v="1"/>
    <x v="3"/>
    <x v="8"/>
    <x v="24"/>
  </r>
  <r>
    <x v="94"/>
    <x v="5"/>
    <x v="0"/>
    <x v="0"/>
    <x v="0"/>
    <x v="2"/>
    <x v="0"/>
    <x v="4"/>
    <x v="0"/>
    <x v="13"/>
    <x v="13"/>
    <x v="32"/>
    <x v="1"/>
    <x v="3"/>
    <x v="6"/>
    <x v="5"/>
  </r>
  <r>
    <x v="95"/>
    <x v="5"/>
    <x v="0"/>
    <x v="0"/>
    <x v="0"/>
    <x v="4"/>
    <x v="0"/>
    <x v="4"/>
    <x v="0"/>
    <x v="0"/>
    <x v="11"/>
    <x v="37"/>
    <x v="6"/>
    <x v="3"/>
    <x v="6"/>
    <x v="5"/>
  </r>
  <r>
    <x v="96"/>
    <x v="5"/>
    <x v="0"/>
    <x v="0"/>
    <x v="0"/>
    <x v="5"/>
    <x v="0"/>
    <x v="4"/>
    <x v="0"/>
    <x v="1"/>
    <x v="11"/>
    <x v="19"/>
    <x v="8"/>
    <x v="3"/>
    <x v="35"/>
    <x v="6"/>
  </r>
  <r>
    <x v="97"/>
    <x v="5"/>
    <x v="0"/>
    <x v="0"/>
    <x v="0"/>
    <x v="6"/>
    <x v="0"/>
    <x v="4"/>
    <x v="0"/>
    <x v="2"/>
    <x v="13"/>
    <x v="19"/>
    <x v="6"/>
    <x v="3"/>
    <x v="39"/>
    <x v="63"/>
  </r>
  <r>
    <x v="98"/>
    <x v="5"/>
    <x v="0"/>
    <x v="0"/>
    <x v="0"/>
    <x v="7"/>
    <x v="0"/>
    <x v="4"/>
    <x v="0"/>
    <x v="15"/>
    <x v="18"/>
    <x v="21"/>
    <x v="5"/>
    <x v="5"/>
    <x v="61"/>
    <x v="39"/>
  </r>
  <r>
    <x v="99"/>
    <x v="5"/>
    <x v="0"/>
    <x v="0"/>
    <x v="0"/>
    <x v="8"/>
    <x v="0"/>
    <x v="4"/>
    <x v="0"/>
    <x v="2"/>
    <x v="18"/>
    <x v="22"/>
    <x v="4"/>
    <x v="0"/>
    <x v="62"/>
    <x v="64"/>
  </r>
  <r>
    <x v="100"/>
    <x v="5"/>
    <x v="0"/>
    <x v="0"/>
    <x v="0"/>
    <x v="9"/>
    <x v="0"/>
    <x v="4"/>
    <x v="0"/>
    <x v="1"/>
    <x v="13"/>
    <x v="38"/>
    <x v="9"/>
    <x v="15"/>
    <x v="63"/>
    <x v="65"/>
  </r>
  <r>
    <x v="101"/>
    <x v="5"/>
    <x v="0"/>
    <x v="0"/>
    <x v="0"/>
    <x v="10"/>
    <x v="0"/>
    <x v="4"/>
    <x v="0"/>
    <x v="1"/>
    <x v="13"/>
    <x v="38"/>
    <x v="9"/>
    <x v="17"/>
    <x v="42"/>
    <x v="52"/>
  </r>
  <r>
    <x v="102"/>
    <x v="5"/>
    <x v="0"/>
    <x v="0"/>
    <x v="0"/>
    <x v="11"/>
    <x v="0"/>
    <x v="4"/>
    <x v="0"/>
    <x v="12"/>
    <x v="11"/>
    <x v="39"/>
    <x v="9"/>
    <x v="6"/>
    <x v="60"/>
    <x v="66"/>
  </r>
  <r>
    <x v="103"/>
    <x v="5"/>
    <x v="0"/>
    <x v="0"/>
    <x v="0"/>
    <x v="12"/>
    <x v="0"/>
    <x v="4"/>
    <x v="0"/>
    <x v="12"/>
    <x v="11"/>
    <x v="39"/>
    <x v="9"/>
    <x v="2"/>
    <x v="64"/>
    <x v="67"/>
  </r>
  <r>
    <x v="104"/>
    <x v="5"/>
    <x v="0"/>
    <x v="0"/>
    <x v="0"/>
    <x v="13"/>
    <x v="0"/>
    <x v="4"/>
    <x v="0"/>
    <x v="17"/>
    <x v="2"/>
    <x v="24"/>
    <x v="4"/>
    <x v="15"/>
    <x v="65"/>
    <x v="68"/>
  </r>
  <r>
    <x v="105"/>
    <x v="5"/>
    <x v="0"/>
    <x v="0"/>
    <x v="0"/>
    <x v="14"/>
    <x v="0"/>
    <x v="4"/>
    <x v="0"/>
    <x v="11"/>
    <x v="0"/>
    <x v="40"/>
    <x v="5"/>
    <x v="22"/>
    <x v="15"/>
    <x v="69"/>
  </r>
  <r>
    <x v="106"/>
    <x v="5"/>
    <x v="0"/>
    <x v="0"/>
    <x v="0"/>
    <x v="15"/>
    <x v="0"/>
    <x v="4"/>
    <x v="0"/>
    <x v="11"/>
    <x v="0"/>
    <x v="40"/>
    <x v="5"/>
    <x v="18"/>
    <x v="11"/>
    <x v="69"/>
  </r>
  <r>
    <x v="107"/>
    <x v="5"/>
    <x v="0"/>
    <x v="0"/>
    <x v="0"/>
    <x v="16"/>
    <x v="0"/>
    <x v="4"/>
    <x v="0"/>
    <x v="11"/>
    <x v="21"/>
    <x v="40"/>
    <x v="1"/>
    <x v="17"/>
    <x v="66"/>
    <x v="70"/>
  </r>
  <r>
    <x v="108"/>
    <x v="5"/>
    <x v="0"/>
    <x v="0"/>
    <x v="0"/>
    <x v="17"/>
    <x v="0"/>
    <x v="4"/>
    <x v="0"/>
    <x v="0"/>
    <x v="11"/>
    <x v="41"/>
    <x v="5"/>
    <x v="17"/>
    <x v="67"/>
    <x v="71"/>
  </r>
  <r>
    <x v="109"/>
    <x v="5"/>
    <x v="0"/>
    <x v="0"/>
    <x v="0"/>
    <x v="18"/>
    <x v="0"/>
    <x v="4"/>
    <x v="0"/>
    <x v="0"/>
    <x v="19"/>
    <x v="41"/>
    <x v="7"/>
    <x v="0"/>
    <x v="68"/>
    <x v="72"/>
  </r>
  <r>
    <x v="110"/>
    <x v="5"/>
    <x v="0"/>
    <x v="0"/>
    <x v="0"/>
    <x v="19"/>
    <x v="0"/>
    <x v="4"/>
    <x v="0"/>
    <x v="0"/>
    <x v="2"/>
    <x v="41"/>
    <x v="14"/>
    <x v="2"/>
    <x v="69"/>
    <x v="73"/>
  </r>
  <r>
    <x v="111"/>
    <x v="5"/>
    <x v="0"/>
    <x v="0"/>
    <x v="0"/>
    <x v="20"/>
    <x v="0"/>
    <x v="4"/>
    <x v="0"/>
    <x v="1"/>
    <x v="11"/>
    <x v="19"/>
    <x v="8"/>
    <x v="18"/>
    <x v="70"/>
    <x v="70"/>
  </r>
  <r>
    <x v="112"/>
    <x v="5"/>
    <x v="0"/>
    <x v="0"/>
    <x v="0"/>
    <x v="21"/>
    <x v="0"/>
    <x v="4"/>
    <x v="0"/>
    <x v="2"/>
    <x v="13"/>
    <x v="33"/>
    <x v="5"/>
    <x v="0"/>
    <x v="71"/>
    <x v="74"/>
  </r>
  <r>
    <x v="113"/>
    <x v="5"/>
    <x v="0"/>
    <x v="0"/>
    <x v="0"/>
    <x v="22"/>
    <x v="0"/>
    <x v="4"/>
    <x v="0"/>
    <x v="15"/>
    <x v="13"/>
    <x v="28"/>
    <x v="7"/>
    <x v="5"/>
    <x v="40"/>
    <x v="51"/>
  </r>
  <r>
    <x v="114"/>
    <x v="5"/>
    <x v="0"/>
    <x v="0"/>
    <x v="0"/>
    <x v="23"/>
    <x v="0"/>
    <x v="4"/>
    <x v="0"/>
    <x v="2"/>
    <x v="2"/>
    <x v="19"/>
    <x v="0"/>
    <x v="5"/>
    <x v="72"/>
    <x v="75"/>
  </r>
  <r>
    <x v="115"/>
    <x v="6"/>
    <x v="0"/>
    <x v="0"/>
    <x v="0"/>
    <x v="0"/>
    <x v="0"/>
    <x v="5"/>
    <x v="0"/>
    <x v="15"/>
    <x v="19"/>
    <x v="28"/>
    <x v="0"/>
    <x v="3"/>
    <x v="48"/>
    <x v="62"/>
  </r>
  <r>
    <x v="116"/>
    <x v="6"/>
    <x v="0"/>
    <x v="0"/>
    <x v="0"/>
    <x v="1"/>
    <x v="0"/>
    <x v="5"/>
    <x v="0"/>
    <x v="13"/>
    <x v="11"/>
    <x v="26"/>
    <x v="0"/>
    <x v="3"/>
    <x v="22"/>
    <x v="48"/>
  </r>
  <r>
    <x v="117"/>
    <x v="6"/>
    <x v="0"/>
    <x v="0"/>
    <x v="0"/>
    <x v="2"/>
    <x v="0"/>
    <x v="5"/>
    <x v="0"/>
    <x v="13"/>
    <x v="11"/>
    <x v="26"/>
    <x v="0"/>
    <x v="3"/>
    <x v="6"/>
    <x v="5"/>
  </r>
  <r>
    <x v="118"/>
    <x v="6"/>
    <x v="0"/>
    <x v="0"/>
    <x v="0"/>
    <x v="4"/>
    <x v="0"/>
    <x v="5"/>
    <x v="1"/>
    <x v="13"/>
    <x v="13"/>
    <x v="26"/>
    <x v="1"/>
    <x v="3"/>
    <x v="4"/>
    <x v="4"/>
  </r>
  <r>
    <x v="119"/>
    <x v="6"/>
    <x v="0"/>
    <x v="0"/>
    <x v="0"/>
    <x v="5"/>
    <x v="0"/>
    <x v="5"/>
    <x v="1"/>
    <x v="14"/>
    <x v="18"/>
    <x v="27"/>
    <x v="1"/>
    <x v="3"/>
    <x v="22"/>
    <x v="48"/>
  </r>
  <r>
    <x v="120"/>
    <x v="6"/>
    <x v="0"/>
    <x v="0"/>
    <x v="0"/>
    <x v="6"/>
    <x v="0"/>
    <x v="5"/>
    <x v="1"/>
    <x v="14"/>
    <x v="17"/>
    <x v="30"/>
    <x v="14"/>
    <x v="3"/>
    <x v="49"/>
    <x v="9"/>
  </r>
  <r>
    <x v="121"/>
    <x v="6"/>
    <x v="0"/>
    <x v="0"/>
    <x v="0"/>
    <x v="7"/>
    <x v="0"/>
    <x v="5"/>
    <x v="1"/>
    <x v="13"/>
    <x v="11"/>
    <x v="29"/>
    <x v="0"/>
    <x v="3"/>
    <x v="73"/>
    <x v="76"/>
  </r>
  <r>
    <x v="122"/>
    <x v="6"/>
    <x v="0"/>
    <x v="0"/>
    <x v="0"/>
    <x v="8"/>
    <x v="0"/>
    <x v="5"/>
    <x v="0"/>
    <x v="13"/>
    <x v="11"/>
    <x v="29"/>
    <x v="0"/>
    <x v="0"/>
    <x v="74"/>
    <x v="77"/>
  </r>
  <r>
    <x v="123"/>
    <x v="6"/>
    <x v="0"/>
    <x v="0"/>
    <x v="0"/>
    <x v="9"/>
    <x v="0"/>
    <x v="5"/>
    <x v="1"/>
    <x v="15"/>
    <x v="19"/>
    <x v="33"/>
    <x v="0"/>
    <x v="15"/>
    <x v="75"/>
    <x v="78"/>
  </r>
  <r>
    <x v="124"/>
    <x v="6"/>
    <x v="0"/>
    <x v="0"/>
    <x v="0"/>
    <x v="10"/>
    <x v="0"/>
    <x v="5"/>
    <x v="0"/>
    <x v="2"/>
    <x v="2"/>
    <x v="19"/>
    <x v="0"/>
    <x v="0"/>
    <x v="76"/>
    <x v="79"/>
  </r>
  <r>
    <x v="125"/>
    <x v="6"/>
    <x v="0"/>
    <x v="0"/>
    <x v="0"/>
    <x v="11"/>
    <x v="0"/>
    <x v="5"/>
    <x v="0"/>
    <x v="1"/>
    <x v="2"/>
    <x v="18"/>
    <x v="1"/>
    <x v="4"/>
    <x v="77"/>
    <x v="29"/>
  </r>
  <r>
    <x v="126"/>
    <x v="6"/>
    <x v="0"/>
    <x v="0"/>
    <x v="0"/>
    <x v="12"/>
    <x v="0"/>
    <x v="5"/>
    <x v="0"/>
    <x v="12"/>
    <x v="0"/>
    <x v="23"/>
    <x v="0"/>
    <x v="15"/>
    <x v="78"/>
    <x v="11"/>
  </r>
  <r>
    <x v="127"/>
    <x v="6"/>
    <x v="0"/>
    <x v="0"/>
    <x v="0"/>
    <x v="13"/>
    <x v="0"/>
    <x v="5"/>
    <x v="0"/>
    <x v="12"/>
    <x v="1"/>
    <x v="23"/>
    <x v="14"/>
    <x v="6"/>
    <x v="11"/>
    <x v="16"/>
  </r>
  <r>
    <x v="128"/>
    <x v="6"/>
    <x v="0"/>
    <x v="0"/>
    <x v="0"/>
    <x v="14"/>
    <x v="0"/>
    <x v="5"/>
    <x v="0"/>
    <x v="17"/>
    <x v="1"/>
    <x v="42"/>
    <x v="8"/>
    <x v="16"/>
    <x v="79"/>
    <x v="27"/>
  </r>
  <r>
    <x v="129"/>
    <x v="6"/>
    <x v="0"/>
    <x v="0"/>
    <x v="0"/>
    <x v="15"/>
    <x v="0"/>
    <x v="5"/>
    <x v="0"/>
    <x v="17"/>
    <x v="1"/>
    <x v="42"/>
    <x v="0"/>
    <x v="1"/>
    <x v="25"/>
    <x v="69"/>
  </r>
  <r>
    <x v="130"/>
    <x v="6"/>
    <x v="0"/>
    <x v="0"/>
    <x v="0"/>
    <x v="16"/>
    <x v="0"/>
    <x v="5"/>
    <x v="0"/>
    <x v="12"/>
    <x v="2"/>
    <x v="41"/>
    <x v="8"/>
    <x v="6"/>
    <x v="64"/>
    <x v="80"/>
  </r>
  <r>
    <x v="131"/>
    <x v="6"/>
    <x v="0"/>
    <x v="0"/>
    <x v="0"/>
    <x v="17"/>
    <x v="0"/>
    <x v="5"/>
    <x v="0"/>
    <x v="1"/>
    <x v="11"/>
    <x v="33"/>
    <x v="8"/>
    <x v="14"/>
    <x v="80"/>
    <x v="81"/>
  </r>
  <r>
    <x v="132"/>
    <x v="6"/>
    <x v="0"/>
    <x v="0"/>
    <x v="0"/>
    <x v="18"/>
    <x v="0"/>
    <x v="5"/>
    <x v="0"/>
    <x v="1"/>
    <x v="11"/>
    <x v="33"/>
    <x v="7"/>
    <x v="2"/>
    <x v="81"/>
    <x v="82"/>
  </r>
  <r>
    <x v="133"/>
    <x v="6"/>
    <x v="0"/>
    <x v="0"/>
    <x v="0"/>
    <x v="19"/>
    <x v="0"/>
    <x v="5"/>
    <x v="0"/>
    <x v="1"/>
    <x v="2"/>
    <x v="28"/>
    <x v="1"/>
    <x v="0"/>
    <x v="63"/>
    <x v="59"/>
  </r>
  <r>
    <x v="134"/>
    <x v="6"/>
    <x v="0"/>
    <x v="0"/>
    <x v="0"/>
    <x v="20"/>
    <x v="0"/>
    <x v="5"/>
    <x v="0"/>
    <x v="2"/>
    <x v="12"/>
    <x v="33"/>
    <x v="8"/>
    <x v="0"/>
    <x v="43"/>
    <x v="83"/>
  </r>
  <r>
    <x v="135"/>
    <x v="6"/>
    <x v="0"/>
    <x v="0"/>
    <x v="0"/>
    <x v="21"/>
    <x v="0"/>
    <x v="5"/>
    <x v="1"/>
    <x v="1"/>
    <x v="12"/>
    <x v="28"/>
    <x v="6"/>
    <x v="3"/>
    <x v="41"/>
    <x v="61"/>
  </r>
  <r>
    <x v="136"/>
    <x v="6"/>
    <x v="0"/>
    <x v="0"/>
    <x v="0"/>
    <x v="22"/>
    <x v="0"/>
    <x v="5"/>
    <x v="1"/>
    <x v="1"/>
    <x v="12"/>
    <x v="33"/>
    <x v="3"/>
    <x v="5"/>
    <x v="82"/>
    <x v="46"/>
  </r>
  <r>
    <x v="137"/>
    <x v="6"/>
    <x v="0"/>
    <x v="0"/>
    <x v="0"/>
    <x v="23"/>
    <x v="0"/>
    <x v="5"/>
    <x v="1"/>
    <x v="2"/>
    <x v="13"/>
    <x v="29"/>
    <x v="5"/>
    <x v="17"/>
    <x v="23"/>
    <x v="84"/>
  </r>
  <r>
    <x v="138"/>
    <x v="7"/>
    <x v="0"/>
    <x v="0"/>
    <x v="0"/>
    <x v="0"/>
    <x v="0"/>
    <x v="6"/>
    <x v="1"/>
    <x v="2"/>
    <x v="13"/>
    <x v="26"/>
    <x v="5"/>
    <x v="17"/>
    <x v="0"/>
    <x v="22"/>
  </r>
  <r>
    <x v="139"/>
    <x v="7"/>
    <x v="0"/>
    <x v="0"/>
    <x v="0"/>
    <x v="1"/>
    <x v="0"/>
    <x v="6"/>
    <x v="1"/>
    <x v="2"/>
    <x v="13"/>
    <x v="27"/>
    <x v="6"/>
    <x v="4"/>
    <x v="34"/>
    <x v="85"/>
  </r>
  <r>
    <x v="140"/>
    <x v="7"/>
    <x v="0"/>
    <x v="0"/>
    <x v="0"/>
    <x v="2"/>
    <x v="0"/>
    <x v="6"/>
    <x v="1"/>
    <x v="2"/>
    <x v="13"/>
    <x v="27"/>
    <x v="6"/>
    <x v="3"/>
    <x v="4"/>
    <x v="4"/>
  </r>
  <r>
    <x v="141"/>
    <x v="7"/>
    <x v="0"/>
    <x v="0"/>
    <x v="0"/>
    <x v="4"/>
    <x v="0"/>
    <x v="6"/>
    <x v="1"/>
    <x v="2"/>
    <x v="12"/>
    <x v="27"/>
    <x v="7"/>
    <x v="3"/>
    <x v="4"/>
    <x v="4"/>
  </r>
  <r>
    <x v="142"/>
    <x v="7"/>
    <x v="0"/>
    <x v="0"/>
    <x v="0"/>
    <x v="5"/>
    <x v="0"/>
    <x v="6"/>
    <x v="2"/>
    <x v="1"/>
    <x v="1"/>
    <x v="28"/>
    <x v="0"/>
    <x v="3"/>
    <x v="34"/>
    <x v="36"/>
  </r>
  <r>
    <x v="143"/>
    <x v="7"/>
    <x v="0"/>
    <x v="0"/>
    <x v="0"/>
    <x v="6"/>
    <x v="0"/>
    <x v="6"/>
    <x v="1"/>
    <x v="2"/>
    <x v="2"/>
    <x v="27"/>
    <x v="0"/>
    <x v="1"/>
    <x v="16"/>
    <x v="19"/>
  </r>
  <r>
    <x v="144"/>
    <x v="7"/>
    <x v="0"/>
    <x v="0"/>
    <x v="0"/>
    <x v="7"/>
    <x v="0"/>
    <x v="6"/>
    <x v="0"/>
    <x v="2"/>
    <x v="12"/>
    <x v="27"/>
    <x v="7"/>
    <x v="1"/>
    <x v="83"/>
    <x v="11"/>
  </r>
  <r>
    <x v="145"/>
    <x v="7"/>
    <x v="0"/>
    <x v="0"/>
    <x v="0"/>
    <x v="8"/>
    <x v="0"/>
    <x v="6"/>
    <x v="0"/>
    <x v="2"/>
    <x v="13"/>
    <x v="33"/>
    <x v="2"/>
    <x v="20"/>
    <x v="84"/>
    <x v="86"/>
  </r>
  <r>
    <x v="146"/>
    <x v="7"/>
    <x v="0"/>
    <x v="0"/>
    <x v="0"/>
    <x v="9"/>
    <x v="0"/>
    <x v="6"/>
    <x v="0"/>
    <x v="2"/>
    <x v="18"/>
    <x v="19"/>
    <x v="4"/>
    <x v="14"/>
    <x v="85"/>
    <x v="87"/>
  </r>
  <r>
    <x v="147"/>
    <x v="7"/>
    <x v="0"/>
    <x v="0"/>
    <x v="0"/>
    <x v="10"/>
    <x v="0"/>
    <x v="6"/>
    <x v="0"/>
    <x v="1"/>
    <x v="13"/>
    <x v="38"/>
    <x v="9"/>
    <x v="19"/>
    <x v="12"/>
    <x v="55"/>
  </r>
  <r>
    <x v="148"/>
    <x v="7"/>
    <x v="0"/>
    <x v="0"/>
    <x v="0"/>
    <x v="11"/>
    <x v="0"/>
    <x v="6"/>
    <x v="1"/>
    <x v="2"/>
    <x v="13"/>
    <x v="22"/>
    <x v="6"/>
    <x v="21"/>
    <x v="41"/>
    <x v="16"/>
  </r>
  <r>
    <x v="149"/>
    <x v="7"/>
    <x v="0"/>
    <x v="0"/>
    <x v="0"/>
    <x v="12"/>
    <x v="0"/>
    <x v="6"/>
    <x v="1"/>
    <x v="2"/>
    <x v="13"/>
    <x v="38"/>
    <x v="2"/>
    <x v="14"/>
    <x v="54"/>
    <x v="29"/>
  </r>
  <r>
    <x v="150"/>
    <x v="7"/>
    <x v="0"/>
    <x v="0"/>
    <x v="0"/>
    <x v="13"/>
    <x v="0"/>
    <x v="6"/>
    <x v="1"/>
    <x v="2"/>
    <x v="18"/>
    <x v="38"/>
    <x v="3"/>
    <x v="14"/>
    <x v="27"/>
    <x v="88"/>
  </r>
  <r>
    <x v="151"/>
    <x v="7"/>
    <x v="0"/>
    <x v="0"/>
    <x v="0"/>
    <x v="14"/>
    <x v="0"/>
    <x v="6"/>
    <x v="1"/>
    <x v="2"/>
    <x v="13"/>
    <x v="22"/>
    <x v="2"/>
    <x v="18"/>
    <x v="30"/>
    <x v="89"/>
  </r>
  <r>
    <x v="152"/>
    <x v="7"/>
    <x v="0"/>
    <x v="0"/>
    <x v="0"/>
    <x v="15"/>
    <x v="0"/>
    <x v="6"/>
    <x v="1"/>
    <x v="2"/>
    <x v="12"/>
    <x v="38"/>
    <x v="8"/>
    <x v="14"/>
    <x v="36"/>
    <x v="44"/>
  </r>
  <r>
    <x v="153"/>
    <x v="7"/>
    <x v="0"/>
    <x v="0"/>
    <x v="0"/>
    <x v="16"/>
    <x v="0"/>
    <x v="6"/>
    <x v="1"/>
    <x v="2"/>
    <x v="12"/>
    <x v="38"/>
    <x v="8"/>
    <x v="2"/>
    <x v="70"/>
    <x v="90"/>
  </r>
  <r>
    <x v="154"/>
    <x v="7"/>
    <x v="0"/>
    <x v="0"/>
    <x v="0"/>
    <x v="17"/>
    <x v="0"/>
    <x v="6"/>
    <x v="1"/>
    <x v="2"/>
    <x v="2"/>
    <x v="38"/>
    <x v="0"/>
    <x v="14"/>
    <x v="86"/>
    <x v="91"/>
  </r>
  <r>
    <x v="155"/>
    <x v="7"/>
    <x v="0"/>
    <x v="0"/>
    <x v="0"/>
    <x v="18"/>
    <x v="0"/>
    <x v="6"/>
    <x v="0"/>
    <x v="2"/>
    <x v="11"/>
    <x v="22"/>
    <x v="1"/>
    <x v="18"/>
    <x v="75"/>
    <x v="92"/>
  </r>
  <r>
    <x v="156"/>
    <x v="7"/>
    <x v="0"/>
    <x v="0"/>
    <x v="0"/>
    <x v="19"/>
    <x v="0"/>
    <x v="6"/>
    <x v="0"/>
    <x v="13"/>
    <x v="13"/>
    <x v="28"/>
    <x v="1"/>
    <x v="0"/>
    <x v="50"/>
    <x v="76"/>
  </r>
  <r>
    <x v="157"/>
    <x v="7"/>
    <x v="0"/>
    <x v="0"/>
    <x v="0"/>
    <x v="20"/>
    <x v="0"/>
    <x v="6"/>
    <x v="0"/>
    <x v="15"/>
    <x v="12"/>
    <x v="19"/>
    <x v="14"/>
    <x v="5"/>
    <x v="54"/>
    <x v="41"/>
  </r>
  <r>
    <x v="158"/>
    <x v="7"/>
    <x v="0"/>
    <x v="0"/>
    <x v="0"/>
    <x v="21"/>
    <x v="0"/>
    <x v="6"/>
    <x v="0"/>
    <x v="15"/>
    <x v="13"/>
    <x v="19"/>
    <x v="7"/>
    <x v="3"/>
    <x v="87"/>
    <x v="21"/>
  </r>
  <r>
    <x v="159"/>
    <x v="7"/>
    <x v="0"/>
    <x v="0"/>
    <x v="0"/>
    <x v="22"/>
    <x v="0"/>
    <x v="6"/>
    <x v="1"/>
    <x v="15"/>
    <x v="13"/>
    <x v="21"/>
    <x v="8"/>
    <x v="4"/>
    <x v="60"/>
    <x v="9"/>
  </r>
  <r>
    <x v="160"/>
    <x v="7"/>
    <x v="0"/>
    <x v="0"/>
    <x v="0"/>
    <x v="23"/>
    <x v="0"/>
    <x v="6"/>
    <x v="1"/>
    <x v="15"/>
    <x v="13"/>
    <x v="33"/>
    <x v="8"/>
    <x v="5"/>
    <x v="88"/>
    <x v="93"/>
  </r>
  <r>
    <x v="161"/>
    <x v="8"/>
    <x v="0"/>
    <x v="0"/>
    <x v="0"/>
    <x v="0"/>
    <x v="0"/>
    <x v="0"/>
    <x v="1"/>
    <x v="15"/>
    <x v="13"/>
    <x v="33"/>
    <x v="8"/>
    <x v="5"/>
    <x v="9"/>
    <x v="94"/>
  </r>
  <r>
    <x v="162"/>
    <x v="8"/>
    <x v="0"/>
    <x v="0"/>
    <x v="0"/>
    <x v="1"/>
    <x v="0"/>
    <x v="0"/>
    <x v="1"/>
    <x v="15"/>
    <x v="12"/>
    <x v="28"/>
    <x v="1"/>
    <x v="5"/>
    <x v="89"/>
    <x v="0"/>
  </r>
  <r>
    <x v="163"/>
    <x v="8"/>
    <x v="0"/>
    <x v="0"/>
    <x v="0"/>
    <x v="2"/>
    <x v="0"/>
    <x v="0"/>
    <x v="1"/>
    <x v="15"/>
    <x v="19"/>
    <x v="28"/>
    <x v="0"/>
    <x v="0"/>
    <x v="0"/>
    <x v="0"/>
  </r>
  <r>
    <x v="164"/>
    <x v="8"/>
    <x v="0"/>
    <x v="0"/>
    <x v="0"/>
    <x v="3"/>
    <x v="0"/>
    <x v="0"/>
    <x v="2"/>
    <x v="15"/>
    <x v="13"/>
    <x v="28"/>
    <x v="8"/>
    <x v="3"/>
    <x v="7"/>
    <x v="85"/>
  </r>
  <r>
    <x v="165"/>
    <x v="8"/>
    <x v="0"/>
    <x v="0"/>
    <x v="0"/>
    <x v="4"/>
    <x v="0"/>
    <x v="0"/>
    <x v="2"/>
    <x v="15"/>
    <x v="13"/>
    <x v="28"/>
    <x v="8"/>
    <x v="3"/>
    <x v="4"/>
    <x v="4"/>
  </r>
  <r>
    <x v="166"/>
    <x v="8"/>
    <x v="0"/>
    <x v="0"/>
    <x v="0"/>
    <x v="5"/>
    <x v="0"/>
    <x v="0"/>
    <x v="1"/>
    <x v="13"/>
    <x v="17"/>
    <x v="32"/>
    <x v="8"/>
    <x v="3"/>
    <x v="34"/>
    <x v="36"/>
  </r>
  <r>
    <x v="167"/>
    <x v="8"/>
    <x v="0"/>
    <x v="0"/>
    <x v="0"/>
    <x v="6"/>
    <x v="0"/>
    <x v="0"/>
    <x v="1"/>
    <x v="13"/>
    <x v="17"/>
    <x v="32"/>
    <x v="8"/>
    <x v="3"/>
    <x v="6"/>
    <x v="5"/>
  </r>
  <r>
    <x v="168"/>
    <x v="8"/>
    <x v="0"/>
    <x v="0"/>
    <x v="0"/>
    <x v="7"/>
    <x v="0"/>
    <x v="0"/>
    <x v="1"/>
    <x v="13"/>
    <x v="18"/>
    <x v="32"/>
    <x v="14"/>
    <x v="5"/>
    <x v="21"/>
    <x v="23"/>
  </r>
  <r>
    <x v="169"/>
    <x v="8"/>
    <x v="0"/>
    <x v="0"/>
    <x v="0"/>
    <x v="8"/>
    <x v="0"/>
    <x v="0"/>
    <x v="2"/>
    <x v="13"/>
    <x v="18"/>
    <x v="43"/>
    <x v="14"/>
    <x v="3"/>
    <x v="89"/>
    <x v="93"/>
  </r>
  <r>
    <x v="170"/>
    <x v="8"/>
    <x v="0"/>
    <x v="0"/>
    <x v="0"/>
    <x v="9"/>
    <x v="0"/>
    <x v="0"/>
    <x v="2"/>
    <x v="13"/>
    <x v="18"/>
    <x v="43"/>
    <x v="14"/>
    <x v="3"/>
    <x v="32"/>
    <x v="25"/>
  </r>
  <r>
    <x v="171"/>
    <x v="8"/>
    <x v="0"/>
    <x v="0"/>
    <x v="0"/>
    <x v="10"/>
    <x v="0"/>
    <x v="0"/>
    <x v="1"/>
    <x v="15"/>
    <x v="13"/>
    <x v="1"/>
    <x v="8"/>
    <x v="2"/>
    <x v="90"/>
    <x v="42"/>
  </r>
  <r>
    <x v="172"/>
    <x v="8"/>
    <x v="0"/>
    <x v="0"/>
    <x v="0"/>
    <x v="11"/>
    <x v="0"/>
    <x v="0"/>
    <x v="1"/>
    <x v="2"/>
    <x v="18"/>
    <x v="27"/>
    <x v="13"/>
    <x v="4"/>
    <x v="91"/>
    <x v="69"/>
  </r>
  <r>
    <x v="173"/>
    <x v="8"/>
    <x v="0"/>
    <x v="0"/>
    <x v="0"/>
    <x v="12"/>
    <x v="0"/>
    <x v="0"/>
    <x v="1"/>
    <x v="2"/>
    <x v="18"/>
    <x v="29"/>
    <x v="11"/>
    <x v="1"/>
    <x v="92"/>
    <x v="95"/>
  </r>
  <r>
    <x v="174"/>
    <x v="8"/>
    <x v="0"/>
    <x v="0"/>
    <x v="0"/>
    <x v="13"/>
    <x v="0"/>
    <x v="0"/>
    <x v="0"/>
    <x v="2"/>
    <x v="18"/>
    <x v="18"/>
    <x v="9"/>
    <x v="18"/>
    <x v="73"/>
    <x v="96"/>
  </r>
  <r>
    <x v="175"/>
    <x v="8"/>
    <x v="0"/>
    <x v="0"/>
    <x v="0"/>
    <x v="14"/>
    <x v="0"/>
    <x v="0"/>
    <x v="0"/>
    <x v="2"/>
    <x v="17"/>
    <x v="25"/>
    <x v="15"/>
    <x v="6"/>
    <x v="93"/>
    <x v="76"/>
  </r>
  <r>
    <x v="176"/>
    <x v="8"/>
    <x v="0"/>
    <x v="0"/>
    <x v="0"/>
    <x v="15"/>
    <x v="0"/>
    <x v="0"/>
    <x v="0"/>
    <x v="2"/>
    <x v="17"/>
    <x v="25"/>
    <x v="10"/>
    <x v="2"/>
    <x v="94"/>
    <x v="30"/>
  </r>
  <r>
    <x v="177"/>
    <x v="8"/>
    <x v="0"/>
    <x v="0"/>
    <x v="0"/>
    <x v="16"/>
    <x v="0"/>
    <x v="0"/>
    <x v="0"/>
    <x v="15"/>
    <x v="14"/>
    <x v="44"/>
    <x v="10"/>
    <x v="1"/>
    <x v="56"/>
    <x v="31"/>
  </r>
  <r>
    <x v="178"/>
    <x v="8"/>
    <x v="0"/>
    <x v="0"/>
    <x v="0"/>
    <x v="17"/>
    <x v="0"/>
    <x v="0"/>
    <x v="0"/>
    <x v="13"/>
    <x v="16"/>
    <x v="38"/>
    <x v="16"/>
    <x v="2"/>
    <x v="27"/>
    <x v="83"/>
  </r>
  <r>
    <x v="179"/>
    <x v="8"/>
    <x v="0"/>
    <x v="0"/>
    <x v="0"/>
    <x v="18"/>
    <x v="0"/>
    <x v="0"/>
    <x v="0"/>
    <x v="14"/>
    <x v="16"/>
    <x v="17"/>
    <x v="4"/>
    <x v="0"/>
    <x v="15"/>
    <x v="97"/>
  </r>
  <r>
    <x v="180"/>
    <x v="8"/>
    <x v="0"/>
    <x v="0"/>
    <x v="0"/>
    <x v="19"/>
    <x v="0"/>
    <x v="0"/>
    <x v="0"/>
    <x v="14"/>
    <x v="16"/>
    <x v="42"/>
    <x v="2"/>
    <x v="17"/>
    <x v="16"/>
    <x v="33"/>
  </r>
  <r>
    <x v="181"/>
    <x v="8"/>
    <x v="0"/>
    <x v="0"/>
    <x v="0"/>
    <x v="20"/>
    <x v="0"/>
    <x v="0"/>
    <x v="0"/>
    <x v="16"/>
    <x v="16"/>
    <x v="42"/>
    <x v="2"/>
    <x v="3"/>
    <x v="95"/>
    <x v="20"/>
  </r>
  <r>
    <x v="182"/>
    <x v="8"/>
    <x v="0"/>
    <x v="0"/>
    <x v="0"/>
    <x v="21"/>
    <x v="0"/>
    <x v="0"/>
    <x v="0"/>
    <x v="16"/>
    <x v="15"/>
    <x v="17"/>
    <x v="11"/>
    <x v="4"/>
    <x v="96"/>
    <x v="18"/>
  </r>
  <r>
    <x v="183"/>
    <x v="8"/>
    <x v="0"/>
    <x v="0"/>
    <x v="0"/>
    <x v="22"/>
    <x v="0"/>
    <x v="0"/>
    <x v="0"/>
    <x v="16"/>
    <x v="15"/>
    <x v="42"/>
    <x v="13"/>
    <x v="5"/>
    <x v="39"/>
    <x v="19"/>
  </r>
  <r>
    <x v="184"/>
    <x v="8"/>
    <x v="0"/>
    <x v="0"/>
    <x v="0"/>
    <x v="23"/>
    <x v="0"/>
    <x v="0"/>
    <x v="0"/>
    <x v="18"/>
    <x v="22"/>
    <x v="17"/>
    <x v="10"/>
    <x v="3"/>
    <x v="97"/>
    <x v="34"/>
  </r>
  <r>
    <x v="185"/>
    <x v="9"/>
    <x v="0"/>
    <x v="0"/>
    <x v="0"/>
    <x v="0"/>
    <x v="0"/>
    <x v="1"/>
    <x v="0"/>
    <x v="18"/>
    <x v="23"/>
    <x v="16"/>
    <x v="13"/>
    <x v="5"/>
    <x v="9"/>
    <x v="94"/>
  </r>
  <r>
    <x v="186"/>
    <x v="9"/>
    <x v="0"/>
    <x v="0"/>
    <x v="0"/>
    <x v="1"/>
    <x v="0"/>
    <x v="1"/>
    <x v="0"/>
    <x v="18"/>
    <x v="22"/>
    <x v="16"/>
    <x v="17"/>
    <x v="3"/>
    <x v="98"/>
    <x v="47"/>
  </r>
  <r>
    <x v="187"/>
    <x v="9"/>
    <x v="0"/>
    <x v="0"/>
    <x v="0"/>
    <x v="2"/>
    <x v="0"/>
    <x v="1"/>
    <x v="0"/>
    <x v="18"/>
    <x v="22"/>
    <x v="15"/>
    <x v="17"/>
    <x v="3"/>
    <x v="48"/>
    <x v="62"/>
  </r>
  <r>
    <x v="188"/>
    <x v="9"/>
    <x v="0"/>
    <x v="0"/>
    <x v="0"/>
    <x v="3"/>
    <x v="0"/>
    <x v="1"/>
    <x v="0"/>
    <x v="18"/>
    <x v="23"/>
    <x v="15"/>
    <x v="12"/>
    <x v="3"/>
    <x v="22"/>
    <x v="48"/>
  </r>
  <r>
    <x v="189"/>
    <x v="9"/>
    <x v="0"/>
    <x v="0"/>
    <x v="0"/>
    <x v="4"/>
    <x v="0"/>
    <x v="1"/>
    <x v="0"/>
    <x v="19"/>
    <x v="24"/>
    <x v="45"/>
    <x v="5"/>
    <x v="3"/>
    <x v="4"/>
    <x v="4"/>
  </r>
  <r>
    <x v="190"/>
    <x v="9"/>
    <x v="0"/>
    <x v="0"/>
    <x v="0"/>
    <x v="5"/>
    <x v="0"/>
    <x v="1"/>
    <x v="0"/>
    <x v="19"/>
    <x v="24"/>
    <x v="45"/>
    <x v="5"/>
    <x v="3"/>
    <x v="4"/>
    <x v="4"/>
  </r>
  <r>
    <x v="191"/>
    <x v="9"/>
    <x v="0"/>
    <x v="0"/>
    <x v="0"/>
    <x v="6"/>
    <x v="0"/>
    <x v="1"/>
    <x v="0"/>
    <x v="18"/>
    <x v="24"/>
    <x v="36"/>
    <x v="3"/>
    <x v="3"/>
    <x v="4"/>
    <x v="4"/>
  </r>
  <r>
    <x v="192"/>
    <x v="9"/>
    <x v="0"/>
    <x v="0"/>
    <x v="0"/>
    <x v="7"/>
    <x v="0"/>
    <x v="1"/>
    <x v="0"/>
    <x v="19"/>
    <x v="24"/>
    <x v="45"/>
    <x v="5"/>
    <x v="5"/>
    <x v="34"/>
    <x v="24"/>
  </r>
  <r>
    <x v="193"/>
    <x v="9"/>
    <x v="0"/>
    <x v="0"/>
    <x v="0"/>
    <x v="8"/>
    <x v="0"/>
    <x v="1"/>
    <x v="0"/>
    <x v="18"/>
    <x v="24"/>
    <x v="36"/>
    <x v="3"/>
    <x v="3"/>
    <x v="3"/>
    <x v="98"/>
  </r>
  <r>
    <x v="194"/>
    <x v="9"/>
    <x v="0"/>
    <x v="0"/>
    <x v="0"/>
    <x v="9"/>
    <x v="0"/>
    <x v="1"/>
    <x v="0"/>
    <x v="16"/>
    <x v="23"/>
    <x v="15"/>
    <x v="18"/>
    <x v="3"/>
    <x v="23"/>
    <x v="75"/>
  </r>
  <r>
    <x v="195"/>
    <x v="9"/>
    <x v="0"/>
    <x v="0"/>
    <x v="0"/>
    <x v="10"/>
    <x v="0"/>
    <x v="1"/>
    <x v="0"/>
    <x v="14"/>
    <x v="15"/>
    <x v="21"/>
    <x v="13"/>
    <x v="3"/>
    <x v="47"/>
    <x v="99"/>
  </r>
  <r>
    <x v="196"/>
    <x v="9"/>
    <x v="0"/>
    <x v="0"/>
    <x v="0"/>
    <x v="11"/>
    <x v="0"/>
    <x v="1"/>
    <x v="0"/>
    <x v="13"/>
    <x v="16"/>
    <x v="22"/>
    <x v="18"/>
    <x v="4"/>
    <x v="12"/>
    <x v="99"/>
  </r>
  <r>
    <x v="197"/>
    <x v="9"/>
    <x v="0"/>
    <x v="0"/>
    <x v="0"/>
    <x v="12"/>
    <x v="0"/>
    <x v="1"/>
    <x v="0"/>
    <x v="15"/>
    <x v="14"/>
    <x v="38"/>
    <x v="10"/>
    <x v="17"/>
    <x v="55"/>
    <x v="56"/>
  </r>
  <r>
    <x v="198"/>
    <x v="9"/>
    <x v="0"/>
    <x v="0"/>
    <x v="0"/>
    <x v="13"/>
    <x v="0"/>
    <x v="1"/>
    <x v="0"/>
    <x v="2"/>
    <x v="17"/>
    <x v="46"/>
    <x v="10"/>
    <x v="15"/>
    <x v="94"/>
    <x v="28"/>
  </r>
  <r>
    <x v="199"/>
    <x v="9"/>
    <x v="0"/>
    <x v="0"/>
    <x v="0"/>
    <x v="14"/>
    <x v="0"/>
    <x v="1"/>
    <x v="0"/>
    <x v="1"/>
    <x v="18"/>
    <x v="25"/>
    <x v="17"/>
    <x v="1"/>
    <x v="27"/>
    <x v="44"/>
  </r>
  <r>
    <x v="200"/>
    <x v="9"/>
    <x v="0"/>
    <x v="0"/>
    <x v="0"/>
    <x v="15"/>
    <x v="0"/>
    <x v="1"/>
    <x v="0"/>
    <x v="1"/>
    <x v="13"/>
    <x v="23"/>
    <x v="11"/>
    <x v="2"/>
    <x v="99"/>
    <x v="100"/>
  </r>
  <r>
    <x v="201"/>
    <x v="9"/>
    <x v="0"/>
    <x v="0"/>
    <x v="0"/>
    <x v="16"/>
    <x v="0"/>
    <x v="1"/>
    <x v="0"/>
    <x v="2"/>
    <x v="17"/>
    <x v="46"/>
    <x v="10"/>
    <x v="23"/>
    <x v="55"/>
    <x v="101"/>
  </r>
  <r>
    <x v="202"/>
    <x v="9"/>
    <x v="0"/>
    <x v="0"/>
    <x v="0"/>
    <x v="17"/>
    <x v="0"/>
    <x v="1"/>
    <x v="0"/>
    <x v="15"/>
    <x v="20"/>
    <x v="38"/>
    <x v="13"/>
    <x v="0"/>
    <x v="79"/>
    <x v="69"/>
  </r>
  <r>
    <x v="203"/>
    <x v="9"/>
    <x v="0"/>
    <x v="0"/>
    <x v="0"/>
    <x v="18"/>
    <x v="0"/>
    <x v="1"/>
    <x v="0"/>
    <x v="13"/>
    <x v="14"/>
    <x v="22"/>
    <x v="9"/>
    <x v="17"/>
    <x v="100"/>
    <x v="61"/>
  </r>
  <r>
    <x v="204"/>
    <x v="9"/>
    <x v="0"/>
    <x v="0"/>
    <x v="0"/>
    <x v="19"/>
    <x v="0"/>
    <x v="1"/>
    <x v="0"/>
    <x v="13"/>
    <x v="14"/>
    <x v="21"/>
    <x v="9"/>
    <x v="5"/>
    <x v="71"/>
    <x v="102"/>
  </r>
  <r>
    <x v="205"/>
    <x v="9"/>
    <x v="0"/>
    <x v="0"/>
    <x v="0"/>
    <x v="20"/>
    <x v="0"/>
    <x v="1"/>
    <x v="0"/>
    <x v="14"/>
    <x v="16"/>
    <x v="15"/>
    <x v="2"/>
    <x v="3"/>
    <x v="101"/>
    <x v="103"/>
  </r>
  <r>
    <x v="206"/>
    <x v="9"/>
    <x v="0"/>
    <x v="0"/>
    <x v="0"/>
    <x v="21"/>
    <x v="0"/>
    <x v="1"/>
    <x v="0"/>
    <x v="14"/>
    <x v="15"/>
    <x v="15"/>
    <x v="12"/>
    <x v="5"/>
    <x v="23"/>
    <x v="25"/>
  </r>
  <r>
    <x v="207"/>
    <x v="9"/>
    <x v="0"/>
    <x v="0"/>
    <x v="0"/>
    <x v="22"/>
    <x v="0"/>
    <x v="1"/>
    <x v="0"/>
    <x v="14"/>
    <x v="16"/>
    <x v="15"/>
    <x v="4"/>
    <x v="2"/>
    <x v="3"/>
    <x v="93"/>
  </r>
  <r>
    <x v="208"/>
    <x v="9"/>
    <x v="0"/>
    <x v="0"/>
    <x v="0"/>
    <x v="23"/>
    <x v="0"/>
    <x v="1"/>
    <x v="0"/>
    <x v="16"/>
    <x v="14"/>
    <x v="20"/>
    <x v="5"/>
    <x v="3"/>
    <x v="8"/>
    <x v="24"/>
  </r>
  <r>
    <x v="209"/>
    <x v="10"/>
    <x v="0"/>
    <x v="0"/>
    <x v="0"/>
    <x v="0"/>
    <x v="0"/>
    <x v="2"/>
    <x v="0"/>
    <x v="16"/>
    <x v="16"/>
    <x v="20"/>
    <x v="3"/>
    <x v="4"/>
    <x v="35"/>
    <x v="36"/>
  </r>
  <r>
    <x v="210"/>
    <x v="10"/>
    <x v="0"/>
    <x v="0"/>
    <x v="0"/>
    <x v="1"/>
    <x v="0"/>
    <x v="2"/>
    <x v="0"/>
    <x v="16"/>
    <x v="16"/>
    <x v="20"/>
    <x v="3"/>
    <x v="5"/>
    <x v="5"/>
    <x v="4"/>
  </r>
  <r>
    <x v="211"/>
    <x v="10"/>
    <x v="0"/>
    <x v="0"/>
    <x v="0"/>
    <x v="2"/>
    <x v="0"/>
    <x v="2"/>
    <x v="0"/>
    <x v="16"/>
    <x v="16"/>
    <x v="20"/>
    <x v="6"/>
    <x v="3"/>
    <x v="35"/>
    <x v="6"/>
  </r>
  <r>
    <x v="212"/>
    <x v="10"/>
    <x v="0"/>
    <x v="0"/>
    <x v="0"/>
    <x v="3"/>
    <x v="0"/>
    <x v="2"/>
    <x v="0"/>
    <x v="16"/>
    <x v="16"/>
    <x v="20"/>
    <x v="6"/>
    <x v="3"/>
    <x v="4"/>
    <x v="4"/>
  </r>
  <r>
    <x v="213"/>
    <x v="10"/>
    <x v="0"/>
    <x v="0"/>
    <x v="0"/>
    <x v="4"/>
    <x v="0"/>
    <x v="2"/>
    <x v="0"/>
    <x v="18"/>
    <x v="16"/>
    <x v="47"/>
    <x v="7"/>
    <x v="5"/>
    <x v="6"/>
    <x v="6"/>
  </r>
  <r>
    <x v="214"/>
    <x v="10"/>
    <x v="0"/>
    <x v="0"/>
    <x v="0"/>
    <x v="5"/>
    <x v="0"/>
    <x v="2"/>
    <x v="0"/>
    <x v="18"/>
    <x v="15"/>
    <x v="47"/>
    <x v="2"/>
    <x v="3"/>
    <x v="35"/>
    <x v="6"/>
  </r>
  <r>
    <x v="215"/>
    <x v="10"/>
    <x v="0"/>
    <x v="0"/>
    <x v="0"/>
    <x v="6"/>
    <x v="0"/>
    <x v="2"/>
    <x v="0"/>
    <x v="16"/>
    <x v="16"/>
    <x v="20"/>
    <x v="3"/>
    <x v="3"/>
    <x v="17"/>
    <x v="35"/>
  </r>
  <r>
    <x v="216"/>
    <x v="10"/>
    <x v="0"/>
    <x v="0"/>
    <x v="0"/>
    <x v="7"/>
    <x v="0"/>
    <x v="2"/>
    <x v="0"/>
    <x v="16"/>
    <x v="16"/>
    <x v="20"/>
    <x v="6"/>
    <x v="4"/>
    <x v="102"/>
    <x v="43"/>
  </r>
  <r>
    <x v="217"/>
    <x v="10"/>
    <x v="0"/>
    <x v="0"/>
    <x v="0"/>
    <x v="8"/>
    <x v="0"/>
    <x v="2"/>
    <x v="1"/>
    <x v="16"/>
    <x v="16"/>
    <x v="20"/>
    <x v="3"/>
    <x v="17"/>
    <x v="103"/>
    <x v="104"/>
  </r>
  <r>
    <x v="218"/>
    <x v="10"/>
    <x v="0"/>
    <x v="0"/>
    <x v="0"/>
    <x v="9"/>
    <x v="0"/>
    <x v="2"/>
    <x v="1"/>
    <x v="14"/>
    <x v="16"/>
    <x v="20"/>
    <x v="2"/>
    <x v="4"/>
    <x v="50"/>
    <x v="12"/>
  </r>
  <r>
    <x v="219"/>
    <x v="10"/>
    <x v="0"/>
    <x v="0"/>
    <x v="0"/>
    <x v="10"/>
    <x v="0"/>
    <x v="2"/>
    <x v="1"/>
    <x v="14"/>
    <x v="16"/>
    <x v="20"/>
    <x v="4"/>
    <x v="3"/>
    <x v="17"/>
    <x v="35"/>
  </r>
  <r>
    <x v="220"/>
    <x v="10"/>
    <x v="0"/>
    <x v="0"/>
    <x v="0"/>
    <x v="11"/>
    <x v="0"/>
    <x v="2"/>
    <x v="1"/>
    <x v="13"/>
    <x v="14"/>
    <x v="19"/>
    <x v="3"/>
    <x v="4"/>
    <x v="95"/>
    <x v="33"/>
  </r>
  <r>
    <x v="221"/>
    <x v="10"/>
    <x v="0"/>
    <x v="0"/>
    <x v="0"/>
    <x v="12"/>
    <x v="0"/>
    <x v="2"/>
    <x v="1"/>
    <x v="2"/>
    <x v="18"/>
    <x v="22"/>
    <x v="3"/>
    <x v="2"/>
    <x v="12"/>
    <x v="46"/>
  </r>
  <r>
    <x v="222"/>
    <x v="10"/>
    <x v="0"/>
    <x v="0"/>
    <x v="0"/>
    <x v="13"/>
    <x v="0"/>
    <x v="2"/>
    <x v="1"/>
    <x v="2"/>
    <x v="18"/>
    <x v="22"/>
    <x v="3"/>
    <x v="17"/>
    <x v="54"/>
    <x v="60"/>
  </r>
  <r>
    <x v="223"/>
    <x v="10"/>
    <x v="0"/>
    <x v="0"/>
    <x v="0"/>
    <x v="14"/>
    <x v="0"/>
    <x v="2"/>
    <x v="1"/>
    <x v="2"/>
    <x v="13"/>
    <x v="22"/>
    <x v="6"/>
    <x v="3"/>
    <x v="12"/>
    <x v="105"/>
  </r>
  <r>
    <x v="224"/>
    <x v="10"/>
    <x v="0"/>
    <x v="0"/>
    <x v="0"/>
    <x v="15"/>
    <x v="0"/>
    <x v="2"/>
    <x v="1"/>
    <x v="2"/>
    <x v="13"/>
    <x v="22"/>
    <x v="6"/>
    <x v="4"/>
    <x v="30"/>
    <x v="79"/>
  </r>
  <r>
    <x v="225"/>
    <x v="10"/>
    <x v="0"/>
    <x v="0"/>
    <x v="0"/>
    <x v="16"/>
    <x v="0"/>
    <x v="2"/>
    <x v="0"/>
    <x v="2"/>
    <x v="12"/>
    <x v="22"/>
    <x v="7"/>
    <x v="17"/>
    <x v="14"/>
    <x v="30"/>
  </r>
  <r>
    <x v="226"/>
    <x v="10"/>
    <x v="0"/>
    <x v="0"/>
    <x v="0"/>
    <x v="17"/>
    <x v="0"/>
    <x v="2"/>
    <x v="0"/>
    <x v="2"/>
    <x v="11"/>
    <x v="22"/>
    <x v="14"/>
    <x v="17"/>
    <x v="104"/>
    <x v="106"/>
  </r>
  <r>
    <x v="227"/>
    <x v="10"/>
    <x v="0"/>
    <x v="0"/>
    <x v="0"/>
    <x v="18"/>
    <x v="0"/>
    <x v="2"/>
    <x v="0"/>
    <x v="2"/>
    <x v="13"/>
    <x v="22"/>
    <x v="6"/>
    <x v="5"/>
    <x v="105"/>
    <x v="107"/>
  </r>
  <r>
    <x v="228"/>
    <x v="10"/>
    <x v="0"/>
    <x v="0"/>
    <x v="0"/>
    <x v="19"/>
    <x v="0"/>
    <x v="2"/>
    <x v="0"/>
    <x v="13"/>
    <x v="17"/>
    <x v="19"/>
    <x v="8"/>
    <x v="0"/>
    <x v="50"/>
    <x v="76"/>
  </r>
  <r>
    <x v="229"/>
    <x v="10"/>
    <x v="0"/>
    <x v="0"/>
    <x v="0"/>
    <x v="20"/>
    <x v="0"/>
    <x v="2"/>
    <x v="0"/>
    <x v="13"/>
    <x v="17"/>
    <x v="20"/>
    <x v="8"/>
    <x v="5"/>
    <x v="26"/>
    <x v="30"/>
  </r>
  <r>
    <x v="230"/>
    <x v="10"/>
    <x v="0"/>
    <x v="0"/>
    <x v="0"/>
    <x v="21"/>
    <x v="0"/>
    <x v="2"/>
    <x v="0"/>
    <x v="14"/>
    <x v="14"/>
    <x v="29"/>
    <x v="5"/>
    <x v="5"/>
    <x v="53"/>
    <x v="103"/>
  </r>
  <r>
    <x v="231"/>
    <x v="10"/>
    <x v="0"/>
    <x v="0"/>
    <x v="0"/>
    <x v="22"/>
    <x v="0"/>
    <x v="2"/>
    <x v="0"/>
    <x v="14"/>
    <x v="20"/>
    <x v="29"/>
    <x v="8"/>
    <x v="4"/>
    <x v="97"/>
    <x v="108"/>
  </r>
  <r>
    <x v="232"/>
    <x v="10"/>
    <x v="0"/>
    <x v="0"/>
    <x v="0"/>
    <x v="23"/>
    <x v="0"/>
    <x v="2"/>
    <x v="0"/>
    <x v="14"/>
    <x v="20"/>
    <x v="29"/>
    <x v="8"/>
    <x v="3"/>
    <x v="72"/>
    <x v="109"/>
  </r>
  <r>
    <x v="233"/>
    <x v="11"/>
    <x v="0"/>
    <x v="0"/>
    <x v="0"/>
    <x v="0"/>
    <x v="0"/>
    <x v="3"/>
    <x v="0"/>
    <x v="14"/>
    <x v="17"/>
    <x v="29"/>
    <x v="14"/>
    <x v="4"/>
    <x v="3"/>
    <x v="47"/>
  </r>
  <r>
    <x v="234"/>
    <x v="11"/>
    <x v="0"/>
    <x v="0"/>
    <x v="0"/>
    <x v="1"/>
    <x v="0"/>
    <x v="3"/>
    <x v="0"/>
    <x v="14"/>
    <x v="20"/>
    <x v="29"/>
    <x v="8"/>
    <x v="3"/>
    <x v="35"/>
    <x v="6"/>
  </r>
  <r>
    <x v="235"/>
    <x v="11"/>
    <x v="0"/>
    <x v="0"/>
    <x v="0"/>
    <x v="2"/>
    <x v="0"/>
    <x v="3"/>
    <x v="1"/>
    <x v="13"/>
    <x v="20"/>
    <x v="28"/>
    <x v="5"/>
    <x v="3"/>
    <x v="35"/>
    <x v="6"/>
  </r>
  <r>
    <x v="236"/>
    <x v="11"/>
    <x v="0"/>
    <x v="0"/>
    <x v="0"/>
    <x v="5"/>
    <x v="0"/>
    <x v="3"/>
    <x v="1"/>
    <x v="13"/>
    <x v="18"/>
    <x v="28"/>
    <x v="7"/>
    <x v="3"/>
    <x v="8"/>
    <x v="24"/>
  </r>
  <r>
    <x v="237"/>
    <x v="11"/>
    <x v="0"/>
    <x v="0"/>
    <x v="0"/>
    <x v="6"/>
    <x v="0"/>
    <x v="3"/>
    <x v="1"/>
    <x v="13"/>
    <x v="18"/>
    <x v="28"/>
    <x v="7"/>
    <x v="3"/>
    <x v="2"/>
    <x v="110"/>
  </r>
  <r>
    <x v="238"/>
    <x v="11"/>
    <x v="0"/>
    <x v="0"/>
    <x v="0"/>
    <x v="7"/>
    <x v="0"/>
    <x v="3"/>
    <x v="1"/>
    <x v="13"/>
    <x v="11"/>
    <x v="28"/>
    <x v="0"/>
    <x v="4"/>
    <x v="106"/>
    <x v="111"/>
  </r>
  <r>
    <x v="239"/>
    <x v="11"/>
    <x v="0"/>
    <x v="0"/>
    <x v="0"/>
    <x v="8"/>
    <x v="0"/>
    <x v="3"/>
    <x v="1"/>
    <x v="15"/>
    <x v="12"/>
    <x v="33"/>
    <x v="1"/>
    <x v="0"/>
    <x v="107"/>
    <x v="112"/>
  </r>
  <r>
    <x v="240"/>
    <x v="11"/>
    <x v="0"/>
    <x v="0"/>
    <x v="0"/>
    <x v="9"/>
    <x v="0"/>
    <x v="3"/>
    <x v="1"/>
    <x v="15"/>
    <x v="13"/>
    <x v="33"/>
    <x v="8"/>
    <x v="0"/>
    <x v="69"/>
    <x v="113"/>
  </r>
  <r>
    <x v="241"/>
    <x v="11"/>
    <x v="0"/>
    <x v="0"/>
    <x v="0"/>
    <x v="10"/>
    <x v="0"/>
    <x v="3"/>
    <x v="1"/>
    <x v="2"/>
    <x v="12"/>
    <x v="33"/>
    <x v="8"/>
    <x v="0"/>
    <x v="82"/>
    <x v="60"/>
  </r>
  <r>
    <x v="242"/>
    <x v="11"/>
    <x v="0"/>
    <x v="0"/>
    <x v="0"/>
    <x v="11"/>
    <x v="0"/>
    <x v="3"/>
    <x v="1"/>
    <x v="2"/>
    <x v="12"/>
    <x v="19"/>
    <x v="7"/>
    <x v="17"/>
    <x v="17"/>
    <x v="17"/>
  </r>
  <r>
    <x v="243"/>
    <x v="11"/>
    <x v="0"/>
    <x v="0"/>
    <x v="0"/>
    <x v="12"/>
    <x v="0"/>
    <x v="3"/>
    <x v="1"/>
    <x v="2"/>
    <x v="11"/>
    <x v="33"/>
    <x v="14"/>
    <x v="4"/>
    <x v="11"/>
    <x v="52"/>
  </r>
  <r>
    <x v="244"/>
    <x v="11"/>
    <x v="0"/>
    <x v="0"/>
    <x v="0"/>
    <x v="13"/>
    <x v="0"/>
    <x v="3"/>
    <x v="1"/>
    <x v="2"/>
    <x v="11"/>
    <x v="29"/>
    <x v="1"/>
    <x v="15"/>
    <x v="24"/>
    <x v="46"/>
  </r>
  <r>
    <x v="245"/>
    <x v="11"/>
    <x v="0"/>
    <x v="0"/>
    <x v="0"/>
    <x v="14"/>
    <x v="0"/>
    <x v="3"/>
    <x v="1"/>
    <x v="2"/>
    <x v="11"/>
    <x v="29"/>
    <x v="1"/>
    <x v="0"/>
    <x v="91"/>
    <x v="55"/>
  </r>
  <r>
    <x v="246"/>
    <x v="11"/>
    <x v="0"/>
    <x v="0"/>
    <x v="0"/>
    <x v="15"/>
    <x v="0"/>
    <x v="3"/>
    <x v="1"/>
    <x v="13"/>
    <x v="13"/>
    <x v="1"/>
    <x v="1"/>
    <x v="4"/>
    <x v="108"/>
    <x v="105"/>
  </r>
  <r>
    <x v="247"/>
    <x v="11"/>
    <x v="0"/>
    <x v="0"/>
    <x v="0"/>
    <x v="16"/>
    <x v="0"/>
    <x v="3"/>
    <x v="1"/>
    <x v="13"/>
    <x v="20"/>
    <x v="3"/>
    <x v="6"/>
    <x v="17"/>
    <x v="109"/>
    <x v="31"/>
  </r>
  <r>
    <x v="248"/>
    <x v="11"/>
    <x v="0"/>
    <x v="0"/>
    <x v="0"/>
    <x v="17"/>
    <x v="0"/>
    <x v="3"/>
    <x v="1"/>
    <x v="13"/>
    <x v="20"/>
    <x v="3"/>
    <x v="6"/>
    <x v="15"/>
    <x v="110"/>
    <x v="114"/>
  </r>
  <r>
    <x v="249"/>
    <x v="11"/>
    <x v="0"/>
    <x v="0"/>
    <x v="0"/>
    <x v="18"/>
    <x v="0"/>
    <x v="3"/>
    <x v="2"/>
    <x v="13"/>
    <x v="18"/>
    <x v="43"/>
    <x v="14"/>
    <x v="5"/>
    <x v="111"/>
    <x v="76"/>
  </r>
  <r>
    <x v="250"/>
    <x v="11"/>
    <x v="0"/>
    <x v="0"/>
    <x v="0"/>
    <x v="19"/>
    <x v="0"/>
    <x v="3"/>
    <x v="2"/>
    <x v="13"/>
    <x v="11"/>
    <x v="43"/>
    <x v="0"/>
    <x v="3"/>
    <x v="82"/>
    <x v="41"/>
  </r>
  <r>
    <x v="251"/>
    <x v="11"/>
    <x v="0"/>
    <x v="0"/>
    <x v="0"/>
    <x v="20"/>
    <x v="0"/>
    <x v="3"/>
    <x v="2"/>
    <x v="13"/>
    <x v="20"/>
    <x v="43"/>
    <x v="5"/>
    <x v="3"/>
    <x v="1"/>
    <x v="2"/>
  </r>
  <r>
    <x v="252"/>
    <x v="11"/>
    <x v="0"/>
    <x v="0"/>
    <x v="0"/>
    <x v="21"/>
    <x v="0"/>
    <x v="3"/>
    <x v="2"/>
    <x v="13"/>
    <x v="13"/>
    <x v="3"/>
    <x v="1"/>
    <x v="3"/>
    <x v="32"/>
    <x v="25"/>
  </r>
  <r>
    <x v="253"/>
    <x v="11"/>
    <x v="0"/>
    <x v="0"/>
    <x v="0"/>
    <x v="22"/>
    <x v="0"/>
    <x v="3"/>
    <x v="2"/>
    <x v="13"/>
    <x v="18"/>
    <x v="43"/>
    <x v="14"/>
    <x v="5"/>
    <x v="95"/>
    <x v="115"/>
  </r>
  <r>
    <x v="254"/>
    <x v="11"/>
    <x v="0"/>
    <x v="0"/>
    <x v="0"/>
    <x v="23"/>
    <x v="0"/>
    <x v="3"/>
    <x v="2"/>
    <x v="13"/>
    <x v="13"/>
    <x v="43"/>
    <x v="1"/>
    <x v="5"/>
    <x v="72"/>
    <x v="75"/>
  </r>
  <r>
    <x v="255"/>
    <x v="12"/>
    <x v="0"/>
    <x v="0"/>
    <x v="0"/>
    <x v="0"/>
    <x v="0"/>
    <x v="4"/>
    <x v="1"/>
    <x v="13"/>
    <x v="13"/>
    <x v="3"/>
    <x v="1"/>
    <x v="3"/>
    <x v="7"/>
    <x v="85"/>
  </r>
  <r>
    <x v="256"/>
    <x v="12"/>
    <x v="0"/>
    <x v="0"/>
    <x v="0"/>
    <x v="1"/>
    <x v="0"/>
    <x v="4"/>
    <x v="1"/>
    <x v="13"/>
    <x v="18"/>
    <x v="3"/>
    <x v="14"/>
    <x v="3"/>
    <x v="8"/>
    <x v="24"/>
  </r>
  <r>
    <x v="257"/>
    <x v="12"/>
    <x v="0"/>
    <x v="0"/>
    <x v="0"/>
    <x v="2"/>
    <x v="0"/>
    <x v="4"/>
    <x v="0"/>
    <x v="14"/>
    <x v="20"/>
    <x v="3"/>
    <x v="7"/>
    <x v="3"/>
    <x v="4"/>
    <x v="4"/>
  </r>
  <r>
    <x v="258"/>
    <x v="12"/>
    <x v="0"/>
    <x v="0"/>
    <x v="0"/>
    <x v="5"/>
    <x v="0"/>
    <x v="4"/>
    <x v="0"/>
    <x v="14"/>
    <x v="20"/>
    <x v="3"/>
    <x v="8"/>
    <x v="3"/>
    <x v="34"/>
    <x v="36"/>
  </r>
  <r>
    <x v="259"/>
    <x v="12"/>
    <x v="0"/>
    <x v="0"/>
    <x v="0"/>
    <x v="6"/>
    <x v="0"/>
    <x v="4"/>
    <x v="0"/>
    <x v="16"/>
    <x v="20"/>
    <x v="43"/>
    <x v="7"/>
    <x v="3"/>
    <x v="20"/>
    <x v="0"/>
  </r>
  <r>
    <x v="260"/>
    <x v="12"/>
    <x v="0"/>
    <x v="0"/>
    <x v="0"/>
    <x v="7"/>
    <x v="0"/>
    <x v="4"/>
    <x v="0"/>
    <x v="14"/>
    <x v="20"/>
    <x v="27"/>
    <x v="7"/>
    <x v="3"/>
    <x v="25"/>
    <x v="60"/>
  </r>
  <r>
    <x v="261"/>
    <x v="12"/>
    <x v="0"/>
    <x v="0"/>
    <x v="0"/>
    <x v="8"/>
    <x v="0"/>
    <x v="4"/>
    <x v="0"/>
    <x v="13"/>
    <x v="17"/>
    <x v="29"/>
    <x v="8"/>
    <x v="0"/>
    <x v="85"/>
    <x v="116"/>
  </r>
  <r>
    <x v="262"/>
    <x v="12"/>
    <x v="0"/>
    <x v="0"/>
    <x v="0"/>
    <x v="9"/>
    <x v="0"/>
    <x v="4"/>
    <x v="0"/>
    <x v="13"/>
    <x v="14"/>
    <x v="29"/>
    <x v="9"/>
    <x v="0"/>
    <x v="78"/>
    <x v="117"/>
  </r>
  <r>
    <x v="263"/>
    <x v="12"/>
    <x v="0"/>
    <x v="0"/>
    <x v="0"/>
    <x v="10"/>
    <x v="0"/>
    <x v="4"/>
    <x v="0"/>
    <x v="15"/>
    <x v="18"/>
    <x v="28"/>
    <x v="6"/>
    <x v="3"/>
    <x v="87"/>
    <x v="21"/>
  </r>
  <r>
    <x v="264"/>
    <x v="12"/>
    <x v="0"/>
    <x v="0"/>
    <x v="0"/>
    <x v="11"/>
    <x v="0"/>
    <x v="4"/>
    <x v="0"/>
    <x v="2"/>
    <x v="18"/>
    <x v="33"/>
    <x v="13"/>
    <x v="0"/>
    <x v="1"/>
    <x v="17"/>
  </r>
  <r>
    <x v="265"/>
    <x v="12"/>
    <x v="0"/>
    <x v="0"/>
    <x v="0"/>
    <x v="12"/>
    <x v="0"/>
    <x v="4"/>
    <x v="0"/>
    <x v="2"/>
    <x v="20"/>
    <x v="19"/>
    <x v="19"/>
    <x v="0"/>
    <x v="15"/>
    <x v="97"/>
  </r>
  <r>
    <x v="266"/>
    <x v="12"/>
    <x v="0"/>
    <x v="0"/>
    <x v="0"/>
    <x v="13"/>
    <x v="0"/>
    <x v="4"/>
    <x v="0"/>
    <x v="1"/>
    <x v="13"/>
    <x v="18"/>
    <x v="11"/>
    <x v="3"/>
    <x v="47"/>
    <x v="99"/>
  </r>
  <r>
    <x v="267"/>
    <x v="12"/>
    <x v="0"/>
    <x v="0"/>
    <x v="0"/>
    <x v="14"/>
    <x v="0"/>
    <x v="4"/>
    <x v="0"/>
    <x v="2"/>
    <x v="18"/>
    <x v="19"/>
    <x v="9"/>
    <x v="3"/>
    <x v="100"/>
    <x v="40"/>
  </r>
  <r>
    <x v="268"/>
    <x v="12"/>
    <x v="0"/>
    <x v="0"/>
    <x v="0"/>
    <x v="15"/>
    <x v="0"/>
    <x v="4"/>
    <x v="0"/>
    <x v="2"/>
    <x v="17"/>
    <x v="19"/>
    <x v="12"/>
    <x v="5"/>
    <x v="41"/>
    <x v="99"/>
  </r>
  <r>
    <x v="269"/>
    <x v="12"/>
    <x v="0"/>
    <x v="0"/>
    <x v="0"/>
    <x v="16"/>
    <x v="0"/>
    <x v="4"/>
    <x v="0"/>
    <x v="1"/>
    <x v="13"/>
    <x v="18"/>
    <x v="9"/>
    <x v="2"/>
    <x v="36"/>
    <x v="118"/>
  </r>
  <r>
    <x v="270"/>
    <x v="12"/>
    <x v="0"/>
    <x v="0"/>
    <x v="0"/>
    <x v="17"/>
    <x v="0"/>
    <x v="4"/>
    <x v="0"/>
    <x v="2"/>
    <x v="18"/>
    <x v="19"/>
    <x v="11"/>
    <x v="3"/>
    <x v="112"/>
    <x v="119"/>
  </r>
  <r>
    <x v="271"/>
    <x v="12"/>
    <x v="0"/>
    <x v="0"/>
    <x v="0"/>
    <x v="18"/>
    <x v="0"/>
    <x v="4"/>
    <x v="0"/>
    <x v="2"/>
    <x v="20"/>
    <x v="19"/>
    <x v="18"/>
    <x v="4"/>
    <x v="113"/>
    <x v="120"/>
  </r>
  <r>
    <x v="272"/>
    <x v="12"/>
    <x v="0"/>
    <x v="0"/>
    <x v="0"/>
    <x v="19"/>
    <x v="0"/>
    <x v="4"/>
    <x v="0"/>
    <x v="15"/>
    <x v="20"/>
    <x v="19"/>
    <x v="12"/>
    <x v="5"/>
    <x v="70"/>
    <x v="56"/>
  </r>
  <r>
    <x v="273"/>
    <x v="12"/>
    <x v="0"/>
    <x v="0"/>
    <x v="0"/>
    <x v="20"/>
    <x v="0"/>
    <x v="4"/>
    <x v="0"/>
    <x v="13"/>
    <x v="14"/>
    <x v="20"/>
    <x v="9"/>
    <x v="4"/>
    <x v="25"/>
    <x v="10"/>
  </r>
  <r>
    <x v="274"/>
    <x v="12"/>
    <x v="0"/>
    <x v="0"/>
    <x v="0"/>
    <x v="21"/>
    <x v="0"/>
    <x v="4"/>
    <x v="0"/>
    <x v="13"/>
    <x v="14"/>
    <x v="28"/>
    <x v="9"/>
    <x v="3"/>
    <x v="77"/>
    <x v="52"/>
  </r>
  <r>
    <x v="275"/>
    <x v="12"/>
    <x v="0"/>
    <x v="0"/>
    <x v="0"/>
    <x v="22"/>
    <x v="0"/>
    <x v="4"/>
    <x v="0"/>
    <x v="13"/>
    <x v="16"/>
    <x v="28"/>
    <x v="10"/>
    <x v="5"/>
    <x v="1"/>
    <x v="63"/>
  </r>
  <r>
    <x v="276"/>
    <x v="12"/>
    <x v="0"/>
    <x v="0"/>
    <x v="0"/>
    <x v="23"/>
    <x v="0"/>
    <x v="4"/>
    <x v="0"/>
    <x v="14"/>
    <x v="15"/>
    <x v="29"/>
    <x v="12"/>
    <x v="5"/>
    <x v="23"/>
    <x v="25"/>
  </r>
  <r>
    <x v="277"/>
    <x v="13"/>
    <x v="0"/>
    <x v="0"/>
    <x v="0"/>
    <x v="0"/>
    <x v="0"/>
    <x v="5"/>
    <x v="0"/>
    <x v="14"/>
    <x v="16"/>
    <x v="29"/>
    <x v="3"/>
    <x v="5"/>
    <x v="8"/>
    <x v="85"/>
  </r>
  <r>
    <x v="278"/>
    <x v="13"/>
    <x v="0"/>
    <x v="0"/>
    <x v="0"/>
    <x v="1"/>
    <x v="0"/>
    <x v="5"/>
    <x v="0"/>
    <x v="14"/>
    <x v="16"/>
    <x v="20"/>
    <x v="3"/>
    <x v="3"/>
    <x v="6"/>
    <x v="5"/>
  </r>
  <r>
    <x v="279"/>
    <x v="13"/>
    <x v="0"/>
    <x v="0"/>
    <x v="0"/>
    <x v="2"/>
    <x v="0"/>
    <x v="5"/>
    <x v="0"/>
    <x v="14"/>
    <x v="16"/>
    <x v="20"/>
    <x v="11"/>
    <x v="3"/>
    <x v="6"/>
    <x v="5"/>
  </r>
  <r>
    <x v="280"/>
    <x v="13"/>
    <x v="0"/>
    <x v="0"/>
    <x v="0"/>
    <x v="3"/>
    <x v="0"/>
    <x v="5"/>
    <x v="0"/>
    <x v="14"/>
    <x v="16"/>
    <x v="20"/>
    <x v="9"/>
    <x v="3"/>
    <x v="35"/>
    <x v="6"/>
  </r>
  <r>
    <x v="281"/>
    <x v="13"/>
    <x v="0"/>
    <x v="0"/>
    <x v="0"/>
    <x v="4"/>
    <x v="0"/>
    <x v="5"/>
    <x v="0"/>
    <x v="14"/>
    <x v="16"/>
    <x v="20"/>
    <x v="2"/>
    <x v="3"/>
    <x v="22"/>
    <x v="48"/>
  </r>
  <r>
    <x v="282"/>
    <x v="13"/>
    <x v="0"/>
    <x v="0"/>
    <x v="0"/>
    <x v="5"/>
    <x v="0"/>
    <x v="5"/>
    <x v="0"/>
    <x v="14"/>
    <x v="16"/>
    <x v="20"/>
    <x v="4"/>
    <x v="3"/>
    <x v="35"/>
    <x v="6"/>
  </r>
  <r>
    <x v="283"/>
    <x v="13"/>
    <x v="0"/>
    <x v="0"/>
    <x v="0"/>
    <x v="6"/>
    <x v="0"/>
    <x v="5"/>
    <x v="0"/>
    <x v="16"/>
    <x v="20"/>
    <x v="47"/>
    <x v="7"/>
    <x v="3"/>
    <x v="95"/>
    <x v="20"/>
  </r>
  <r>
    <x v="284"/>
    <x v="13"/>
    <x v="0"/>
    <x v="0"/>
    <x v="0"/>
    <x v="7"/>
    <x v="0"/>
    <x v="5"/>
    <x v="0"/>
    <x v="16"/>
    <x v="20"/>
    <x v="47"/>
    <x v="7"/>
    <x v="3"/>
    <x v="109"/>
    <x v="44"/>
  </r>
  <r>
    <x v="285"/>
    <x v="13"/>
    <x v="0"/>
    <x v="0"/>
    <x v="0"/>
    <x v="8"/>
    <x v="0"/>
    <x v="5"/>
    <x v="0"/>
    <x v="14"/>
    <x v="14"/>
    <x v="20"/>
    <x v="5"/>
    <x v="2"/>
    <x v="114"/>
    <x v="121"/>
  </r>
  <r>
    <x v="286"/>
    <x v="13"/>
    <x v="0"/>
    <x v="0"/>
    <x v="0"/>
    <x v="9"/>
    <x v="0"/>
    <x v="5"/>
    <x v="0"/>
    <x v="14"/>
    <x v="16"/>
    <x v="20"/>
    <x v="9"/>
    <x v="4"/>
    <x v="115"/>
    <x v="119"/>
  </r>
  <r>
    <x v="287"/>
    <x v="13"/>
    <x v="0"/>
    <x v="0"/>
    <x v="0"/>
    <x v="10"/>
    <x v="0"/>
    <x v="5"/>
    <x v="1"/>
    <x v="13"/>
    <x v="14"/>
    <x v="20"/>
    <x v="11"/>
    <x v="4"/>
    <x v="49"/>
    <x v="103"/>
  </r>
  <r>
    <x v="288"/>
    <x v="13"/>
    <x v="0"/>
    <x v="0"/>
    <x v="0"/>
    <x v="11"/>
    <x v="0"/>
    <x v="5"/>
    <x v="1"/>
    <x v="2"/>
    <x v="17"/>
    <x v="18"/>
    <x v="10"/>
    <x v="17"/>
    <x v="39"/>
    <x v="18"/>
  </r>
  <r>
    <x v="289"/>
    <x v="13"/>
    <x v="0"/>
    <x v="0"/>
    <x v="0"/>
    <x v="12"/>
    <x v="0"/>
    <x v="5"/>
    <x v="0"/>
    <x v="2"/>
    <x v="17"/>
    <x v="18"/>
    <x v="12"/>
    <x v="0"/>
    <x v="47"/>
    <x v="46"/>
  </r>
  <r>
    <x v="290"/>
    <x v="13"/>
    <x v="0"/>
    <x v="0"/>
    <x v="0"/>
    <x v="13"/>
    <x v="0"/>
    <x v="5"/>
    <x v="0"/>
    <x v="1"/>
    <x v="13"/>
    <x v="48"/>
    <x v="10"/>
    <x v="4"/>
    <x v="38"/>
    <x v="56"/>
  </r>
  <r>
    <x v="291"/>
    <x v="13"/>
    <x v="0"/>
    <x v="0"/>
    <x v="0"/>
    <x v="14"/>
    <x v="0"/>
    <x v="5"/>
    <x v="0"/>
    <x v="1"/>
    <x v="13"/>
    <x v="48"/>
    <x v="13"/>
    <x v="0"/>
    <x v="87"/>
    <x v="51"/>
  </r>
  <r>
    <x v="292"/>
    <x v="13"/>
    <x v="0"/>
    <x v="0"/>
    <x v="0"/>
    <x v="15"/>
    <x v="0"/>
    <x v="5"/>
    <x v="0"/>
    <x v="0"/>
    <x v="12"/>
    <x v="41"/>
    <x v="4"/>
    <x v="2"/>
    <x v="11"/>
    <x v="122"/>
  </r>
  <r>
    <x v="293"/>
    <x v="13"/>
    <x v="0"/>
    <x v="0"/>
    <x v="0"/>
    <x v="16"/>
    <x v="0"/>
    <x v="5"/>
    <x v="0"/>
    <x v="0"/>
    <x v="12"/>
    <x v="41"/>
    <x v="11"/>
    <x v="4"/>
    <x v="83"/>
    <x v="53"/>
  </r>
  <r>
    <x v="294"/>
    <x v="13"/>
    <x v="0"/>
    <x v="0"/>
    <x v="0"/>
    <x v="17"/>
    <x v="0"/>
    <x v="5"/>
    <x v="0"/>
    <x v="2"/>
    <x v="18"/>
    <x v="22"/>
    <x v="3"/>
    <x v="17"/>
    <x v="81"/>
    <x v="123"/>
  </r>
  <r>
    <x v="295"/>
    <x v="13"/>
    <x v="0"/>
    <x v="0"/>
    <x v="0"/>
    <x v="18"/>
    <x v="0"/>
    <x v="5"/>
    <x v="0"/>
    <x v="2"/>
    <x v="18"/>
    <x v="22"/>
    <x v="9"/>
    <x v="0"/>
    <x v="116"/>
    <x v="124"/>
  </r>
  <r>
    <x v="296"/>
    <x v="13"/>
    <x v="0"/>
    <x v="0"/>
    <x v="0"/>
    <x v="19"/>
    <x v="0"/>
    <x v="5"/>
    <x v="0"/>
    <x v="13"/>
    <x v="20"/>
    <x v="19"/>
    <x v="2"/>
    <x v="5"/>
    <x v="52"/>
    <x v="111"/>
  </r>
  <r>
    <x v="297"/>
    <x v="13"/>
    <x v="0"/>
    <x v="0"/>
    <x v="0"/>
    <x v="20"/>
    <x v="0"/>
    <x v="5"/>
    <x v="0"/>
    <x v="13"/>
    <x v="20"/>
    <x v="19"/>
    <x v="6"/>
    <x v="3"/>
    <x v="27"/>
    <x v="37"/>
  </r>
  <r>
    <x v="298"/>
    <x v="13"/>
    <x v="0"/>
    <x v="0"/>
    <x v="0"/>
    <x v="21"/>
    <x v="0"/>
    <x v="5"/>
    <x v="0"/>
    <x v="14"/>
    <x v="16"/>
    <x v="15"/>
    <x v="4"/>
    <x v="3"/>
    <x v="71"/>
    <x v="1"/>
  </r>
  <r>
    <x v="299"/>
    <x v="13"/>
    <x v="0"/>
    <x v="0"/>
    <x v="0"/>
    <x v="22"/>
    <x v="0"/>
    <x v="5"/>
    <x v="0"/>
    <x v="14"/>
    <x v="16"/>
    <x v="15"/>
    <x v="9"/>
    <x v="3"/>
    <x v="10"/>
    <x v="33"/>
  </r>
  <r>
    <x v="300"/>
    <x v="13"/>
    <x v="0"/>
    <x v="0"/>
    <x v="0"/>
    <x v="23"/>
    <x v="0"/>
    <x v="5"/>
    <x v="0"/>
    <x v="16"/>
    <x v="14"/>
    <x v="20"/>
    <x v="5"/>
    <x v="5"/>
    <x v="88"/>
    <x v="93"/>
  </r>
  <r>
    <x v="301"/>
    <x v="14"/>
    <x v="0"/>
    <x v="0"/>
    <x v="0"/>
    <x v="0"/>
    <x v="0"/>
    <x v="6"/>
    <x v="0"/>
    <x v="16"/>
    <x v="14"/>
    <x v="20"/>
    <x v="5"/>
    <x v="3"/>
    <x v="88"/>
    <x v="8"/>
  </r>
  <r>
    <x v="302"/>
    <x v="14"/>
    <x v="0"/>
    <x v="0"/>
    <x v="0"/>
    <x v="1"/>
    <x v="0"/>
    <x v="6"/>
    <x v="0"/>
    <x v="18"/>
    <x v="16"/>
    <x v="47"/>
    <x v="8"/>
    <x v="3"/>
    <x v="34"/>
    <x v="36"/>
  </r>
  <r>
    <x v="303"/>
    <x v="14"/>
    <x v="0"/>
    <x v="0"/>
    <x v="0"/>
    <x v="2"/>
    <x v="0"/>
    <x v="6"/>
    <x v="0"/>
    <x v="18"/>
    <x v="16"/>
    <x v="47"/>
    <x v="7"/>
    <x v="3"/>
    <x v="4"/>
    <x v="4"/>
  </r>
  <r>
    <x v="304"/>
    <x v="14"/>
    <x v="0"/>
    <x v="0"/>
    <x v="0"/>
    <x v="3"/>
    <x v="0"/>
    <x v="6"/>
    <x v="0"/>
    <x v="18"/>
    <x v="14"/>
    <x v="47"/>
    <x v="14"/>
    <x v="3"/>
    <x v="4"/>
    <x v="4"/>
  </r>
  <r>
    <x v="305"/>
    <x v="14"/>
    <x v="0"/>
    <x v="0"/>
    <x v="0"/>
    <x v="5"/>
    <x v="0"/>
    <x v="6"/>
    <x v="0"/>
    <x v="18"/>
    <x v="14"/>
    <x v="47"/>
    <x v="1"/>
    <x v="3"/>
    <x v="21"/>
    <x v="7"/>
  </r>
  <r>
    <x v="306"/>
    <x v="14"/>
    <x v="0"/>
    <x v="0"/>
    <x v="0"/>
    <x v="6"/>
    <x v="0"/>
    <x v="6"/>
    <x v="0"/>
    <x v="18"/>
    <x v="18"/>
    <x v="47"/>
    <x v="0"/>
    <x v="3"/>
    <x v="19"/>
    <x v="22"/>
  </r>
  <r>
    <x v="307"/>
    <x v="14"/>
    <x v="0"/>
    <x v="0"/>
    <x v="0"/>
    <x v="7"/>
    <x v="0"/>
    <x v="6"/>
    <x v="0"/>
    <x v="18"/>
    <x v="16"/>
    <x v="32"/>
    <x v="8"/>
    <x v="3"/>
    <x v="14"/>
    <x v="27"/>
  </r>
  <r>
    <x v="308"/>
    <x v="14"/>
    <x v="0"/>
    <x v="0"/>
    <x v="0"/>
    <x v="8"/>
    <x v="0"/>
    <x v="6"/>
    <x v="0"/>
    <x v="16"/>
    <x v="17"/>
    <x v="31"/>
    <x v="0"/>
    <x v="4"/>
    <x v="117"/>
    <x v="125"/>
  </r>
  <r>
    <x v="309"/>
    <x v="14"/>
    <x v="0"/>
    <x v="0"/>
    <x v="0"/>
    <x v="9"/>
    <x v="0"/>
    <x v="6"/>
    <x v="0"/>
    <x v="14"/>
    <x v="20"/>
    <x v="27"/>
    <x v="7"/>
    <x v="3"/>
    <x v="118"/>
    <x v="126"/>
  </r>
  <r>
    <x v="310"/>
    <x v="14"/>
    <x v="0"/>
    <x v="0"/>
    <x v="0"/>
    <x v="10"/>
    <x v="0"/>
    <x v="6"/>
    <x v="0"/>
    <x v="15"/>
    <x v="18"/>
    <x v="28"/>
    <x v="5"/>
    <x v="17"/>
    <x v="71"/>
    <x v="40"/>
  </r>
  <r>
    <x v="311"/>
    <x v="14"/>
    <x v="0"/>
    <x v="0"/>
    <x v="0"/>
    <x v="11"/>
    <x v="0"/>
    <x v="6"/>
    <x v="0"/>
    <x v="15"/>
    <x v="17"/>
    <x v="33"/>
    <x v="3"/>
    <x v="15"/>
    <x v="12"/>
    <x v="26"/>
  </r>
  <r>
    <x v="312"/>
    <x v="14"/>
    <x v="0"/>
    <x v="0"/>
    <x v="0"/>
    <x v="12"/>
    <x v="0"/>
    <x v="6"/>
    <x v="0"/>
    <x v="2"/>
    <x v="13"/>
    <x v="18"/>
    <x v="2"/>
    <x v="4"/>
    <x v="79"/>
    <x v="42"/>
  </r>
  <r>
    <x v="313"/>
    <x v="14"/>
    <x v="0"/>
    <x v="0"/>
    <x v="0"/>
    <x v="13"/>
    <x v="0"/>
    <x v="6"/>
    <x v="0"/>
    <x v="1"/>
    <x v="13"/>
    <x v="38"/>
    <x v="13"/>
    <x v="17"/>
    <x v="26"/>
    <x v="43"/>
  </r>
  <r>
    <x v="314"/>
    <x v="14"/>
    <x v="0"/>
    <x v="0"/>
    <x v="0"/>
    <x v="14"/>
    <x v="0"/>
    <x v="6"/>
    <x v="0"/>
    <x v="1"/>
    <x v="12"/>
    <x v="48"/>
    <x v="3"/>
    <x v="2"/>
    <x v="79"/>
    <x v="37"/>
  </r>
  <r>
    <x v="315"/>
    <x v="14"/>
    <x v="0"/>
    <x v="0"/>
    <x v="0"/>
    <x v="15"/>
    <x v="0"/>
    <x v="6"/>
    <x v="0"/>
    <x v="0"/>
    <x v="19"/>
    <x v="41"/>
    <x v="8"/>
    <x v="14"/>
    <x v="79"/>
    <x v="118"/>
  </r>
  <r>
    <x v="316"/>
    <x v="14"/>
    <x v="0"/>
    <x v="0"/>
    <x v="0"/>
    <x v="16"/>
    <x v="0"/>
    <x v="6"/>
    <x v="0"/>
    <x v="1"/>
    <x v="19"/>
    <x v="48"/>
    <x v="14"/>
    <x v="0"/>
    <x v="61"/>
    <x v="127"/>
  </r>
  <r>
    <x v="317"/>
    <x v="14"/>
    <x v="0"/>
    <x v="0"/>
    <x v="0"/>
    <x v="17"/>
    <x v="0"/>
    <x v="6"/>
    <x v="0"/>
    <x v="1"/>
    <x v="11"/>
    <x v="48"/>
    <x v="8"/>
    <x v="17"/>
    <x v="119"/>
    <x v="128"/>
  </r>
  <r>
    <x v="318"/>
    <x v="14"/>
    <x v="0"/>
    <x v="0"/>
    <x v="0"/>
    <x v="18"/>
    <x v="0"/>
    <x v="6"/>
    <x v="0"/>
    <x v="2"/>
    <x v="2"/>
    <x v="19"/>
    <x v="0"/>
    <x v="2"/>
    <x v="120"/>
    <x v="119"/>
  </r>
  <r>
    <x v="319"/>
    <x v="14"/>
    <x v="0"/>
    <x v="0"/>
    <x v="0"/>
    <x v="19"/>
    <x v="0"/>
    <x v="6"/>
    <x v="0"/>
    <x v="13"/>
    <x v="13"/>
    <x v="29"/>
    <x v="1"/>
    <x v="0"/>
    <x v="121"/>
    <x v="101"/>
  </r>
  <r>
    <x v="320"/>
    <x v="14"/>
    <x v="0"/>
    <x v="0"/>
    <x v="0"/>
    <x v="20"/>
    <x v="0"/>
    <x v="6"/>
    <x v="0"/>
    <x v="15"/>
    <x v="19"/>
    <x v="29"/>
    <x v="0"/>
    <x v="3"/>
    <x v="56"/>
    <x v="118"/>
  </r>
  <r>
    <x v="321"/>
    <x v="14"/>
    <x v="0"/>
    <x v="0"/>
    <x v="0"/>
    <x v="21"/>
    <x v="0"/>
    <x v="6"/>
    <x v="0"/>
    <x v="13"/>
    <x v="11"/>
    <x v="27"/>
    <x v="0"/>
    <x v="17"/>
    <x v="41"/>
    <x v="46"/>
  </r>
  <r>
    <x v="322"/>
    <x v="14"/>
    <x v="0"/>
    <x v="0"/>
    <x v="0"/>
    <x v="22"/>
    <x v="0"/>
    <x v="6"/>
    <x v="1"/>
    <x v="13"/>
    <x v="11"/>
    <x v="27"/>
    <x v="0"/>
    <x v="4"/>
    <x v="60"/>
    <x v="9"/>
  </r>
  <r>
    <x v="323"/>
    <x v="14"/>
    <x v="0"/>
    <x v="0"/>
    <x v="0"/>
    <x v="23"/>
    <x v="0"/>
    <x v="6"/>
    <x v="1"/>
    <x v="15"/>
    <x v="19"/>
    <x v="28"/>
    <x v="0"/>
    <x v="5"/>
    <x v="16"/>
    <x v="110"/>
  </r>
  <r>
    <x v="324"/>
    <x v="15"/>
    <x v="0"/>
    <x v="0"/>
    <x v="0"/>
    <x v="0"/>
    <x v="0"/>
    <x v="0"/>
    <x v="0"/>
    <x v="15"/>
    <x v="19"/>
    <x v="28"/>
    <x v="0"/>
    <x v="0"/>
    <x v="18"/>
    <x v="20"/>
  </r>
  <r>
    <x v="325"/>
    <x v="15"/>
    <x v="0"/>
    <x v="0"/>
    <x v="0"/>
    <x v="1"/>
    <x v="0"/>
    <x v="0"/>
    <x v="1"/>
    <x v="13"/>
    <x v="13"/>
    <x v="29"/>
    <x v="1"/>
    <x v="4"/>
    <x v="72"/>
    <x v="25"/>
  </r>
  <r>
    <x v="326"/>
    <x v="15"/>
    <x v="0"/>
    <x v="0"/>
    <x v="0"/>
    <x v="2"/>
    <x v="0"/>
    <x v="0"/>
    <x v="1"/>
    <x v="13"/>
    <x v="13"/>
    <x v="29"/>
    <x v="1"/>
    <x v="3"/>
    <x v="98"/>
    <x v="47"/>
  </r>
  <r>
    <x v="327"/>
    <x v="15"/>
    <x v="0"/>
    <x v="0"/>
    <x v="0"/>
    <x v="3"/>
    <x v="0"/>
    <x v="0"/>
    <x v="1"/>
    <x v="13"/>
    <x v="11"/>
    <x v="29"/>
    <x v="0"/>
    <x v="5"/>
    <x v="7"/>
    <x v="7"/>
  </r>
  <r>
    <x v="328"/>
    <x v="15"/>
    <x v="0"/>
    <x v="0"/>
    <x v="0"/>
    <x v="4"/>
    <x v="0"/>
    <x v="0"/>
    <x v="1"/>
    <x v="13"/>
    <x v="11"/>
    <x v="29"/>
    <x v="0"/>
    <x v="3"/>
    <x v="34"/>
    <x v="36"/>
  </r>
  <r>
    <x v="329"/>
    <x v="15"/>
    <x v="0"/>
    <x v="0"/>
    <x v="0"/>
    <x v="5"/>
    <x v="0"/>
    <x v="0"/>
    <x v="0"/>
    <x v="13"/>
    <x v="11"/>
    <x v="29"/>
    <x v="0"/>
    <x v="3"/>
    <x v="4"/>
    <x v="4"/>
  </r>
  <r>
    <x v="330"/>
    <x v="15"/>
    <x v="0"/>
    <x v="0"/>
    <x v="0"/>
    <x v="6"/>
    <x v="0"/>
    <x v="0"/>
    <x v="0"/>
    <x v="14"/>
    <x v="17"/>
    <x v="30"/>
    <x v="14"/>
    <x v="5"/>
    <x v="6"/>
    <x v="6"/>
  </r>
  <r>
    <x v="331"/>
    <x v="15"/>
    <x v="0"/>
    <x v="0"/>
    <x v="0"/>
    <x v="7"/>
    <x v="0"/>
    <x v="0"/>
    <x v="0"/>
    <x v="14"/>
    <x v="12"/>
    <x v="30"/>
    <x v="0"/>
    <x v="5"/>
    <x v="33"/>
    <x v="98"/>
  </r>
  <r>
    <x v="332"/>
    <x v="15"/>
    <x v="0"/>
    <x v="0"/>
    <x v="0"/>
    <x v="8"/>
    <x v="0"/>
    <x v="0"/>
    <x v="0"/>
    <x v="14"/>
    <x v="20"/>
    <x v="30"/>
    <x v="7"/>
    <x v="5"/>
    <x v="97"/>
    <x v="84"/>
  </r>
  <r>
    <x v="333"/>
    <x v="15"/>
    <x v="0"/>
    <x v="0"/>
    <x v="0"/>
    <x v="9"/>
    <x v="0"/>
    <x v="0"/>
    <x v="0"/>
    <x v="13"/>
    <x v="18"/>
    <x v="26"/>
    <x v="7"/>
    <x v="4"/>
    <x v="17"/>
    <x v="63"/>
  </r>
  <r>
    <x v="334"/>
    <x v="15"/>
    <x v="0"/>
    <x v="0"/>
    <x v="0"/>
    <x v="10"/>
    <x v="0"/>
    <x v="0"/>
    <x v="0"/>
    <x v="15"/>
    <x v="13"/>
    <x v="29"/>
    <x v="8"/>
    <x v="4"/>
    <x v="77"/>
    <x v="29"/>
  </r>
  <r>
    <x v="335"/>
    <x v="15"/>
    <x v="0"/>
    <x v="0"/>
    <x v="0"/>
    <x v="11"/>
    <x v="0"/>
    <x v="0"/>
    <x v="0"/>
    <x v="2"/>
    <x v="13"/>
    <x v="28"/>
    <x v="6"/>
    <x v="25"/>
    <x v="25"/>
    <x v="44"/>
  </r>
  <r>
    <x v="336"/>
    <x v="15"/>
    <x v="0"/>
    <x v="0"/>
    <x v="0"/>
    <x v="12"/>
    <x v="0"/>
    <x v="0"/>
    <x v="0"/>
    <x v="0"/>
    <x v="11"/>
    <x v="37"/>
    <x v="6"/>
    <x v="13"/>
    <x v="64"/>
    <x v="70"/>
  </r>
  <r>
    <x v="337"/>
    <x v="15"/>
    <x v="0"/>
    <x v="0"/>
    <x v="0"/>
    <x v="13"/>
    <x v="0"/>
    <x v="0"/>
    <x v="0"/>
    <x v="17"/>
    <x v="2"/>
    <x v="41"/>
    <x v="4"/>
    <x v="27"/>
    <x v="122"/>
    <x v="129"/>
  </r>
  <r>
    <x v="338"/>
    <x v="15"/>
    <x v="0"/>
    <x v="0"/>
    <x v="0"/>
    <x v="14"/>
    <x v="0"/>
    <x v="0"/>
    <x v="0"/>
    <x v="11"/>
    <x v="0"/>
    <x v="17"/>
    <x v="3"/>
    <x v="7"/>
    <x v="50"/>
    <x v="130"/>
  </r>
  <r>
    <x v="339"/>
    <x v="15"/>
    <x v="0"/>
    <x v="0"/>
    <x v="0"/>
    <x v="15"/>
    <x v="0"/>
    <x v="0"/>
    <x v="1"/>
    <x v="3"/>
    <x v="21"/>
    <x v="42"/>
    <x v="5"/>
    <x v="27"/>
    <x v="123"/>
    <x v="131"/>
  </r>
  <r>
    <x v="340"/>
    <x v="15"/>
    <x v="0"/>
    <x v="0"/>
    <x v="0"/>
    <x v="16"/>
    <x v="0"/>
    <x v="0"/>
    <x v="1"/>
    <x v="10"/>
    <x v="6"/>
    <x v="46"/>
    <x v="5"/>
    <x v="28"/>
    <x v="73"/>
    <x v="116"/>
  </r>
  <r>
    <x v="341"/>
    <x v="15"/>
    <x v="0"/>
    <x v="0"/>
    <x v="0"/>
    <x v="17"/>
    <x v="0"/>
    <x v="0"/>
    <x v="1"/>
    <x v="3"/>
    <x v="25"/>
    <x v="42"/>
    <x v="3"/>
    <x v="8"/>
    <x v="25"/>
    <x v="56"/>
  </r>
  <r>
    <x v="342"/>
    <x v="15"/>
    <x v="0"/>
    <x v="0"/>
    <x v="0"/>
    <x v="18"/>
    <x v="0"/>
    <x v="0"/>
    <x v="1"/>
    <x v="11"/>
    <x v="0"/>
    <x v="49"/>
    <x v="2"/>
    <x v="13"/>
    <x v="94"/>
    <x v="11"/>
  </r>
  <r>
    <x v="343"/>
    <x v="15"/>
    <x v="0"/>
    <x v="0"/>
    <x v="0"/>
    <x v="19"/>
    <x v="0"/>
    <x v="0"/>
    <x v="1"/>
    <x v="3"/>
    <x v="25"/>
    <x v="17"/>
    <x v="2"/>
    <x v="24"/>
    <x v="91"/>
    <x v="30"/>
  </r>
  <r>
    <x v="344"/>
    <x v="15"/>
    <x v="0"/>
    <x v="0"/>
    <x v="0"/>
    <x v="20"/>
    <x v="0"/>
    <x v="0"/>
    <x v="1"/>
    <x v="3"/>
    <x v="25"/>
    <x v="17"/>
    <x v="2"/>
    <x v="15"/>
    <x v="96"/>
    <x v="102"/>
  </r>
  <r>
    <x v="345"/>
    <x v="15"/>
    <x v="0"/>
    <x v="0"/>
    <x v="0"/>
    <x v="21"/>
    <x v="0"/>
    <x v="0"/>
    <x v="1"/>
    <x v="3"/>
    <x v="25"/>
    <x v="17"/>
    <x v="6"/>
    <x v="15"/>
    <x v="82"/>
    <x v="52"/>
  </r>
  <r>
    <x v="346"/>
    <x v="15"/>
    <x v="0"/>
    <x v="0"/>
    <x v="0"/>
    <x v="22"/>
    <x v="0"/>
    <x v="0"/>
    <x v="1"/>
    <x v="11"/>
    <x v="21"/>
    <x v="16"/>
    <x v="14"/>
    <x v="3"/>
    <x v="16"/>
    <x v="132"/>
  </r>
  <r>
    <x v="347"/>
    <x v="15"/>
    <x v="0"/>
    <x v="0"/>
    <x v="0"/>
    <x v="23"/>
    <x v="0"/>
    <x v="0"/>
    <x v="0"/>
    <x v="11"/>
    <x v="0"/>
    <x v="49"/>
    <x v="3"/>
    <x v="2"/>
    <x v="87"/>
    <x v="40"/>
  </r>
  <r>
    <x v="348"/>
    <x v="16"/>
    <x v="0"/>
    <x v="0"/>
    <x v="0"/>
    <x v="0"/>
    <x v="0"/>
    <x v="1"/>
    <x v="0"/>
    <x v="12"/>
    <x v="25"/>
    <x v="34"/>
    <x v="0"/>
    <x v="15"/>
    <x v="39"/>
    <x v="21"/>
  </r>
  <r>
    <x v="349"/>
    <x v="16"/>
    <x v="0"/>
    <x v="0"/>
    <x v="0"/>
    <x v="1"/>
    <x v="0"/>
    <x v="1"/>
    <x v="0"/>
    <x v="12"/>
    <x v="1"/>
    <x v="34"/>
    <x v="7"/>
    <x v="17"/>
    <x v="23"/>
    <x v="84"/>
  </r>
  <r>
    <x v="350"/>
    <x v="16"/>
    <x v="0"/>
    <x v="0"/>
    <x v="0"/>
    <x v="2"/>
    <x v="0"/>
    <x v="1"/>
    <x v="0"/>
    <x v="12"/>
    <x v="0"/>
    <x v="34"/>
    <x v="1"/>
    <x v="0"/>
    <x v="0"/>
    <x v="0"/>
  </r>
  <r>
    <x v="351"/>
    <x v="16"/>
    <x v="0"/>
    <x v="0"/>
    <x v="0"/>
    <x v="3"/>
    <x v="0"/>
    <x v="1"/>
    <x v="0"/>
    <x v="1"/>
    <x v="1"/>
    <x v="27"/>
    <x v="0"/>
    <x v="14"/>
    <x v="8"/>
    <x v="93"/>
  </r>
  <r>
    <x v="352"/>
    <x v="16"/>
    <x v="0"/>
    <x v="0"/>
    <x v="0"/>
    <x v="4"/>
    <x v="0"/>
    <x v="1"/>
    <x v="0"/>
    <x v="12"/>
    <x v="2"/>
    <x v="34"/>
    <x v="8"/>
    <x v="3"/>
    <x v="4"/>
    <x v="4"/>
  </r>
  <r>
    <x v="353"/>
    <x v="16"/>
    <x v="0"/>
    <x v="0"/>
    <x v="0"/>
    <x v="5"/>
    <x v="0"/>
    <x v="1"/>
    <x v="1"/>
    <x v="12"/>
    <x v="2"/>
    <x v="34"/>
    <x v="8"/>
    <x v="5"/>
    <x v="4"/>
    <x v="5"/>
  </r>
  <r>
    <x v="354"/>
    <x v="16"/>
    <x v="0"/>
    <x v="0"/>
    <x v="0"/>
    <x v="6"/>
    <x v="0"/>
    <x v="1"/>
    <x v="1"/>
    <x v="12"/>
    <x v="2"/>
    <x v="34"/>
    <x v="8"/>
    <x v="3"/>
    <x v="4"/>
    <x v="4"/>
  </r>
  <r>
    <x v="355"/>
    <x v="16"/>
    <x v="0"/>
    <x v="0"/>
    <x v="0"/>
    <x v="7"/>
    <x v="0"/>
    <x v="1"/>
    <x v="1"/>
    <x v="0"/>
    <x v="12"/>
    <x v="34"/>
    <x v="4"/>
    <x v="3"/>
    <x v="35"/>
    <x v="6"/>
  </r>
  <r>
    <x v="356"/>
    <x v="16"/>
    <x v="0"/>
    <x v="0"/>
    <x v="0"/>
    <x v="8"/>
    <x v="0"/>
    <x v="1"/>
    <x v="0"/>
    <x v="1"/>
    <x v="12"/>
    <x v="28"/>
    <x v="3"/>
    <x v="3"/>
    <x v="72"/>
    <x v="109"/>
  </r>
  <r>
    <x v="357"/>
    <x v="16"/>
    <x v="0"/>
    <x v="0"/>
    <x v="0"/>
    <x v="9"/>
    <x v="0"/>
    <x v="1"/>
    <x v="0"/>
    <x v="1"/>
    <x v="12"/>
    <x v="33"/>
    <x v="2"/>
    <x v="0"/>
    <x v="31"/>
    <x v="2"/>
  </r>
  <r>
    <x v="358"/>
    <x v="16"/>
    <x v="0"/>
    <x v="0"/>
    <x v="0"/>
    <x v="10"/>
    <x v="0"/>
    <x v="1"/>
    <x v="0"/>
    <x v="1"/>
    <x v="12"/>
    <x v="33"/>
    <x v="3"/>
    <x v="1"/>
    <x v="13"/>
    <x v="67"/>
  </r>
  <r>
    <x v="359"/>
    <x v="16"/>
    <x v="0"/>
    <x v="0"/>
    <x v="0"/>
    <x v="11"/>
    <x v="0"/>
    <x v="1"/>
    <x v="0"/>
    <x v="0"/>
    <x v="11"/>
    <x v="18"/>
    <x v="2"/>
    <x v="29"/>
    <x v="14"/>
    <x v="15"/>
  </r>
  <r>
    <x v="360"/>
    <x v="16"/>
    <x v="0"/>
    <x v="0"/>
    <x v="0"/>
    <x v="12"/>
    <x v="0"/>
    <x v="1"/>
    <x v="0"/>
    <x v="0"/>
    <x v="12"/>
    <x v="48"/>
    <x v="3"/>
    <x v="8"/>
    <x v="102"/>
    <x v="133"/>
  </r>
  <r>
    <x v="361"/>
    <x v="16"/>
    <x v="0"/>
    <x v="0"/>
    <x v="0"/>
    <x v="13"/>
    <x v="0"/>
    <x v="1"/>
    <x v="0"/>
    <x v="12"/>
    <x v="11"/>
    <x v="23"/>
    <x v="4"/>
    <x v="29"/>
    <x v="73"/>
    <x v="130"/>
  </r>
  <r>
    <x v="362"/>
    <x v="16"/>
    <x v="0"/>
    <x v="0"/>
    <x v="0"/>
    <x v="14"/>
    <x v="0"/>
    <x v="1"/>
    <x v="0"/>
    <x v="17"/>
    <x v="1"/>
    <x v="42"/>
    <x v="2"/>
    <x v="30"/>
    <x v="94"/>
    <x v="134"/>
  </r>
  <r>
    <x v="363"/>
    <x v="16"/>
    <x v="0"/>
    <x v="0"/>
    <x v="0"/>
    <x v="15"/>
    <x v="0"/>
    <x v="1"/>
    <x v="0"/>
    <x v="12"/>
    <x v="19"/>
    <x v="41"/>
    <x v="2"/>
    <x v="10"/>
    <x v="78"/>
    <x v="135"/>
  </r>
  <r>
    <x v="364"/>
    <x v="16"/>
    <x v="0"/>
    <x v="0"/>
    <x v="0"/>
    <x v="16"/>
    <x v="0"/>
    <x v="1"/>
    <x v="0"/>
    <x v="0"/>
    <x v="11"/>
    <x v="41"/>
    <x v="6"/>
    <x v="30"/>
    <x v="99"/>
    <x v="111"/>
  </r>
  <r>
    <x v="365"/>
    <x v="16"/>
    <x v="0"/>
    <x v="0"/>
    <x v="0"/>
    <x v="17"/>
    <x v="0"/>
    <x v="1"/>
    <x v="0"/>
    <x v="1"/>
    <x v="12"/>
    <x v="38"/>
    <x v="2"/>
    <x v="29"/>
    <x v="70"/>
    <x v="136"/>
  </r>
  <r>
    <x v="366"/>
    <x v="16"/>
    <x v="0"/>
    <x v="0"/>
    <x v="0"/>
    <x v="18"/>
    <x v="0"/>
    <x v="1"/>
    <x v="0"/>
    <x v="2"/>
    <x v="12"/>
    <x v="22"/>
    <x v="8"/>
    <x v="16"/>
    <x v="90"/>
    <x v="16"/>
  </r>
  <r>
    <x v="367"/>
    <x v="16"/>
    <x v="0"/>
    <x v="0"/>
    <x v="0"/>
    <x v="19"/>
    <x v="0"/>
    <x v="1"/>
    <x v="0"/>
    <x v="15"/>
    <x v="13"/>
    <x v="19"/>
    <x v="7"/>
    <x v="24"/>
    <x v="12"/>
    <x v="42"/>
  </r>
  <r>
    <x v="368"/>
    <x v="16"/>
    <x v="0"/>
    <x v="0"/>
    <x v="0"/>
    <x v="20"/>
    <x v="0"/>
    <x v="1"/>
    <x v="0"/>
    <x v="15"/>
    <x v="13"/>
    <x v="19"/>
    <x v="8"/>
    <x v="18"/>
    <x v="54"/>
    <x v="52"/>
  </r>
  <r>
    <x v="369"/>
    <x v="16"/>
    <x v="0"/>
    <x v="0"/>
    <x v="0"/>
    <x v="21"/>
    <x v="0"/>
    <x v="1"/>
    <x v="0"/>
    <x v="15"/>
    <x v="13"/>
    <x v="33"/>
    <x v="8"/>
    <x v="15"/>
    <x v="97"/>
    <x v="20"/>
  </r>
  <r>
    <x v="370"/>
    <x v="16"/>
    <x v="0"/>
    <x v="0"/>
    <x v="0"/>
    <x v="22"/>
    <x v="0"/>
    <x v="1"/>
    <x v="1"/>
    <x v="2"/>
    <x v="12"/>
    <x v="36"/>
    <x v="7"/>
    <x v="4"/>
    <x v="23"/>
    <x v="137"/>
  </r>
  <r>
    <x v="371"/>
    <x v="16"/>
    <x v="0"/>
    <x v="0"/>
    <x v="0"/>
    <x v="23"/>
    <x v="0"/>
    <x v="1"/>
    <x v="1"/>
    <x v="2"/>
    <x v="11"/>
    <x v="22"/>
    <x v="14"/>
    <x v="3"/>
    <x v="72"/>
    <x v="109"/>
  </r>
  <r>
    <x v="372"/>
    <x v="17"/>
    <x v="0"/>
    <x v="0"/>
    <x v="0"/>
    <x v="0"/>
    <x v="1"/>
    <x v="2"/>
    <x v="1"/>
    <x v="2"/>
    <x v="13"/>
    <x v="19"/>
    <x v="6"/>
    <x v="5"/>
    <x v="20"/>
    <x v="22"/>
  </r>
  <r>
    <x v="373"/>
    <x v="17"/>
    <x v="0"/>
    <x v="0"/>
    <x v="0"/>
    <x v="1"/>
    <x v="1"/>
    <x v="2"/>
    <x v="1"/>
    <x v="2"/>
    <x v="13"/>
    <x v="18"/>
    <x v="5"/>
    <x v="5"/>
    <x v="89"/>
    <x v="0"/>
  </r>
  <r>
    <x v="374"/>
    <x v="17"/>
    <x v="0"/>
    <x v="0"/>
    <x v="0"/>
    <x v="2"/>
    <x v="1"/>
    <x v="2"/>
    <x v="1"/>
    <x v="15"/>
    <x v="17"/>
    <x v="21"/>
    <x v="2"/>
    <x v="3"/>
    <x v="21"/>
    <x v="7"/>
  </r>
  <r>
    <x v="375"/>
    <x v="17"/>
    <x v="0"/>
    <x v="0"/>
    <x v="0"/>
    <x v="3"/>
    <x v="1"/>
    <x v="2"/>
    <x v="1"/>
    <x v="15"/>
    <x v="18"/>
    <x v="21"/>
    <x v="5"/>
    <x v="3"/>
    <x v="6"/>
    <x v="5"/>
  </r>
  <r>
    <x v="376"/>
    <x v="17"/>
    <x v="0"/>
    <x v="0"/>
    <x v="0"/>
    <x v="4"/>
    <x v="1"/>
    <x v="2"/>
    <x v="1"/>
    <x v="15"/>
    <x v="13"/>
    <x v="21"/>
    <x v="7"/>
    <x v="5"/>
    <x v="6"/>
    <x v="6"/>
  </r>
  <r>
    <x v="377"/>
    <x v="17"/>
    <x v="0"/>
    <x v="0"/>
    <x v="0"/>
    <x v="5"/>
    <x v="1"/>
    <x v="2"/>
    <x v="1"/>
    <x v="15"/>
    <x v="13"/>
    <x v="21"/>
    <x v="8"/>
    <x v="3"/>
    <x v="4"/>
    <x v="4"/>
  </r>
  <r>
    <x v="378"/>
    <x v="17"/>
    <x v="0"/>
    <x v="0"/>
    <x v="0"/>
    <x v="6"/>
    <x v="1"/>
    <x v="2"/>
    <x v="1"/>
    <x v="15"/>
    <x v="18"/>
    <x v="21"/>
    <x v="5"/>
    <x v="3"/>
    <x v="34"/>
    <x v="36"/>
  </r>
  <r>
    <x v="379"/>
    <x v="17"/>
    <x v="0"/>
    <x v="0"/>
    <x v="0"/>
    <x v="7"/>
    <x v="1"/>
    <x v="2"/>
    <x v="1"/>
    <x v="13"/>
    <x v="18"/>
    <x v="20"/>
    <x v="7"/>
    <x v="17"/>
    <x v="33"/>
    <x v="3"/>
  </r>
  <r>
    <x v="380"/>
    <x v="17"/>
    <x v="0"/>
    <x v="0"/>
    <x v="0"/>
    <x v="8"/>
    <x v="1"/>
    <x v="2"/>
    <x v="1"/>
    <x v="13"/>
    <x v="20"/>
    <x v="19"/>
    <x v="6"/>
    <x v="0"/>
    <x v="10"/>
    <x v="63"/>
  </r>
  <r>
    <x v="381"/>
    <x v="17"/>
    <x v="0"/>
    <x v="0"/>
    <x v="0"/>
    <x v="9"/>
    <x v="1"/>
    <x v="2"/>
    <x v="1"/>
    <x v="13"/>
    <x v="20"/>
    <x v="19"/>
    <x v="6"/>
    <x v="1"/>
    <x v="87"/>
    <x v="105"/>
  </r>
  <r>
    <x v="382"/>
    <x v="17"/>
    <x v="0"/>
    <x v="0"/>
    <x v="0"/>
    <x v="10"/>
    <x v="1"/>
    <x v="2"/>
    <x v="1"/>
    <x v="13"/>
    <x v="20"/>
    <x v="20"/>
    <x v="2"/>
    <x v="18"/>
    <x v="54"/>
    <x v="52"/>
  </r>
  <r>
    <x v="383"/>
    <x v="17"/>
    <x v="0"/>
    <x v="0"/>
    <x v="0"/>
    <x v="11"/>
    <x v="1"/>
    <x v="2"/>
    <x v="1"/>
    <x v="13"/>
    <x v="20"/>
    <x v="28"/>
    <x v="5"/>
    <x v="14"/>
    <x v="11"/>
    <x v="37"/>
  </r>
  <r>
    <x v="384"/>
    <x v="17"/>
    <x v="0"/>
    <x v="0"/>
    <x v="0"/>
    <x v="12"/>
    <x v="1"/>
    <x v="2"/>
    <x v="1"/>
    <x v="15"/>
    <x v="13"/>
    <x v="19"/>
    <x v="7"/>
    <x v="22"/>
    <x v="14"/>
    <x v="138"/>
  </r>
  <r>
    <x v="385"/>
    <x v="17"/>
    <x v="0"/>
    <x v="0"/>
    <x v="0"/>
    <x v="13"/>
    <x v="1"/>
    <x v="2"/>
    <x v="1"/>
    <x v="15"/>
    <x v="13"/>
    <x v="19"/>
    <x v="7"/>
    <x v="23"/>
    <x v="122"/>
    <x v="15"/>
  </r>
  <r>
    <x v="386"/>
    <x v="17"/>
    <x v="0"/>
    <x v="0"/>
    <x v="0"/>
    <x v="14"/>
    <x v="1"/>
    <x v="2"/>
    <x v="1"/>
    <x v="15"/>
    <x v="12"/>
    <x v="21"/>
    <x v="14"/>
    <x v="6"/>
    <x v="64"/>
    <x v="80"/>
  </r>
  <r>
    <x v="387"/>
    <x v="17"/>
    <x v="0"/>
    <x v="0"/>
    <x v="0"/>
    <x v="15"/>
    <x v="1"/>
    <x v="2"/>
    <x v="1"/>
    <x v="2"/>
    <x v="12"/>
    <x v="19"/>
    <x v="8"/>
    <x v="27"/>
    <x v="109"/>
    <x v="15"/>
  </r>
  <r>
    <x v="388"/>
    <x v="17"/>
    <x v="0"/>
    <x v="0"/>
    <x v="0"/>
    <x v="16"/>
    <x v="1"/>
    <x v="2"/>
    <x v="1"/>
    <x v="2"/>
    <x v="12"/>
    <x v="19"/>
    <x v="8"/>
    <x v="15"/>
    <x v="83"/>
    <x v="100"/>
  </r>
  <r>
    <x v="389"/>
    <x v="17"/>
    <x v="0"/>
    <x v="0"/>
    <x v="0"/>
    <x v="17"/>
    <x v="1"/>
    <x v="2"/>
    <x v="0"/>
    <x v="2"/>
    <x v="13"/>
    <x v="33"/>
    <x v="5"/>
    <x v="17"/>
    <x v="28"/>
    <x v="68"/>
  </r>
  <r>
    <x v="390"/>
    <x v="17"/>
    <x v="0"/>
    <x v="0"/>
    <x v="0"/>
    <x v="18"/>
    <x v="1"/>
    <x v="2"/>
    <x v="1"/>
    <x v="15"/>
    <x v="17"/>
    <x v="28"/>
    <x v="2"/>
    <x v="18"/>
    <x v="66"/>
    <x v="101"/>
  </r>
  <r>
    <x v="391"/>
    <x v="17"/>
    <x v="0"/>
    <x v="0"/>
    <x v="0"/>
    <x v="19"/>
    <x v="1"/>
    <x v="2"/>
    <x v="2"/>
    <x v="15"/>
    <x v="18"/>
    <x v="29"/>
    <x v="5"/>
    <x v="4"/>
    <x v="29"/>
    <x v="122"/>
  </r>
  <r>
    <x v="392"/>
    <x v="17"/>
    <x v="0"/>
    <x v="0"/>
    <x v="0"/>
    <x v="20"/>
    <x v="1"/>
    <x v="2"/>
    <x v="2"/>
    <x v="13"/>
    <x v="20"/>
    <x v="1"/>
    <x v="5"/>
    <x v="17"/>
    <x v="31"/>
    <x v="63"/>
  </r>
  <r>
    <x v="393"/>
    <x v="17"/>
    <x v="0"/>
    <x v="0"/>
    <x v="0"/>
    <x v="21"/>
    <x v="1"/>
    <x v="2"/>
    <x v="2"/>
    <x v="13"/>
    <x v="20"/>
    <x v="1"/>
    <x v="5"/>
    <x v="0"/>
    <x v="9"/>
    <x v="110"/>
  </r>
  <r>
    <x v="394"/>
    <x v="17"/>
    <x v="0"/>
    <x v="0"/>
    <x v="0"/>
    <x v="22"/>
    <x v="1"/>
    <x v="2"/>
    <x v="2"/>
    <x v="14"/>
    <x v="16"/>
    <x v="43"/>
    <x v="2"/>
    <x v="3"/>
    <x v="0"/>
    <x v="3"/>
  </r>
  <r>
    <x v="395"/>
    <x v="17"/>
    <x v="0"/>
    <x v="0"/>
    <x v="0"/>
    <x v="23"/>
    <x v="1"/>
    <x v="2"/>
    <x v="2"/>
    <x v="13"/>
    <x v="14"/>
    <x v="3"/>
    <x v="3"/>
    <x v="5"/>
    <x v="35"/>
    <x v="48"/>
  </r>
  <r>
    <x v="396"/>
    <x v="18"/>
    <x v="0"/>
    <x v="0"/>
    <x v="0"/>
    <x v="12"/>
    <x v="0"/>
    <x v="3"/>
    <x v="1"/>
    <x v="2"/>
    <x v="18"/>
    <x v="3"/>
    <x v="9"/>
    <x v="3"/>
    <x v="35"/>
    <x v="6"/>
  </r>
  <r>
    <x v="397"/>
    <x v="18"/>
    <x v="0"/>
    <x v="0"/>
    <x v="0"/>
    <x v="13"/>
    <x v="0"/>
    <x v="3"/>
    <x v="1"/>
    <x v="2"/>
    <x v="13"/>
    <x v="3"/>
    <x v="6"/>
    <x v="3"/>
    <x v="97"/>
    <x v="34"/>
  </r>
  <r>
    <x v="398"/>
    <x v="18"/>
    <x v="0"/>
    <x v="0"/>
    <x v="0"/>
    <x v="14"/>
    <x v="0"/>
    <x v="3"/>
    <x v="1"/>
    <x v="1"/>
    <x v="11"/>
    <x v="1"/>
    <x v="8"/>
    <x v="4"/>
    <x v="16"/>
    <x v="20"/>
  </r>
  <r>
    <x v="399"/>
    <x v="18"/>
    <x v="0"/>
    <x v="0"/>
    <x v="0"/>
    <x v="15"/>
    <x v="0"/>
    <x v="3"/>
    <x v="1"/>
    <x v="1"/>
    <x v="11"/>
    <x v="9"/>
    <x v="8"/>
    <x v="0"/>
    <x v="1"/>
    <x v="17"/>
  </r>
  <r>
    <x v="400"/>
    <x v="18"/>
    <x v="0"/>
    <x v="0"/>
    <x v="0"/>
    <x v="16"/>
    <x v="0"/>
    <x v="3"/>
    <x v="1"/>
    <x v="1"/>
    <x v="11"/>
    <x v="9"/>
    <x v="5"/>
    <x v="3"/>
    <x v="124"/>
    <x v="42"/>
  </r>
  <r>
    <x v="401"/>
    <x v="18"/>
    <x v="0"/>
    <x v="0"/>
    <x v="0"/>
    <x v="17"/>
    <x v="0"/>
    <x v="3"/>
    <x v="1"/>
    <x v="1"/>
    <x v="11"/>
    <x v="7"/>
    <x v="5"/>
    <x v="5"/>
    <x v="125"/>
    <x v="139"/>
  </r>
  <r>
    <x v="402"/>
    <x v="18"/>
    <x v="0"/>
    <x v="0"/>
    <x v="0"/>
    <x v="18"/>
    <x v="0"/>
    <x v="3"/>
    <x v="1"/>
    <x v="1"/>
    <x v="11"/>
    <x v="1"/>
    <x v="8"/>
    <x v="5"/>
    <x v="126"/>
    <x v="140"/>
  </r>
  <r>
    <x v="403"/>
    <x v="18"/>
    <x v="0"/>
    <x v="0"/>
    <x v="0"/>
    <x v="19"/>
    <x v="0"/>
    <x v="3"/>
    <x v="1"/>
    <x v="1"/>
    <x v="11"/>
    <x v="1"/>
    <x v="7"/>
    <x v="5"/>
    <x v="52"/>
    <x v="111"/>
  </r>
  <r>
    <x v="404"/>
    <x v="18"/>
    <x v="0"/>
    <x v="0"/>
    <x v="0"/>
    <x v="20"/>
    <x v="0"/>
    <x v="3"/>
    <x v="1"/>
    <x v="1"/>
    <x v="1"/>
    <x v="9"/>
    <x v="0"/>
    <x v="3"/>
    <x v="93"/>
    <x v="56"/>
  </r>
  <r>
    <x v="405"/>
    <x v="18"/>
    <x v="0"/>
    <x v="0"/>
    <x v="0"/>
    <x v="21"/>
    <x v="0"/>
    <x v="3"/>
    <x v="1"/>
    <x v="1"/>
    <x v="19"/>
    <x v="43"/>
    <x v="14"/>
    <x v="3"/>
    <x v="40"/>
    <x v="102"/>
  </r>
  <r>
    <x v="406"/>
    <x v="18"/>
    <x v="0"/>
    <x v="0"/>
    <x v="0"/>
    <x v="22"/>
    <x v="0"/>
    <x v="3"/>
    <x v="1"/>
    <x v="1"/>
    <x v="2"/>
    <x v="43"/>
    <x v="1"/>
    <x v="3"/>
    <x v="39"/>
    <x v="63"/>
  </r>
  <r>
    <x v="407"/>
    <x v="18"/>
    <x v="0"/>
    <x v="0"/>
    <x v="0"/>
    <x v="23"/>
    <x v="0"/>
    <x v="3"/>
    <x v="1"/>
    <x v="1"/>
    <x v="1"/>
    <x v="43"/>
    <x v="0"/>
    <x v="5"/>
    <x v="23"/>
    <x v="25"/>
  </r>
  <r>
    <x v="408"/>
    <x v="19"/>
    <x v="0"/>
    <x v="0"/>
    <x v="0"/>
    <x v="0"/>
    <x v="0"/>
    <x v="4"/>
    <x v="1"/>
    <x v="1"/>
    <x v="1"/>
    <x v="43"/>
    <x v="0"/>
    <x v="3"/>
    <x v="35"/>
    <x v="6"/>
  </r>
  <r>
    <x v="409"/>
    <x v="19"/>
    <x v="0"/>
    <x v="0"/>
    <x v="0"/>
    <x v="1"/>
    <x v="0"/>
    <x v="4"/>
    <x v="2"/>
    <x v="1"/>
    <x v="11"/>
    <x v="43"/>
    <x v="7"/>
    <x v="5"/>
    <x v="8"/>
    <x v="85"/>
  </r>
  <r>
    <x v="410"/>
    <x v="19"/>
    <x v="0"/>
    <x v="0"/>
    <x v="0"/>
    <x v="2"/>
    <x v="0"/>
    <x v="4"/>
    <x v="2"/>
    <x v="1"/>
    <x v="11"/>
    <x v="43"/>
    <x v="7"/>
    <x v="3"/>
    <x v="35"/>
    <x v="6"/>
  </r>
  <r>
    <x v="411"/>
    <x v="19"/>
    <x v="0"/>
    <x v="0"/>
    <x v="0"/>
    <x v="4"/>
    <x v="0"/>
    <x v="4"/>
    <x v="2"/>
    <x v="1"/>
    <x v="11"/>
    <x v="43"/>
    <x v="7"/>
    <x v="5"/>
    <x v="4"/>
    <x v="5"/>
  </r>
  <r>
    <x v="412"/>
    <x v="19"/>
    <x v="0"/>
    <x v="0"/>
    <x v="0"/>
    <x v="5"/>
    <x v="0"/>
    <x v="4"/>
    <x v="1"/>
    <x v="1"/>
    <x v="2"/>
    <x v="43"/>
    <x v="1"/>
    <x v="3"/>
    <x v="7"/>
    <x v="85"/>
  </r>
  <r>
    <x v="413"/>
    <x v="19"/>
    <x v="0"/>
    <x v="0"/>
    <x v="0"/>
    <x v="6"/>
    <x v="0"/>
    <x v="4"/>
    <x v="1"/>
    <x v="1"/>
    <x v="2"/>
    <x v="43"/>
    <x v="1"/>
    <x v="3"/>
    <x v="1"/>
    <x v="2"/>
  </r>
  <r>
    <x v="414"/>
    <x v="19"/>
    <x v="0"/>
    <x v="0"/>
    <x v="0"/>
    <x v="7"/>
    <x v="0"/>
    <x v="4"/>
    <x v="1"/>
    <x v="0"/>
    <x v="2"/>
    <x v="50"/>
    <x v="14"/>
    <x v="5"/>
    <x v="121"/>
    <x v="127"/>
  </r>
  <r>
    <x v="415"/>
    <x v="19"/>
    <x v="0"/>
    <x v="0"/>
    <x v="0"/>
    <x v="8"/>
    <x v="0"/>
    <x v="4"/>
    <x v="1"/>
    <x v="0"/>
    <x v="2"/>
    <x v="43"/>
    <x v="14"/>
    <x v="5"/>
    <x v="127"/>
    <x v="141"/>
  </r>
  <r>
    <x v="416"/>
    <x v="19"/>
    <x v="0"/>
    <x v="0"/>
    <x v="0"/>
    <x v="9"/>
    <x v="0"/>
    <x v="4"/>
    <x v="1"/>
    <x v="0"/>
    <x v="2"/>
    <x v="43"/>
    <x v="14"/>
    <x v="4"/>
    <x v="128"/>
    <x v="142"/>
  </r>
  <r>
    <x v="417"/>
    <x v="19"/>
    <x v="0"/>
    <x v="0"/>
    <x v="0"/>
    <x v="10"/>
    <x v="0"/>
    <x v="4"/>
    <x v="1"/>
    <x v="12"/>
    <x v="1"/>
    <x v="43"/>
    <x v="7"/>
    <x v="5"/>
    <x v="24"/>
    <x v="105"/>
  </r>
  <r>
    <x v="418"/>
    <x v="19"/>
    <x v="0"/>
    <x v="0"/>
    <x v="0"/>
    <x v="11"/>
    <x v="0"/>
    <x v="4"/>
    <x v="1"/>
    <x v="17"/>
    <x v="25"/>
    <x v="9"/>
    <x v="1"/>
    <x v="2"/>
    <x v="12"/>
    <x v="46"/>
  </r>
  <r>
    <x v="419"/>
    <x v="19"/>
    <x v="0"/>
    <x v="0"/>
    <x v="0"/>
    <x v="12"/>
    <x v="0"/>
    <x v="4"/>
    <x v="1"/>
    <x v="11"/>
    <x v="21"/>
    <x v="0"/>
    <x v="1"/>
    <x v="2"/>
    <x v="65"/>
    <x v="27"/>
  </r>
  <r>
    <x v="420"/>
    <x v="19"/>
    <x v="0"/>
    <x v="0"/>
    <x v="0"/>
    <x v="13"/>
    <x v="0"/>
    <x v="4"/>
    <x v="0"/>
    <x v="9"/>
    <x v="10"/>
    <x v="51"/>
    <x v="3"/>
    <x v="16"/>
    <x v="28"/>
    <x v="53"/>
  </r>
  <r>
    <x v="421"/>
    <x v="19"/>
    <x v="0"/>
    <x v="0"/>
    <x v="0"/>
    <x v="14"/>
    <x v="0"/>
    <x v="4"/>
    <x v="0"/>
    <x v="9"/>
    <x v="10"/>
    <x v="52"/>
    <x v="2"/>
    <x v="18"/>
    <x v="56"/>
    <x v="28"/>
  </r>
  <r>
    <x v="422"/>
    <x v="19"/>
    <x v="0"/>
    <x v="0"/>
    <x v="0"/>
    <x v="15"/>
    <x v="0"/>
    <x v="4"/>
    <x v="0"/>
    <x v="9"/>
    <x v="10"/>
    <x v="47"/>
    <x v="3"/>
    <x v="17"/>
    <x v="78"/>
    <x v="100"/>
  </r>
  <r>
    <x v="423"/>
    <x v="19"/>
    <x v="0"/>
    <x v="0"/>
    <x v="0"/>
    <x v="16"/>
    <x v="0"/>
    <x v="4"/>
    <x v="0"/>
    <x v="4"/>
    <x v="5"/>
    <x v="52"/>
    <x v="13"/>
    <x v="22"/>
    <x v="111"/>
    <x v="133"/>
  </r>
  <r>
    <x v="424"/>
    <x v="19"/>
    <x v="0"/>
    <x v="0"/>
    <x v="0"/>
    <x v="17"/>
    <x v="0"/>
    <x v="4"/>
    <x v="0"/>
    <x v="5"/>
    <x v="6"/>
    <x v="14"/>
    <x v="9"/>
    <x v="18"/>
    <x v="84"/>
    <x v="141"/>
  </r>
  <r>
    <x v="425"/>
    <x v="19"/>
    <x v="0"/>
    <x v="0"/>
    <x v="0"/>
    <x v="18"/>
    <x v="0"/>
    <x v="4"/>
    <x v="0"/>
    <x v="10"/>
    <x v="21"/>
    <x v="53"/>
    <x v="3"/>
    <x v="2"/>
    <x v="117"/>
    <x v="143"/>
  </r>
  <r>
    <x v="426"/>
    <x v="19"/>
    <x v="0"/>
    <x v="0"/>
    <x v="0"/>
    <x v="19"/>
    <x v="0"/>
    <x v="4"/>
    <x v="0"/>
    <x v="3"/>
    <x v="0"/>
    <x v="14"/>
    <x v="12"/>
    <x v="17"/>
    <x v="123"/>
    <x v="59"/>
  </r>
  <r>
    <x v="427"/>
    <x v="19"/>
    <x v="0"/>
    <x v="0"/>
    <x v="0"/>
    <x v="20"/>
    <x v="0"/>
    <x v="4"/>
    <x v="0"/>
    <x v="3"/>
    <x v="25"/>
    <x v="36"/>
    <x v="4"/>
    <x v="4"/>
    <x v="64"/>
    <x v="31"/>
  </r>
  <r>
    <x v="428"/>
    <x v="19"/>
    <x v="0"/>
    <x v="0"/>
    <x v="0"/>
    <x v="21"/>
    <x v="0"/>
    <x v="4"/>
    <x v="0"/>
    <x v="3"/>
    <x v="0"/>
    <x v="36"/>
    <x v="12"/>
    <x v="17"/>
    <x v="11"/>
    <x v="29"/>
  </r>
  <r>
    <x v="429"/>
    <x v="19"/>
    <x v="0"/>
    <x v="0"/>
    <x v="0"/>
    <x v="22"/>
    <x v="0"/>
    <x v="4"/>
    <x v="0"/>
    <x v="11"/>
    <x v="25"/>
    <x v="35"/>
    <x v="8"/>
    <x v="15"/>
    <x v="42"/>
    <x v="29"/>
  </r>
  <r>
    <x v="430"/>
    <x v="19"/>
    <x v="0"/>
    <x v="0"/>
    <x v="0"/>
    <x v="23"/>
    <x v="0"/>
    <x v="4"/>
    <x v="0"/>
    <x v="11"/>
    <x v="1"/>
    <x v="35"/>
    <x v="17"/>
    <x v="5"/>
    <x v="2"/>
    <x v="20"/>
  </r>
  <r>
    <x v="431"/>
    <x v="20"/>
    <x v="0"/>
    <x v="0"/>
    <x v="0"/>
    <x v="0"/>
    <x v="0"/>
    <x v="5"/>
    <x v="0"/>
    <x v="12"/>
    <x v="11"/>
    <x v="34"/>
    <x v="13"/>
    <x v="2"/>
    <x v="21"/>
    <x v="3"/>
  </r>
  <r>
    <x v="432"/>
    <x v="20"/>
    <x v="0"/>
    <x v="0"/>
    <x v="0"/>
    <x v="1"/>
    <x v="0"/>
    <x v="5"/>
    <x v="0"/>
    <x v="12"/>
    <x v="1"/>
    <x v="34"/>
    <x v="0"/>
    <x v="4"/>
    <x v="35"/>
    <x v="36"/>
  </r>
  <r>
    <x v="433"/>
    <x v="20"/>
    <x v="0"/>
    <x v="0"/>
    <x v="0"/>
    <x v="2"/>
    <x v="0"/>
    <x v="5"/>
    <x v="0"/>
    <x v="12"/>
    <x v="1"/>
    <x v="34"/>
    <x v="0"/>
    <x v="3"/>
    <x v="6"/>
    <x v="5"/>
  </r>
  <r>
    <x v="434"/>
    <x v="20"/>
    <x v="0"/>
    <x v="0"/>
    <x v="0"/>
    <x v="3"/>
    <x v="0"/>
    <x v="5"/>
    <x v="0"/>
    <x v="12"/>
    <x v="2"/>
    <x v="34"/>
    <x v="8"/>
    <x v="3"/>
    <x v="4"/>
    <x v="4"/>
  </r>
  <r>
    <x v="435"/>
    <x v="20"/>
    <x v="0"/>
    <x v="0"/>
    <x v="0"/>
    <x v="4"/>
    <x v="0"/>
    <x v="5"/>
    <x v="0"/>
    <x v="12"/>
    <x v="2"/>
    <x v="34"/>
    <x v="8"/>
    <x v="3"/>
    <x v="4"/>
    <x v="4"/>
  </r>
  <r>
    <x v="436"/>
    <x v="20"/>
    <x v="0"/>
    <x v="0"/>
    <x v="0"/>
    <x v="5"/>
    <x v="0"/>
    <x v="5"/>
    <x v="0"/>
    <x v="0"/>
    <x v="11"/>
    <x v="54"/>
    <x v="6"/>
    <x v="3"/>
    <x v="8"/>
    <x v="24"/>
  </r>
  <r>
    <x v="437"/>
    <x v="20"/>
    <x v="0"/>
    <x v="0"/>
    <x v="0"/>
    <x v="6"/>
    <x v="0"/>
    <x v="5"/>
    <x v="0"/>
    <x v="1"/>
    <x v="12"/>
    <x v="54"/>
    <x v="6"/>
    <x v="3"/>
    <x v="96"/>
    <x v="17"/>
  </r>
  <r>
    <x v="438"/>
    <x v="20"/>
    <x v="0"/>
    <x v="0"/>
    <x v="0"/>
    <x v="7"/>
    <x v="0"/>
    <x v="5"/>
    <x v="0"/>
    <x v="1"/>
    <x v="12"/>
    <x v="28"/>
    <x v="6"/>
    <x v="5"/>
    <x v="129"/>
    <x v="129"/>
  </r>
  <r>
    <x v="439"/>
    <x v="20"/>
    <x v="0"/>
    <x v="0"/>
    <x v="0"/>
    <x v="8"/>
    <x v="0"/>
    <x v="5"/>
    <x v="0"/>
    <x v="1"/>
    <x v="12"/>
    <x v="28"/>
    <x v="3"/>
    <x v="4"/>
    <x v="130"/>
    <x v="144"/>
  </r>
  <r>
    <x v="440"/>
    <x v="20"/>
    <x v="0"/>
    <x v="0"/>
    <x v="0"/>
    <x v="9"/>
    <x v="0"/>
    <x v="5"/>
    <x v="1"/>
    <x v="0"/>
    <x v="11"/>
    <x v="35"/>
    <x v="6"/>
    <x v="0"/>
    <x v="131"/>
    <x v="145"/>
  </r>
  <r>
    <x v="441"/>
    <x v="20"/>
    <x v="0"/>
    <x v="0"/>
    <x v="0"/>
    <x v="10"/>
    <x v="0"/>
    <x v="5"/>
    <x v="0"/>
    <x v="12"/>
    <x v="11"/>
    <x v="37"/>
    <x v="4"/>
    <x v="5"/>
    <x v="90"/>
    <x v="52"/>
  </r>
  <r>
    <x v="442"/>
    <x v="20"/>
    <x v="0"/>
    <x v="0"/>
    <x v="0"/>
    <x v="11"/>
    <x v="0"/>
    <x v="5"/>
    <x v="1"/>
    <x v="17"/>
    <x v="1"/>
    <x v="49"/>
    <x v="8"/>
    <x v="2"/>
    <x v="36"/>
    <x v="118"/>
  </r>
  <r>
    <x v="443"/>
    <x v="20"/>
    <x v="0"/>
    <x v="0"/>
    <x v="0"/>
    <x v="12"/>
    <x v="0"/>
    <x v="5"/>
    <x v="1"/>
    <x v="11"/>
    <x v="6"/>
    <x v="16"/>
    <x v="0"/>
    <x v="18"/>
    <x v="99"/>
    <x v="11"/>
  </r>
  <r>
    <x v="444"/>
    <x v="20"/>
    <x v="0"/>
    <x v="0"/>
    <x v="0"/>
    <x v="13"/>
    <x v="0"/>
    <x v="5"/>
    <x v="1"/>
    <x v="17"/>
    <x v="0"/>
    <x v="49"/>
    <x v="14"/>
    <x v="6"/>
    <x v="132"/>
    <x v="95"/>
  </r>
  <r>
    <x v="445"/>
    <x v="20"/>
    <x v="0"/>
    <x v="0"/>
    <x v="0"/>
    <x v="14"/>
    <x v="0"/>
    <x v="5"/>
    <x v="1"/>
    <x v="11"/>
    <x v="25"/>
    <x v="49"/>
    <x v="7"/>
    <x v="15"/>
    <x v="102"/>
    <x v="117"/>
  </r>
  <r>
    <x v="446"/>
    <x v="20"/>
    <x v="0"/>
    <x v="0"/>
    <x v="0"/>
    <x v="15"/>
    <x v="0"/>
    <x v="5"/>
    <x v="1"/>
    <x v="3"/>
    <x v="21"/>
    <x v="49"/>
    <x v="5"/>
    <x v="1"/>
    <x v="133"/>
    <x v="27"/>
  </r>
  <r>
    <x v="447"/>
    <x v="20"/>
    <x v="0"/>
    <x v="0"/>
    <x v="0"/>
    <x v="16"/>
    <x v="0"/>
    <x v="5"/>
    <x v="1"/>
    <x v="11"/>
    <x v="25"/>
    <x v="36"/>
    <x v="7"/>
    <x v="1"/>
    <x v="93"/>
    <x v="134"/>
  </r>
  <r>
    <x v="448"/>
    <x v="20"/>
    <x v="0"/>
    <x v="0"/>
    <x v="0"/>
    <x v="17"/>
    <x v="0"/>
    <x v="5"/>
    <x v="1"/>
    <x v="11"/>
    <x v="21"/>
    <x v="36"/>
    <x v="14"/>
    <x v="1"/>
    <x v="134"/>
    <x v="146"/>
  </r>
  <r>
    <x v="449"/>
    <x v="20"/>
    <x v="0"/>
    <x v="0"/>
    <x v="0"/>
    <x v="18"/>
    <x v="0"/>
    <x v="5"/>
    <x v="1"/>
    <x v="12"/>
    <x v="2"/>
    <x v="34"/>
    <x v="5"/>
    <x v="5"/>
    <x v="103"/>
    <x v="147"/>
  </r>
  <r>
    <x v="450"/>
    <x v="20"/>
    <x v="0"/>
    <x v="0"/>
    <x v="0"/>
    <x v="19"/>
    <x v="0"/>
    <x v="5"/>
    <x v="0"/>
    <x v="12"/>
    <x v="11"/>
    <x v="34"/>
    <x v="9"/>
    <x v="15"/>
    <x v="44"/>
    <x v="148"/>
  </r>
  <r>
    <x v="451"/>
    <x v="20"/>
    <x v="0"/>
    <x v="0"/>
    <x v="0"/>
    <x v="20"/>
    <x v="0"/>
    <x v="5"/>
    <x v="1"/>
    <x v="12"/>
    <x v="19"/>
    <x v="54"/>
    <x v="3"/>
    <x v="4"/>
    <x v="125"/>
    <x v="149"/>
  </r>
  <r>
    <x v="452"/>
    <x v="20"/>
    <x v="0"/>
    <x v="0"/>
    <x v="0"/>
    <x v="21"/>
    <x v="0"/>
    <x v="5"/>
    <x v="1"/>
    <x v="0"/>
    <x v="11"/>
    <x v="54"/>
    <x v="2"/>
    <x v="0"/>
    <x v="25"/>
    <x v="52"/>
  </r>
  <r>
    <x v="453"/>
    <x v="20"/>
    <x v="0"/>
    <x v="0"/>
    <x v="0"/>
    <x v="22"/>
    <x v="0"/>
    <x v="5"/>
    <x v="1"/>
    <x v="0"/>
    <x v="12"/>
    <x v="55"/>
    <x v="3"/>
    <x v="3"/>
    <x v="90"/>
    <x v="10"/>
  </r>
  <r>
    <x v="454"/>
    <x v="20"/>
    <x v="0"/>
    <x v="0"/>
    <x v="0"/>
    <x v="23"/>
    <x v="0"/>
    <x v="5"/>
    <x v="1"/>
    <x v="0"/>
    <x v="12"/>
    <x v="55"/>
    <x v="9"/>
    <x v="0"/>
    <x v="95"/>
    <x v="35"/>
  </r>
  <r>
    <x v="455"/>
    <x v="21"/>
    <x v="0"/>
    <x v="0"/>
    <x v="0"/>
    <x v="0"/>
    <x v="0"/>
    <x v="6"/>
    <x v="1"/>
    <x v="0"/>
    <x v="11"/>
    <x v="56"/>
    <x v="2"/>
    <x v="5"/>
    <x v="32"/>
    <x v="137"/>
  </r>
  <r>
    <x v="456"/>
    <x v="21"/>
    <x v="0"/>
    <x v="0"/>
    <x v="0"/>
    <x v="1"/>
    <x v="0"/>
    <x v="6"/>
    <x v="1"/>
    <x v="0"/>
    <x v="11"/>
    <x v="56"/>
    <x v="2"/>
    <x v="3"/>
    <x v="8"/>
    <x v="24"/>
  </r>
  <r>
    <x v="457"/>
    <x v="21"/>
    <x v="0"/>
    <x v="0"/>
    <x v="0"/>
    <x v="2"/>
    <x v="0"/>
    <x v="6"/>
    <x v="2"/>
    <x v="0"/>
    <x v="19"/>
    <x v="2"/>
    <x v="8"/>
    <x v="3"/>
    <x v="6"/>
    <x v="5"/>
  </r>
  <r>
    <x v="458"/>
    <x v="21"/>
    <x v="0"/>
    <x v="0"/>
    <x v="0"/>
    <x v="3"/>
    <x v="0"/>
    <x v="6"/>
    <x v="2"/>
    <x v="1"/>
    <x v="12"/>
    <x v="1"/>
    <x v="4"/>
    <x v="3"/>
    <x v="4"/>
    <x v="4"/>
  </r>
  <r>
    <x v="459"/>
    <x v="21"/>
    <x v="0"/>
    <x v="0"/>
    <x v="0"/>
    <x v="4"/>
    <x v="0"/>
    <x v="6"/>
    <x v="1"/>
    <x v="1"/>
    <x v="2"/>
    <x v="9"/>
    <x v="1"/>
    <x v="3"/>
    <x v="4"/>
    <x v="4"/>
  </r>
  <r>
    <x v="460"/>
    <x v="21"/>
    <x v="0"/>
    <x v="0"/>
    <x v="0"/>
    <x v="5"/>
    <x v="0"/>
    <x v="6"/>
    <x v="0"/>
    <x v="0"/>
    <x v="13"/>
    <x v="54"/>
    <x v="12"/>
    <x v="5"/>
    <x v="22"/>
    <x v="36"/>
  </r>
  <r>
    <x v="461"/>
    <x v="21"/>
    <x v="0"/>
    <x v="0"/>
    <x v="0"/>
    <x v="6"/>
    <x v="0"/>
    <x v="6"/>
    <x v="0"/>
    <x v="1"/>
    <x v="12"/>
    <x v="28"/>
    <x v="2"/>
    <x v="3"/>
    <x v="2"/>
    <x v="110"/>
  </r>
  <r>
    <x v="462"/>
    <x v="21"/>
    <x v="0"/>
    <x v="0"/>
    <x v="0"/>
    <x v="7"/>
    <x v="0"/>
    <x v="6"/>
    <x v="0"/>
    <x v="2"/>
    <x v="18"/>
    <x v="33"/>
    <x v="3"/>
    <x v="4"/>
    <x v="43"/>
    <x v="118"/>
  </r>
  <r>
    <x v="463"/>
    <x v="21"/>
    <x v="0"/>
    <x v="0"/>
    <x v="0"/>
    <x v="8"/>
    <x v="0"/>
    <x v="6"/>
    <x v="0"/>
    <x v="2"/>
    <x v="18"/>
    <x v="19"/>
    <x v="9"/>
    <x v="18"/>
    <x v="135"/>
    <x v="112"/>
  </r>
  <r>
    <x v="464"/>
    <x v="21"/>
    <x v="0"/>
    <x v="0"/>
    <x v="0"/>
    <x v="9"/>
    <x v="0"/>
    <x v="6"/>
    <x v="0"/>
    <x v="2"/>
    <x v="18"/>
    <x v="33"/>
    <x v="11"/>
    <x v="18"/>
    <x v="136"/>
    <x v="150"/>
  </r>
  <r>
    <x v="465"/>
    <x v="21"/>
    <x v="0"/>
    <x v="0"/>
    <x v="0"/>
    <x v="10"/>
    <x v="0"/>
    <x v="6"/>
    <x v="0"/>
    <x v="2"/>
    <x v="17"/>
    <x v="19"/>
    <x v="17"/>
    <x v="15"/>
    <x v="77"/>
    <x v="55"/>
  </r>
  <r>
    <x v="466"/>
    <x v="21"/>
    <x v="0"/>
    <x v="0"/>
    <x v="0"/>
    <x v="11"/>
    <x v="0"/>
    <x v="6"/>
    <x v="0"/>
    <x v="1"/>
    <x v="18"/>
    <x v="48"/>
    <x v="17"/>
    <x v="15"/>
    <x v="42"/>
    <x v="29"/>
  </r>
  <r>
    <x v="467"/>
    <x v="21"/>
    <x v="0"/>
    <x v="0"/>
    <x v="0"/>
    <x v="12"/>
    <x v="0"/>
    <x v="6"/>
    <x v="0"/>
    <x v="1"/>
    <x v="18"/>
    <x v="57"/>
    <x v="19"/>
    <x v="16"/>
    <x v="28"/>
    <x v="53"/>
  </r>
  <r>
    <x v="468"/>
    <x v="21"/>
    <x v="0"/>
    <x v="0"/>
    <x v="0"/>
    <x v="13"/>
    <x v="0"/>
    <x v="6"/>
    <x v="0"/>
    <x v="2"/>
    <x v="20"/>
    <x v="58"/>
    <x v="19"/>
    <x v="1"/>
    <x v="65"/>
    <x v="88"/>
  </r>
  <r>
    <x v="469"/>
    <x v="21"/>
    <x v="0"/>
    <x v="0"/>
    <x v="0"/>
    <x v="14"/>
    <x v="0"/>
    <x v="6"/>
    <x v="0"/>
    <x v="2"/>
    <x v="20"/>
    <x v="59"/>
    <x v="18"/>
    <x v="15"/>
    <x v="90"/>
    <x v="69"/>
  </r>
  <r>
    <x v="470"/>
    <x v="21"/>
    <x v="0"/>
    <x v="0"/>
    <x v="0"/>
    <x v="15"/>
    <x v="0"/>
    <x v="6"/>
    <x v="0"/>
    <x v="13"/>
    <x v="16"/>
    <x v="60"/>
    <x v="10"/>
    <x v="17"/>
    <x v="124"/>
    <x v="32"/>
  </r>
  <r>
    <x v="471"/>
    <x v="21"/>
    <x v="0"/>
    <x v="0"/>
    <x v="0"/>
    <x v="16"/>
    <x v="0"/>
    <x v="6"/>
    <x v="0"/>
    <x v="13"/>
    <x v="14"/>
    <x v="60"/>
    <x v="11"/>
    <x v="3"/>
    <x v="106"/>
    <x v="54"/>
  </r>
  <r>
    <x v="472"/>
    <x v="21"/>
    <x v="0"/>
    <x v="0"/>
    <x v="0"/>
    <x v="17"/>
    <x v="0"/>
    <x v="6"/>
    <x v="0"/>
    <x v="14"/>
    <x v="16"/>
    <x v="40"/>
    <x v="11"/>
    <x v="22"/>
    <x v="137"/>
    <x v="143"/>
  </r>
  <r>
    <x v="473"/>
    <x v="21"/>
    <x v="0"/>
    <x v="0"/>
    <x v="0"/>
    <x v="18"/>
    <x v="0"/>
    <x v="6"/>
    <x v="0"/>
    <x v="16"/>
    <x v="16"/>
    <x v="24"/>
    <x v="2"/>
    <x v="5"/>
    <x v="138"/>
    <x v="151"/>
  </r>
  <r>
    <x v="474"/>
    <x v="21"/>
    <x v="0"/>
    <x v="0"/>
    <x v="0"/>
    <x v="19"/>
    <x v="0"/>
    <x v="6"/>
    <x v="0"/>
    <x v="16"/>
    <x v="15"/>
    <x v="24"/>
    <x v="9"/>
    <x v="0"/>
    <x v="139"/>
    <x v="152"/>
  </r>
  <r>
    <x v="475"/>
    <x v="21"/>
    <x v="0"/>
    <x v="0"/>
    <x v="0"/>
    <x v="20"/>
    <x v="0"/>
    <x v="6"/>
    <x v="0"/>
    <x v="18"/>
    <x v="23"/>
    <x v="39"/>
    <x v="12"/>
    <x v="5"/>
    <x v="15"/>
    <x v="26"/>
  </r>
  <r>
    <x v="476"/>
    <x v="21"/>
    <x v="0"/>
    <x v="0"/>
    <x v="0"/>
    <x v="21"/>
    <x v="0"/>
    <x v="6"/>
    <x v="0"/>
    <x v="19"/>
    <x v="23"/>
    <x v="41"/>
    <x v="3"/>
    <x v="3"/>
    <x v="40"/>
    <x v="102"/>
  </r>
  <r>
    <x v="477"/>
    <x v="21"/>
    <x v="0"/>
    <x v="0"/>
    <x v="0"/>
    <x v="22"/>
    <x v="0"/>
    <x v="6"/>
    <x v="0"/>
    <x v="20"/>
    <x v="26"/>
    <x v="48"/>
    <x v="13"/>
    <x v="5"/>
    <x v="39"/>
    <x v="19"/>
  </r>
  <r>
    <x v="478"/>
    <x v="21"/>
    <x v="0"/>
    <x v="0"/>
    <x v="0"/>
    <x v="23"/>
    <x v="0"/>
    <x v="6"/>
    <x v="0"/>
    <x v="20"/>
    <x v="27"/>
    <x v="41"/>
    <x v="9"/>
    <x v="3"/>
    <x v="2"/>
    <x v="110"/>
  </r>
  <r>
    <x v="479"/>
    <x v="22"/>
    <x v="0"/>
    <x v="0"/>
    <x v="0"/>
    <x v="0"/>
    <x v="0"/>
    <x v="0"/>
    <x v="0"/>
    <x v="21"/>
    <x v="26"/>
    <x v="49"/>
    <x v="2"/>
    <x v="3"/>
    <x v="0"/>
    <x v="3"/>
  </r>
  <r>
    <x v="480"/>
    <x v="22"/>
    <x v="0"/>
    <x v="0"/>
    <x v="0"/>
    <x v="1"/>
    <x v="0"/>
    <x v="0"/>
    <x v="1"/>
    <x v="21"/>
    <x v="28"/>
    <x v="48"/>
    <x v="13"/>
    <x v="0"/>
    <x v="33"/>
    <x v="47"/>
  </r>
  <r>
    <x v="481"/>
    <x v="22"/>
    <x v="0"/>
    <x v="0"/>
    <x v="0"/>
    <x v="2"/>
    <x v="0"/>
    <x v="0"/>
    <x v="1"/>
    <x v="21"/>
    <x v="26"/>
    <x v="48"/>
    <x v="2"/>
    <x v="3"/>
    <x v="48"/>
    <x v="62"/>
  </r>
  <r>
    <x v="482"/>
    <x v="22"/>
    <x v="0"/>
    <x v="0"/>
    <x v="0"/>
    <x v="3"/>
    <x v="0"/>
    <x v="0"/>
    <x v="1"/>
    <x v="21"/>
    <x v="26"/>
    <x v="48"/>
    <x v="3"/>
    <x v="5"/>
    <x v="8"/>
    <x v="85"/>
  </r>
  <r>
    <x v="483"/>
    <x v="22"/>
    <x v="0"/>
    <x v="0"/>
    <x v="0"/>
    <x v="4"/>
    <x v="0"/>
    <x v="0"/>
    <x v="1"/>
    <x v="22"/>
    <x v="29"/>
    <x v="37"/>
    <x v="4"/>
    <x v="3"/>
    <x v="35"/>
    <x v="6"/>
  </r>
  <r>
    <x v="484"/>
    <x v="22"/>
    <x v="0"/>
    <x v="0"/>
    <x v="0"/>
    <x v="6"/>
    <x v="0"/>
    <x v="0"/>
    <x v="1"/>
    <x v="22"/>
    <x v="26"/>
    <x v="18"/>
    <x v="6"/>
    <x v="3"/>
    <x v="6"/>
    <x v="5"/>
  </r>
  <r>
    <x v="485"/>
    <x v="22"/>
    <x v="0"/>
    <x v="0"/>
    <x v="0"/>
    <x v="7"/>
    <x v="0"/>
    <x v="0"/>
    <x v="0"/>
    <x v="22"/>
    <x v="29"/>
    <x v="18"/>
    <x v="3"/>
    <x v="3"/>
    <x v="21"/>
    <x v="7"/>
  </r>
  <r>
    <x v="486"/>
    <x v="22"/>
    <x v="0"/>
    <x v="0"/>
    <x v="0"/>
    <x v="8"/>
    <x v="0"/>
    <x v="0"/>
    <x v="0"/>
    <x v="22"/>
    <x v="28"/>
    <x v="18"/>
    <x v="9"/>
    <x v="5"/>
    <x v="16"/>
    <x v="110"/>
  </r>
  <r>
    <x v="487"/>
    <x v="22"/>
    <x v="0"/>
    <x v="0"/>
    <x v="0"/>
    <x v="9"/>
    <x v="0"/>
    <x v="0"/>
    <x v="0"/>
    <x v="21"/>
    <x v="26"/>
    <x v="48"/>
    <x v="2"/>
    <x v="0"/>
    <x v="53"/>
    <x v="1"/>
  </r>
  <r>
    <x v="488"/>
    <x v="22"/>
    <x v="0"/>
    <x v="0"/>
    <x v="0"/>
    <x v="10"/>
    <x v="0"/>
    <x v="0"/>
    <x v="1"/>
    <x v="21"/>
    <x v="22"/>
    <x v="48"/>
    <x v="8"/>
    <x v="0"/>
    <x v="54"/>
    <x v="26"/>
  </r>
  <r>
    <x v="489"/>
    <x v="22"/>
    <x v="0"/>
    <x v="0"/>
    <x v="0"/>
    <x v="11"/>
    <x v="0"/>
    <x v="0"/>
    <x v="1"/>
    <x v="20"/>
    <x v="23"/>
    <x v="41"/>
    <x v="7"/>
    <x v="17"/>
    <x v="79"/>
    <x v="55"/>
  </r>
  <r>
    <x v="490"/>
    <x v="22"/>
    <x v="0"/>
    <x v="0"/>
    <x v="0"/>
    <x v="12"/>
    <x v="0"/>
    <x v="0"/>
    <x v="1"/>
    <x v="20"/>
    <x v="15"/>
    <x v="41"/>
    <x v="14"/>
    <x v="22"/>
    <x v="91"/>
    <x v="27"/>
  </r>
  <r>
    <x v="491"/>
    <x v="22"/>
    <x v="0"/>
    <x v="0"/>
    <x v="0"/>
    <x v="13"/>
    <x v="0"/>
    <x v="0"/>
    <x v="0"/>
    <x v="19"/>
    <x v="17"/>
    <x v="23"/>
    <x v="0"/>
    <x v="6"/>
    <x v="109"/>
    <x v="11"/>
  </r>
  <r>
    <x v="492"/>
    <x v="22"/>
    <x v="0"/>
    <x v="0"/>
    <x v="0"/>
    <x v="14"/>
    <x v="0"/>
    <x v="0"/>
    <x v="0"/>
    <x v="18"/>
    <x v="14"/>
    <x v="39"/>
    <x v="14"/>
    <x v="16"/>
    <x v="27"/>
    <x v="28"/>
  </r>
  <r>
    <x v="493"/>
    <x v="22"/>
    <x v="0"/>
    <x v="0"/>
    <x v="0"/>
    <x v="15"/>
    <x v="0"/>
    <x v="0"/>
    <x v="0"/>
    <x v="16"/>
    <x v="20"/>
    <x v="40"/>
    <x v="0"/>
    <x v="22"/>
    <x v="139"/>
    <x v="153"/>
  </r>
  <r>
    <x v="494"/>
    <x v="22"/>
    <x v="0"/>
    <x v="0"/>
    <x v="0"/>
    <x v="16"/>
    <x v="0"/>
    <x v="0"/>
    <x v="0"/>
    <x v="16"/>
    <x v="14"/>
    <x v="40"/>
    <x v="5"/>
    <x v="16"/>
    <x v="109"/>
    <x v="56"/>
  </r>
  <r>
    <x v="495"/>
    <x v="22"/>
    <x v="0"/>
    <x v="0"/>
    <x v="0"/>
    <x v="17"/>
    <x v="0"/>
    <x v="0"/>
    <x v="0"/>
    <x v="16"/>
    <x v="13"/>
    <x v="40"/>
    <x v="0"/>
    <x v="1"/>
    <x v="79"/>
    <x v="16"/>
  </r>
  <r>
    <x v="496"/>
    <x v="22"/>
    <x v="0"/>
    <x v="0"/>
    <x v="0"/>
    <x v="18"/>
    <x v="0"/>
    <x v="0"/>
    <x v="0"/>
    <x v="19"/>
    <x v="24"/>
    <x v="23"/>
    <x v="5"/>
    <x v="3"/>
    <x v="25"/>
    <x v="60"/>
  </r>
  <r>
    <x v="497"/>
    <x v="22"/>
    <x v="0"/>
    <x v="0"/>
    <x v="0"/>
    <x v="19"/>
    <x v="0"/>
    <x v="0"/>
    <x v="0"/>
    <x v="19"/>
    <x v="15"/>
    <x v="23"/>
    <x v="7"/>
    <x v="15"/>
    <x v="42"/>
    <x v="29"/>
  </r>
  <r>
    <x v="498"/>
    <x v="22"/>
    <x v="0"/>
    <x v="0"/>
    <x v="0"/>
    <x v="20"/>
    <x v="0"/>
    <x v="0"/>
    <x v="0"/>
    <x v="20"/>
    <x v="23"/>
    <x v="49"/>
    <x v="8"/>
    <x v="5"/>
    <x v="100"/>
    <x v="79"/>
  </r>
  <r>
    <x v="499"/>
    <x v="22"/>
    <x v="0"/>
    <x v="0"/>
    <x v="0"/>
    <x v="21"/>
    <x v="0"/>
    <x v="0"/>
    <x v="0"/>
    <x v="20"/>
    <x v="15"/>
    <x v="48"/>
    <x v="1"/>
    <x v="3"/>
    <x v="87"/>
    <x v="21"/>
  </r>
  <r>
    <x v="500"/>
    <x v="22"/>
    <x v="0"/>
    <x v="0"/>
    <x v="0"/>
    <x v="22"/>
    <x v="0"/>
    <x v="0"/>
    <x v="0"/>
    <x v="20"/>
    <x v="20"/>
    <x v="36"/>
    <x v="0"/>
    <x v="18"/>
    <x v="140"/>
    <x v="33"/>
  </r>
  <r>
    <x v="501"/>
    <x v="22"/>
    <x v="0"/>
    <x v="0"/>
    <x v="0"/>
    <x v="23"/>
    <x v="0"/>
    <x v="0"/>
    <x v="0"/>
    <x v="21"/>
    <x v="23"/>
    <x v="14"/>
    <x v="14"/>
    <x v="4"/>
    <x v="17"/>
    <x v="63"/>
  </r>
  <r>
    <x v="502"/>
    <x v="23"/>
    <x v="0"/>
    <x v="0"/>
    <x v="0"/>
    <x v="0"/>
    <x v="0"/>
    <x v="1"/>
    <x v="0"/>
    <x v="21"/>
    <x v="23"/>
    <x v="14"/>
    <x v="14"/>
    <x v="4"/>
    <x v="32"/>
    <x v="34"/>
  </r>
  <r>
    <x v="503"/>
    <x v="23"/>
    <x v="0"/>
    <x v="0"/>
    <x v="0"/>
    <x v="1"/>
    <x v="0"/>
    <x v="1"/>
    <x v="0"/>
    <x v="21"/>
    <x v="23"/>
    <x v="14"/>
    <x v="14"/>
    <x v="5"/>
    <x v="98"/>
    <x v="3"/>
  </r>
  <r>
    <x v="504"/>
    <x v="23"/>
    <x v="0"/>
    <x v="0"/>
    <x v="0"/>
    <x v="2"/>
    <x v="0"/>
    <x v="1"/>
    <x v="0"/>
    <x v="22"/>
    <x v="22"/>
    <x v="51"/>
    <x v="7"/>
    <x v="0"/>
    <x v="89"/>
    <x v="109"/>
  </r>
  <r>
    <x v="505"/>
    <x v="23"/>
    <x v="0"/>
    <x v="0"/>
    <x v="0"/>
    <x v="3"/>
    <x v="0"/>
    <x v="1"/>
    <x v="0"/>
    <x v="22"/>
    <x v="22"/>
    <x v="51"/>
    <x v="7"/>
    <x v="5"/>
    <x v="22"/>
    <x v="36"/>
  </r>
  <r>
    <x v="506"/>
    <x v="23"/>
    <x v="0"/>
    <x v="0"/>
    <x v="0"/>
    <x v="5"/>
    <x v="0"/>
    <x v="1"/>
    <x v="1"/>
    <x v="21"/>
    <x v="23"/>
    <x v="14"/>
    <x v="14"/>
    <x v="3"/>
    <x v="35"/>
    <x v="6"/>
  </r>
  <r>
    <x v="507"/>
    <x v="23"/>
    <x v="0"/>
    <x v="0"/>
    <x v="0"/>
    <x v="6"/>
    <x v="0"/>
    <x v="1"/>
    <x v="1"/>
    <x v="21"/>
    <x v="23"/>
    <x v="14"/>
    <x v="14"/>
    <x v="3"/>
    <x v="4"/>
    <x v="4"/>
  </r>
  <r>
    <x v="508"/>
    <x v="23"/>
    <x v="0"/>
    <x v="0"/>
    <x v="0"/>
    <x v="7"/>
    <x v="0"/>
    <x v="1"/>
    <x v="0"/>
    <x v="19"/>
    <x v="15"/>
    <x v="52"/>
    <x v="8"/>
    <x v="5"/>
    <x v="4"/>
    <x v="5"/>
  </r>
  <r>
    <x v="509"/>
    <x v="23"/>
    <x v="0"/>
    <x v="0"/>
    <x v="0"/>
    <x v="8"/>
    <x v="0"/>
    <x v="1"/>
    <x v="0"/>
    <x v="20"/>
    <x v="23"/>
    <x v="51"/>
    <x v="8"/>
    <x v="4"/>
    <x v="19"/>
    <x v="75"/>
  </r>
  <r>
    <x v="510"/>
    <x v="23"/>
    <x v="0"/>
    <x v="0"/>
    <x v="0"/>
    <x v="9"/>
    <x v="0"/>
    <x v="1"/>
    <x v="0"/>
    <x v="18"/>
    <x v="23"/>
    <x v="47"/>
    <x v="11"/>
    <x v="0"/>
    <x v="18"/>
    <x v="20"/>
  </r>
  <r>
    <x v="511"/>
    <x v="23"/>
    <x v="0"/>
    <x v="0"/>
    <x v="0"/>
    <x v="10"/>
    <x v="0"/>
    <x v="1"/>
    <x v="0"/>
    <x v="14"/>
    <x v="15"/>
    <x v="15"/>
    <x v="13"/>
    <x v="18"/>
    <x v="82"/>
    <x v="154"/>
  </r>
  <r>
    <x v="512"/>
    <x v="23"/>
    <x v="0"/>
    <x v="0"/>
    <x v="0"/>
    <x v="11"/>
    <x v="0"/>
    <x v="1"/>
    <x v="0"/>
    <x v="14"/>
    <x v="14"/>
    <x v="21"/>
    <x v="6"/>
    <x v="30"/>
    <x v="99"/>
    <x v="111"/>
  </r>
  <r>
    <x v="513"/>
    <x v="23"/>
    <x v="0"/>
    <x v="0"/>
    <x v="0"/>
    <x v="12"/>
    <x v="0"/>
    <x v="1"/>
    <x v="0"/>
    <x v="13"/>
    <x v="16"/>
    <x v="38"/>
    <x v="17"/>
    <x v="31"/>
    <x v="50"/>
    <x v="155"/>
  </r>
  <r>
    <x v="514"/>
    <x v="23"/>
    <x v="0"/>
    <x v="0"/>
    <x v="0"/>
    <x v="13"/>
    <x v="0"/>
    <x v="1"/>
    <x v="0"/>
    <x v="14"/>
    <x v="15"/>
    <x v="39"/>
    <x v="13"/>
    <x v="6"/>
    <x v="102"/>
    <x v="90"/>
  </r>
  <r>
    <x v="515"/>
    <x v="23"/>
    <x v="0"/>
    <x v="0"/>
    <x v="0"/>
    <x v="14"/>
    <x v="0"/>
    <x v="1"/>
    <x v="0"/>
    <x v="13"/>
    <x v="14"/>
    <x v="40"/>
    <x v="11"/>
    <x v="26"/>
    <x v="139"/>
    <x v="14"/>
  </r>
  <r>
    <x v="516"/>
    <x v="23"/>
    <x v="0"/>
    <x v="0"/>
    <x v="0"/>
    <x v="15"/>
    <x v="0"/>
    <x v="1"/>
    <x v="0"/>
    <x v="13"/>
    <x v="14"/>
    <x v="40"/>
    <x v="11"/>
    <x v="23"/>
    <x v="27"/>
    <x v="43"/>
  </r>
  <r>
    <x v="517"/>
    <x v="23"/>
    <x v="0"/>
    <x v="0"/>
    <x v="0"/>
    <x v="16"/>
    <x v="0"/>
    <x v="1"/>
    <x v="0"/>
    <x v="13"/>
    <x v="14"/>
    <x v="60"/>
    <x v="9"/>
    <x v="14"/>
    <x v="90"/>
    <x v="32"/>
  </r>
  <r>
    <x v="518"/>
    <x v="23"/>
    <x v="0"/>
    <x v="0"/>
    <x v="0"/>
    <x v="17"/>
    <x v="0"/>
    <x v="1"/>
    <x v="0"/>
    <x v="14"/>
    <x v="15"/>
    <x v="60"/>
    <x v="13"/>
    <x v="2"/>
    <x v="54"/>
    <x v="97"/>
  </r>
  <r>
    <x v="519"/>
    <x v="23"/>
    <x v="0"/>
    <x v="0"/>
    <x v="0"/>
    <x v="18"/>
    <x v="0"/>
    <x v="1"/>
    <x v="0"/>
    <x v="16"/>
    <x v="16"/>
    <x v="24"/>
    <x v="2"/>
    <x v="2"/>
    <x v="100"/>
    <x v="99"/>
  </r>
  <r>
    <x v="520"/>
    <x v="23"/>
    <x v="0"/>
    <x v="0"/>
    <x v="0"/>
    <x v="19"/>
    <x v="0"/>
    <x v="1"/>
    <x v="0"/>
    <x v="16"/>
    <x v="16"/>
    <x v="24"/>
    <x v="3"/>
    <x v="2"/>
    <x v="108"/>
    <x v="89"/>
  </r>
  <r>
    <x v="521"/>
    <x v="23"/>
    <x v="0"/>
    <x v="0"/>
    <x v="0"/>
    <x v="20"/>
    <x v="0"/>
    <x v="1"/>
    <x v="0"/>
    <x v="18"/>
    <x v="15"/>
    <x v="42"/>
    <x v="2"/>
    <x v="17"/>
    <x v="17"/>
    <x v="17"/>
  </r>
  <r>
    <x v="522"/>
    <x v="23"/>
    <x v="0"/>
    <x v="0"/>
    <x v="0"/>
    <x v="21"/>
    <x v="0"/>
    <x v="1"/>
    <x v="0"/>
    <x v="18"/>
    <x v="15"/>
    <x v="42"/>
    <x v="5"/>
    <x v="2"/>
    <x v="32"/>
    <x v="94"/>
  </r>
  <r>
    <x v="523"/>
    <x v="23"/>
    <x v="0"/>
    <x v="0"/>
    <x v="0"/>
    <x v="22"/>
    <x v="0"/>
    <x v="1"/>
    <x v="0"/>
    <x v="19"/>
    <x v="24"/>
    <x v="41"/>
    <x v="5"/>
    <x v="2"/>
    <x v="140"/>
    <x v="20"/>
  </r>
  <r>
    <x v="524"/>
    <x v="23"/>
    <x v="0"/>
    <x v="0"/>
    <x v="0"/>
    <x v="23"/>
    <x v="0"/>
    <x v="1"/>
    <x v="0"/>
    <x v="20"/>
    <x v="22"/>
    <x v="48"/>
    <x v="6"/>
    <x v="17"/>
    <x v="19"/>
    <x v="137"/>
  </r>
  <r>
    <x v="525"/>
    <x v="24"/>
    <x v="0"/>
    <x v="0"/>
    <x v="0"/>
    <x v="0"/>
    <x v="0"/>
    <x v="2"/>
    <x v="0"/>
    <x v="20"/>
    <x v="22"/>
    <x v="48"/>
    <x v="5"/>
    <x v="3"/>
    <x v="7"/>
    <x v="85"/>
  </r>
  <r>
    <x v="526"/>
    <x v="24"/>
    <x v="0"/>
    <x v="0"/>
    <x v="0"/>
    <x v="1"/>
    <x v="0"/>
    <x v="2"/>
    <x v="0"/>
    <x v="21"/>
    <x v="27"/>
    <x v="49"/>
    <x v="5"/>
    <x v="3"/>
    <x v="4"/>
    <x v="4"/>
  </r>
  <r>
    <x v="527"/>
    <x v="24"/>
    <x v="0"/>
    <x v="0"/>
    <x v="0"/>
    <x v="3"/>
    <x v="0"/>
    <x v="2"/>
    <x v="0"/>
    <x v="21"/>
    <x v="26"/>
    <x v="49"/>
    <x v="2"/>
    <x v="3"/>
    <x v="4"/>
    <x v="4"/>
  </r>
  <r>
    <x v="528"/>
    <x v="24"/>
    <x v="0"/>
    <x v="0"/>
    <x v="0"/>
    <x v="4"/>
    <x v="0"/>
    <x v="2"/>
    <x v="0"/>
    <x v="22"/>
    <x v="22"/>
    <x v="37"/>
    <x v="7"/>
    <x v="3"/>
    <x v="4"/>
    <x v="4"/>
  </r>
  <r>
    <x v="529"/>
    <x v="24"/>
    <x v="0"/>
    <x v="0"/>
    <x v="0"/>
    <x v="5"/>
    <x v="0"/>
    <x v="2"/>
    <x v="0"/>
    <x v="22"/>
    <x v="22"/>
    <x v="37"/>
    <x v="7"/>
    <x v="3"/>
    <x v="34"/>
    <x v="36"/>
  </r>
  <r>
    <x v="530"/>
    <x v="24"/>
    <x v="0"/>
    <x v="0"/>
    <x v="0"/>
    <x v="6"/>
    <x v="0"/>
    <x v="2"/>
    <x v="0"/>
    <x v="22"/>
    <x v="23"/>
    <x v="37"/>
    <x v="1"/>
    <x v="3"/>
    <x v="89"/>
    <x v="93"/>
  </r>
  <r>
    <x v="531"/>
    <x v="24"/>
    <x v="0"/>
    <x v="0"/>
    <x v="0"/>
    <x v="7"/>
    <x v="0"/>
    <x v="2"/>
    <x v="0"/>
    <x v="22"/>
    <x v="16"/>
    <x v="37"/>
    <x v="0"/>
    <x v="2"/>
    <x v="55"/>
    <x v="11"/>
  </r>
  <r>
    <x v="532"/>
    <x v="24"/>
    <x v="0"/>
    <x v="0"/>
    <x v="0"/>
    <x v="8"/>
    <x v="0"/>
    <x v="2"/>
    <x v="0"/>
    <x v="21"/>
    <x v="14"/>
    <x v="36"/>
    <x v="0"/>
    <x v="15"/>
    <x v="141"/>
    <x v="156"/>
  </r>
  <r>
    <x v="533"/>
    <x v="24"/>
    <x v="0"/>
    <x v="0"/>
    <x v="0"/>
    <x v="9"/>
    <x v="0"/>
    <x v="2"/>
    <x v="0"/>
    <x v="20"/>
    <x v="20"/>
    <x v="48"/>
    <x v="0"/>
    <x v="17"/>
    <x v="52"/>
    <x v="96"/>
  </r>
  <r>
    <x v="534"/>
    <x v="24"/>
    <x v="0"/>
    <x v="0"/>
    <x v="0"/>
    <x v="10"/>
    <x v="0"/>
    <x v="2"/>
    <x v="0"/>
    <x v="18"/>
    <x v="14"/>
    <x v="16"/>
    <x v="0"/>
    <x v="15"/>
    <x v="60"/>
    <x v="1"/>
  </r>
  <r>
    <x v="535"/>
    <x v="24"/>
    <x v="0"/>
    <x v="0"/>
    <x v="0"/>
    <x v="11"/>
    <x v="0"/>
    <x v="2"/>
    <x v="0"/>
    <x v="18"/>
    <x v="16"/>
    <x v="15"/>
    <x v="7"/>
    <x v="0"/>
    <x v="30"/>
    <x v="66"/>
  </r>
  <r>
    <x v="536"/>
    <x v="24"/>
    <x v="0"/>
    <x v="0"/>
    <x v="0"/>
    <x v="12"/>
    <x v="0"/>
    <x v="2"/>
    <x v="1"/>
    <x v="16"/>
    <x v="14"/>
    <x v="16"/>
    <x v="5"/>
    <x v="16"/>
    <x v="15"/>
    <x v="55"/>
  </r>
  <r>
    <x v="537"/>
    <x v="24"/>
    <x v="0"/>
    <x v="0"/>
    <x v="0"/>
    <x v="13"/>
    <x v="0"/>
    <x v="2"/>
    <x v="1"/>
    <x v="14"/>
    <x v="14"/>
    <x v="21"/>
    <x v="6"/>
    <x v="15"/>
    <x v="25"/>
    <x v="122"/>
  </r>
  <r>
    <x v="538"/>
    <x v="24"/>
    <x v="0"/>
    <x v="0"/>
    <x v="0"/>
    <x v="14"/>
    <x v="0"/>
    <x v="2"/>
    <x v="1"/>
    <x v="14"/>
    <x v="14"/>
    <x v="15"/>
    <x v="6"/>
    <x v="4"/>
    <x v="30"/>
    <x v="79"/>
  </r>
  <r>
    <x v="539"/>
    <x v="24"/>
    <x v="0"/>
    <x v="0"/>
    <x v="0"/>
    <x v="15"/>
    <x v="0"/>
    <x v="2"/>
    <x v="0"/>
    <x v="13"/>
    <x v="17"/>
    <x v="22"/>
    <x v="8"/>
    <x v="18"/>
    <x v="54"/>
    <x v="52"/>
  </r>
  <r>
    <x v="540"/>
    <x v="24"/>
    <x v="0"/>
    <x v="0"/>
    <x v="0"/>
    <x v="16"/>
    <x v="0"/>
    <x v="2"/>
    <x v="0"/>
    <x v="13"/>
    <x v="20"/>
    <x v="19"/>
    <x v="2"/>
    <x v="17"/>
    <x v="43"/>
    <x v="27"/>
  </r>
  <r>
    <x v="541"/>
    <x v="24"/>
    <x v="0"/>
    <x v="0"/>
    <x v="0"/>
    <x v="17"/>
    <x v="0"/>
    <x v="2"/>
    <x v="0"/>
    <x v="14"/>
    <x v="16"/>
    <x v="20"/>
    <x v="2"/>
    <x v="15"/>
    <x v="86"/>
    <x v="157"/>
  </r>
  <r>
    <x v="542"/>
    <x v="24"/>
    <x v="0"/>
    <x v="0"/>
    <x v="0"/>
    <x v="18"/>
    <x v="0"/>
    <x v="2"/>
    <x v="0"/>
    <x v="14"/>
    <x v="14"/>
    <x v="29"/>
    <x v="5"/>
    <x v="1"/>
    <x v="142"/>
    <x v="158"/>
  </r>
  <r>
    <x v="543"/>
    <x v="24"/>
    <x v="0"/>
    <x v="0"/>
    <x v="0"/>
    <x v="19"/>
    <x v="0"/>
    <x v="2"/>
    <x v="0"/>
    <x v="14"/>
    <x v="20"/>
    <x v="47"/>
    <x v="8"/>
    <x v="2"/>
    <x v="143"/>
    <x v="13"/>
  </r>
  <r>
    <x v="544"/>
    <x v="24"/>
    <x v="0"/>
    <x v="0"/>
    <x v="0"/>
    <x v="20"/>
    <x v="0"/>
    <x v="2"/>
    <x v="0"/>
    <x v="14"/>
    <x v="14"/>
    <x v="29"/>
    <x v="5"/>
    <x v="5"/>
    <x v="122"/>
    <x v="117"/>
  </r>
  <r>
    <x v="545"/>
    <x v="24"/>
    <x v="0"/>
    <x v="0"/>
    <x v="0"/>
    <x v="21"/>
    <x v="0"/>
    <x v="2"/>
    <x v="0"/>
    <x v="14"/>
    <x v="20"/>
    <x v="30"/>
    <x v="8"/>
    <x v="15"/>
    <x v="42"/>
    <x v="29"/>
  </r>
  <r>
    <x v="546"/>
    <x v="24"/>
    <x v="0"/>
    <x v="0"/>
    <x v="0"/>
    <x v="22"/>
    <x v="0"/>
    <x v="2"/>
    <x v="1"/>
    <x v="14"/>
    <x v="14"/>
    <x v="30"/>
    <x v="6"/>
    <x v="0"/>
    <x v="1"/>
    <x v="17"/>
  </r>
  <r>
    <x v="547"/>
    <x v="24"/>
    <x v="0"/>
    <x v="0"/>
    <x v="0"/>
    <x v="23"/>
    <x v="0"/>
    <x v="2"/>
    <x v="1"/>
    <x v="13"/>
    <x v="20"/>
    <x v="26"/>
    <x v="2"/>
    <x v="0"/>
    <x v="144"/>
    <x v="108"/>
  </r>
  <r>
    <x v="548"/>
    <x v="25"/>
    <x v="0"/>
    <x v="0"/>
    <x v="0"/>
    <x v="0"/>
    <x v="0"/>
    <x v="3"/>
    <x v="1"/>
    <x v="13"/>
    <x v="14"/>
    <x v="27"/>
    <x v="3"/>
    <x v="0"/>
    <x v="8"/>
    <x v="23"/>
  </r>
  <r>
    <x v="549"/>
    <x v="25"/>
    <x v="0"/>
    <x v="0"/>
    <x v="0"/>
    <x v="1"/>
    <x v="0"/>
    <x v="3"/>
    <x v="1"/>
    <x v="13"/>
    <x v="17"/>
    <x v="27"/>
    <x v="8"/>
    <x v="3"/>
    <x v="34"/>
    <x v="36"/>
  </r>
  <r>
    <x v="550"/>
    <x v="25"/>
    <x v="0"/>
    <x v="0"/>
    <x v="0"/>
    <x v="2"/>
    <x v="0"/>
    <x v="3"/>
    <x v="0"/>
    <x v="13"/>
    <x v="20"/>
    <x v="27"/>
    <x v="6"/>
    <x v="3"/>
    <x v="6"/>
    <x v="5"/>
  </r>
  <r>
    <x v="551"/>
    <x v="25"/>
    <x v="0"/>
    <x v="0"/>
    <x v="0"/>
    <x v="4"/>
    <x v="0"/>
    <x v="3"/>
    <x v="0"/>
    <x v="14"/>
    <x v="17"/>
    <x v="32"/>
    <x v="14"/>
    <x v="3"/>
    <x v="4"/>
    <x v="4"/>
  </r>
  <r>
    <x v="552"/>
    <x v="25"/>
    <x v="0"/>
    <x v="0"/>
    <x v="0"/>
    <x v="5"/>
    <x v="0"/>
    <x v="3"/>
    <x v="0"/>
    <x v="14"/>
    <x v="14"/>
    <x v="32"/>
    <x v="6"/>
    <x v="3"/>
    <x v="33"/>
    <x v="23"/>
  </r>
  <r>
    <x v="553"/>
    <x v="25"/>
    <x v="0"/>
    <x v="0"/>
    <x v="0"/>
    <x v="6"/>
    <x v="0"/>
    <x v="3"/>
    <x v="0"/>
    <x v="13"/>
    <x v="18"/>
    <x v="32"/>
    <x v="14"/>
    <x v="5"/>
    <x v="96"/>
    <x v="9"/>
  </r>
  <r>
    <x v="554"/>
    <x v="25"/>
    <x v="0"/>
    <x v="0"/>
    <x v="0"/>
    <x v="7"/>
    <x v="0"/>
    <x v="3"/>
    <x v="0"/>
    <x v="13"/>
    <x v="20"/>
    <x v="32"/>
    <x v="6"/>
    <x v="2"/>
    <x v="145"/>
    <x v="159"/>
  </r>
  <r>
    <x v="555"/>
    <x v="25"/>
    <x v="0"/>
    <x v="0"/>
    <x v="0"/>
    <x v="8"/>
    <x v="0"/>
    <x v="3"/>
    <x v="1"/>
    <x v="13"/>
    <x v="18"/>
    <x v="32"/>
    <x v="7"/>
    <x v="2"/>
    <x v="146"/>
    <x v="160"/>
  </r>
  <r>
    <x v="556"/>
    <x v="25"/>
    <x v="0"/>
    <x v="0"/>
    <x v="0"/>
    <x v="9"/>
    <x v="0"/>
    <x v="3"/>
    <x v="1"/>
    <x v="2"/>
    <x v="11"/>
    <x v="26"/>
    <x v="1"/>
    <x v="22"/>
    <x v="120"/>
    <x v="124"/>
  </r>
  <r>
    <x v="557"/>
    <x v="25"/>
    <x v="0"/>
    <x v="0"/>
    <x v="0"/>
    <x v="10"/>
    <x v="0"/>
    <x v="3"/>
    <x v="1"/>
    <x v="1"/>
    <x v="19"/>
    <x v="54"/>
    <x v="14"/>
    <x v="15"/>
    <x v="47"/>
    <x v="97"/>
  </r>
  <r>
    <x v="558"/>
    <x v="25"/>
    <x v="0"/>
    <x v="0"/>
    <x v="0"/>
    <x v="11"/>
    <x v="0"/>
    <x v="3"/>
    <x v="1"/>
    <x v="0"/>
    <x v="19"/>
    <x v="54"/>
    <x v="7"/>
    <x v="15"/>
    <x v="11"/>
    <x v="42"/>
  </r>
  <r>
    <x v="559"/>
    <x v="25"/>
    <x v="0"/>
    <x v="0"/>
    <x v="0"/>
    <x v="12"/>
    <x v="0"/>
    <x v="3"/>
    <x v="1"/>
    <x v="12"/>
    <x v="0"/>
    <x v="34"/>
    <x v="1"/>
    <x v="27"/>
    <x v="66"/>
    <x v="13"/>
  </r>
  <r>
    <x v="560"/>
    <x v="25"/>
    <x v="0"/>
    <x v="0"/>
    <x v="0"/>
    <x v="13"/>
    <x v="0"/>
    <x v="3"/>
    <x v="1"/>
    <x v="12"/>
    <x v="1"/>
    <x v="34"/>
    <x v="7"/>
    <x v="27"/>
    <x v="109"/>
    <x v="15"/>
  </r>
  <r>
    <x v="561"/>
    <x v="25"/>
    <x v="0"/>
    <x v="0"/>
    <x v="0"/>
    <x v="14"/>
    <x v="0"/>
    <x v="3"/>
    <x v="1"/>
    <x v="11"/>
    <x v="6"/>
    <x v="49"/>
    <x v="0"/>
    <x v="16"/>
    <x v="77"/>
    <x v="118"/>
  </r>
  <r>
    <x v="562"/>
    <x v="25"/>
    <x v="0"/>
    <x v="0"/>
    <x v="0"/>
    <x v="15"/>
    <x v="0"/>
    <x v="3"/>
    <x v="1"/>
    <x v="3"/>
    <x v="4"/>
    <x v="16"/>
    <x v="0"/>
    <x v="27"/>
    <x v="36"/>
    <x v="11"/>
  </r>
  <r>
    <x v="563"/>
    <x v="25"/>
    <x v="0"/>
    <x v="0"/>
    <x v="0"/>
    <x v="16"/>
    <x v="0"/>
    <x v="3"/>
    <x v="1"/>
    <x v="3"/>
    <x v="4"/>
    <x v="16"/>
    <x v="0"/>
    <x v="24"/>
    <x v="46"/>
    <x v="155"/>
  </r>
  <r>
    <x v="564"/>
    <x v="25"/>
    <x v="0"/>
    <x v="0"/>
    <x v="0"/>
    <x v="17"/>
    <x v="0"/>
    <x v="3"/>
    <x v="0"/>
    <x v="11"/>
    <x v="6"/>
    <x v="49"/>
    <x v="0"/>
    <x v="24"/>
    <x v="147"/>
    <x v="161"/>
  </r>
  <r>
    <x v="565"/>
    <x v="25"/>
    <x v="0"/>
    <x v="0"/>
    <x v="0"/>
    <x v="18"/>
    <x v="0"/>
    <x v="3"/>
    <x v="1"/>
    <x v="11"/>
    <x v="21"/>
    <x v="36"/>
    <x v="1"/>
    <x v="18"/>
    <x v="148"/>
    <x v="162"/>
  </r>
  <r>
    <x v="566"/>
    <x v="25"/>
    <x v="0"/>
    <x v="0"/>
    <x v="0"/>
    <x v="19"/>
    <x v="0"/>
    <x v="3"/>
    <x v="1"/>
    <x v="12"/>
    <x v="2"/>
    <x v="55"/>
    <x v="8"/>
    <x v="23"/>
    <x v="149"/>
    <x v="163"/>
  </r>
  <r>
    <x v="567"/>
    <x v="25"/>
    <x v="0"/>
    <x v="0"/>
    <x v="0"/>
    <x v="20"/>
    <x v="0"/>
    <x v="3"/>
    <x v="0"/>
    <x v="0"/>
    <x v="11"/>
    <x v="55"/>
    <x v="5"/>
    <x v="19"/>
    <x v="145"/>
    <x v="164"/>
  </r>
  <r>
    <x v="568"/>
    <x v="25"/>
    <x v="0"/>
    <x v="0"/>
    <x v="0"/>
    <x v="21"/>
    <x v="0"/>
    <x v="3"/>
    <x v="0"/>
    <x v="0"/>
    <x v="11"/>
    <x v="55"/>
    <x v="5"/>
    <x v="2"/>
    <x v="71"/>
    <x v="79"/>
  </r>
  <r>
    <x v="569"/>
    <x v="25"/>
    <x v="0"/>
    <x v="0"/>
    <x v="0"/>
    <x v="22"/>
    <x v="0"/>
    <x v="3"/>
    <x v="0"/>
    <x v="1"/>
    <x v="11"/>
    <x v="26"/>
    <x v="8"/>
    <x v="17"/>
    <x v="47"/>
    <x v="26"/>
  </r>
  <r>
    <x v="570"/>
    <x v="25"/>
    <x v="0"/>
    <x v="0"/>
    <x v="0"/>
    <x v="23"/>
    <x v="0"/>
    <x v="3"/>
    <x v="1"/>
    <x v="1"/>
    <x v="11"/>
    <x v="26"/>
    <x v="8"/>
    <x v="0"/>
    <x v="53"/>
    <x v="1"/>
  </r>
  <r>
    <x v="571"/>
    <x v="26"/>
    <x v="0"/>
    <x v="0"/>
    <x v="0"/>
    <x v="0"/>
    <x v="0"/>
    <x v="4"/>
    <x v="1"/>
    <x v="1"/>
    <x v="11"/>
    <x v="27"/>
    <x v="7"/>
    <x v="0"/>
    <x v="88"/>
    <x v="22"/>
  </r>
  <r>
    <x v="572"/>
    <x v="26"/>
    <x v="0"/>
    <x v="0"/>
    <x v="0"/>
    <x v="1"/>
    <x v="0"/>
    <x v="4"/>
    <x v="1"/>
    <x v="0"/>
    <x v="19"/>
    <x v="55"/>
    <x v="7"/>
    <x v="3"/>
    <x v="34"/>
    <x v="36"/>
  </r>
  <r>
    <x v="573"/>
    <x v="26"/>
    <x v="0"/>
    <x v="0"/>
    <x v="0"/>
    <x v="2"/>
    <x v="0"/>
    <x v="4"/>
    <x v="2"/>
    <x v="1"/>
    <x v="11"/>
    <x v="27"/>
    <x v="5"/>
    <x v="0"/>
    <x v="7"/>
    <x v="98"/>
  </r>
  <r>
    <x v="574"/>
    <x v="26"/>
    <x v="0"/>
    <x v="0"/>
    <x v="0"/>
    <x v="5"/>
    <x v="0"/>
    <x v="4"/>
    <x v="2"/>
    <x v="2"/>
    <x v="18"/>
    <x v="3"/>
    <x v="3"/>
    <x v="3"/>
    <x v="4"/>
    <x v="4"/>
  </r>
  <r>
    <x v="575"/>
    <x v="26"/>
    <x v="0"/>
    <x v="0"/>
    <x v="0"/>
    <x v="6"/>
    <x v="0"/>
    <x v="4"/>
    <x v="2"/>
    <x v="2"/>
    <x v="18"/>
    <x v="3"/>
    <x v="3"/>
    <x v="3"/>
    <x v="21"/>
    <x v="7"/>
  </r>
  <r>
    <x v="576"/>
    <x v="26"/>
    <x v="0"/>
    <x v="0"/>
    <x v="0"/>
    <x v="7"/>
    <x v="0"/>
    <x v="4"/>
    <x v="2"/>
    <x v="1"/>
    <x v="12"/>
    <x v="9"/>
    <x v="4"/>
    <x v="5"/>
    <x v="31"/>
    <x v="33"/>
  </r>
  <r>
    <x v="577"/>
    <x v="26"/>
    <x v="0"/>
    <x v="0"/>
    <x v="0"/>
    <x v="8"/>
    <x v="0"/>
    <x v="4"/>
    <x v="2"/>
    <x v="1"/>
    <x v="12"/>
    <x v="9"/>
    <x v="4"/>
    <x v="0"/>
    <x v="94"/>
    <x v="44"/>
  </r>
  <r>
    <x v="578"/>
    <x v="26"/>
    <x v="0"/>
    <x v="0"/>
    <x v="0"/>
    <x v="9"/>
    <x v="0"/>
    <x v="4"/>
    <x v="2"/>
    <x v="1"/>
    <x v="12"/>
    <x v="9"/>
    <x v="4"/>
    <x v="0"/>
    <x v="11"/>
    <x v="154"/>
  </r>
  <r>
    <x v="579"/>
    <x v="26"/>
    <x v="0"/>
    <x v="0"/>
    <x v="0"/>
    <x v="10"/>
    <x v="0"/>
    <x v="4"/>
    <x v="2"/>
    <x v="1"/>
    <x v="12"/>
    <x v="43"/>
    <x v="3"/>
    <x v="4"/>
    <x v="16"/>
    <x v="20"/>
  </r>
  <r>
    <x v="580"/>
    <x v="26"/>
    <x v="0"/>
    <x v="0"/>
    <x v="0"/>
    <x v="11"/>
    <x v="0"/>
    <x v="4"/>
    <x v="2"/>
    <x v="1"/>
    <x v="13"/>
    <x v="43"/>
    <x v="9"/>
    <x v="15"/>
    <x v="96"/>
    <x v="102"/>
  </r>
  <r>
    <x v="581"/>
    <x v="26"/>
    <x v="0"/>
    <x v="0"/>
    <x v="0"/>
    <x v="12"/>
    <x v="0"/>
    <x v="4"/>
    <x v="2"/>
    <x v="1"/>
    <x v="13"/>
    <x v="43"/>
    <x v="9"/>
    <x v="18"/>
    <x v="40"/>
    <x v="61"/>
  </r>
  <r>
    <x v="582"/>
    <x v="26"/>
    <x v="0"/>
    <x v="0"/>
    <x v="0"/>
    <x v="13"/>
    <x v="0"/>
    <x v="4"/>
    <x v="2"/>
    <x v="1"/>
    <x v="13"/>
    <x v="43"/>
    <x v="9"/>
    <x v="17"/>
    <x v="30"/>
    <x v="105"/>
  </r>
  <r>
    <x v="583"/>
    <x v="26"/>
    <x v="0"/>
    <x v="0"/>
    <x v="0"/>
    <x v="14"/>
    <x v="0"/>
    <x v="4"/>
    <x v="2"/>
    <x v="1"/>
    <x v="13"/>
    <x v="43"/>
    <x v="11"/>
    <x v="3"/>
    <x v="49"/>
    <x v="9"/>
  </r>
  <r>
    <x v="584"/>
    <x v="26"/>
    <x v="0"/>
    <x v="0"/>
    <x v="0"/>
    <x v="15"/>
    <x v="0"/>
    <x v="4"/>
    <x v="2"/>
    <x v="1"/>
    <x v="18"/>
    <x v="43"/>
    <x v="17"/>
    <x v="5"/>
    <x v="76"/>
    <x v="74"/>
  </r>
  <r>
    <x v="585"/>
    <x v="26"/>
    <x v="0"/>
    <x v="0"/>
    <x v="0"/>
    <x v="16"/>
    <x v="0"/>
    <x v="4"/>
    <x v="3"/>
    <x v="1"/>
    <x v="13"/>
    <x v="43"/>
    <x v="9"/>
    <x v="5"/>
    <x v="96"/>
    <x v="9"/>
  </r>
  <r>
    <x v="586"/>
    <x v="26"/>
    <x v="0"/>
    <x v="0"/>
    <x v="0"/>
    <x v="17"/>
    <x v="0"/>
    <x v="4"/>
    <x v="2"/>
    <x v="2"/>
    <x v="18"/>
    <x v="43"/>
    <x v="11"/>
    <x v="3"/>
    <x v="16"/>
    <x v="132"/>
  </r>
  <r>
    <x v="587"/>
    <x v="27"/>
    <x v="0"/>
    <x v="0"/>
    <x v="0"/>
    <x v="16"/>
    <x v="0"/>
    <x v="5"/>
    <x v="0"/>
    <x v="1"/>
    <x v="11"/>
    <x v="28"/>
    <x v="5"/>
    <x v="5"/>
    <x v="140"/>
    <x v="108"/>
  </r>
  <r>
    <x v="588"/>
    <x v="27"/>
    <x v="0"/>
    <x v="0"/>
    <x v="0"/>
    <x v="17"/>
    <x v="0"/>
    <x v="5"/>
    <x v="0"/>
    <x v="1"/>
    <x v="19"/>
    <x v="28"/>
    <x v="14"/>
    <x v="4"/>
    <x v="70"/>
    <x v="11"/>
  </r>
  <r>
    <x v="589"/>
    <x v="27"/>
    <x v="0"/>
    <x v="0"/>
    <x v="0"/>
    <x v="18"/>
    <x v="0"/>
    <x v="5"/>
    <x v="0"/>
    <x v="2"/>
    <x v="11"/>
    <x v="27"/>
    <x v="1"/>
    <x v="0"/>
    <x v="143"/>
    <x v="133"/>
  </r>
  <r>
    <x v="590"/>
    <x v="27"/>
    <x v="0"/>
    <x v="0"/>
    <x v="0"/>
    <x v="19"/>
    <x v="0"/>
    <x v="5"/>
    <x v="0"/>
    <x v="2"/>
    <x v="11"/>
    <x v="27"/>
    <x v="1"/>
    <x v="0"/>
    <x v="83"/>
    <x v="67"/>
  </r>
  <r>
    <x v="591"/>
    <x v="27"/>
    <x v="0"/>
    <x v="0"/>
    <x v="0"/>
    <x v="20"/>
    <x v="0"/>
    <x v="5"/>
    <x v="0"/>
    <x v="15"/>
    <x v="12"/>
    <x v="32"/>
    <x v="1"/>
    <x v="17"/>
    <x v="11"/>
    <x v="29"/>
  </r>
  <r>
    <x v="592"/>
    <x v="27"/>
    <x v="0"/>
    <x v="0"/>
    <x v="0"/>
    <x v="21"/>
    <x v="0"/>
    <x v="5"/>
    <x v="0"/>
    <x v="15"/>
    <x v="12"/>
    <x v="32"/>
    <x v="1"/>
    <x v="4"/>
    <x v="49"/>
    <x v="103"/>
  </r>
  <r>
    <x v="593"/>
    <x v="27"/>
    <x v="0"/>
    <x v="0"/>
    <x v="0"/>
    <x v="22"/>
    <x v="0"/>
    <x v="5"/>
    <x v="0"/>
    <x v="15"/>
    <x v="12"/>
    <x v="32"/>
    <x v="1"/>
    <x v="3"/>
    <x v="2"/>
    <x v="110"/>
  </r>
  <r>
    <x v="594"/>
    <x v="27"/>
    <x v="0"/>
    <x v="0"/>
    <x v="0"/>
    <x v="23"/>
    <x v="0"/>
    <x v="5"/>
    <x v="0"/>
    <x v="15"/>
    <x v="13"/>
    <x v="1"/>
    <x v="8"/>
    <x v="3"/>
    <x v="20"/>
    <x v="0"/>
  </r>
  <r>
    <x v="595"/>
    <x v="28"/>
    <x v="0"/>
    <x v="0"/>
    <x v="0"/>
    <x v="0"/>
    <x v="0"/>
    <x v="6"/>
    <x v="1"/>
    <x v="2"/>
    <x v="12"/>
    <x v="2"/>
    <x v="7"/>
    <x v="3"/>
    <x v="33"/>
    <x v="23"/>
  </r>
  <r>
    <x v="596"/>
    <x v="28"/>
    <x v="0"/>
    <x v="0"/>
    <x v="0"/>
    <x v="1"/>
    <x v="0"/>
    <x v="6"/>
    <x v="1"/>
    <x v="2"/>
    <x v="12"/>
    <x v="2"/>
    <x v="7"/>
    <x v="5"/>
    <x v="6"/>
    <x v="6"/>
  </r>
  <r>
    <x v="597"/>
    <x v="28"/>
    <x v="0"/>
    <x v="0"/>
    <x v="0"/>
    <x v="2"/>
    <x v="0"/>
    <x v="6"/>
    <x v="1"/>
    <x v="2"/>
    <x v="12"/>
    <x v="2"/>
    <x v="8"/>
    <x v="3"/>
    <x v="6"/>
    <x v="5"/>
  </r>
  <r>
    <x v="598"/>
    <x v="28"/>
    <x v="0"/>
    <x v="0"/>
    <x v="0"/>
    <x v="3"/>
    <x v="0"/>
    <x v="6"/>
    <x v="1"/>
    <x v="2"/>
    <x v="11"/>
    <x v="2"/>
    <x v="14"/>
    <x v="5"/>
    <x v="5"/>
    <x v="4"/>
  </r>
  <r>
    <x v="599"/>
    <x v="28"/>
    <x v="0"/>
    <x v="0"/>
    <x v="0"/>
    <x v="5"/>
    <x v="0"/>
    <x v="6"/>
    <x v="1"/>
    <x v="15"/>
    <x v="12"/>
    <x v="1"/>
    <x v="14"/>
    <x v="3"/>
    <x v="22"/>
    <x v="48"/>
  </r>
  <r>
    <x v="600"/>
    <x v="28"/>
    <x v="0"/>
    <x v="0"/>
    <x v="0"/>
    <x v="6"/>
    <x v="0"/>
    <x v="6"/>
    <x v="1"/>
    <x v="15"/>
    <x v="13"/>
    <x v="1"/>
    <x v="7"/>
    <x v="3"/>
    <x v="20"/>
    <x v="0"/>
  </r>
  <r>
    <x v="601"/>
    <x v="28"/>
    <x v="0"/>
    <x v="0"/>
    <x v="0"/>
    <x v="7"/>
    <x v="0"/>
    <x v="6"/>
    <x v="1"/>
    <x v="13"/>
    <x v="13"/>
    <x v="3"/>
    <x v="1"/>
    <x v="4"/>
    <x v="29"/>
    <x v="122"/>
  </r>
  <r>
    <x v="602"/>
    <x v="28"/>
    <x v="0"/>
    <x v="0"/>
    <x v="0"/>
    <x v="8"/>
    <x v="0"/>
    <x v="6"/>
    <x v="1"/>
    <x v="13"/>
    <x v="13"/>
    <x v="3"/>
    <x v="1"/>
    <x v="4"/>
    <x v="119"/>
    <x v="45"/>
  </r>
  <r>
    <x v="603"/>
    <x v="28"/>
    <x v="0"/>
    <x v="0"/>
    <x v="0"/>
    <x v="9"/>
    <x v="0"/>
    <x v="6"/>
    <x v="2"/>
    <x v="15"/>
    <x v="12"/>
    <x v="3"/>
    <x v="1"/>
    <x v="15"/>
    <x v="73"/>
    <x v="129"/>
  </r>
  <r>
    <x v="604"/>
    <x v="28"/>
    <x v="0"/>
    <x v="0"/>
    <x v="0"/>
    <x v="10"/>
    <x v="0"/>
    <x v="6"/>
    <x v="2"/>
    <x v="15"/>
    <x v="12"/>
    <x v="3"/>
    <x v="14"/>
    <x v="3"/>
    <x v="47"/>
    <x v="99"/>
  </r>
  <r>
    <x v="605"/>
    <x v="28"/>
    <x v="0"/>
    <x v="0"/>
    <x v="0"/>
    <x v="11"/>
    <x v="0"/>
    <x v="6"/>
    <x v="2"/>
    <x v="15"/>
    <x v="12"/>
    <x v="43"/>
    <x v="14"/>
    <x v="3"/>
    <x v="10"/>
    <x v="33"/>
  </r>
  <r>
    <x v="606"/>
    <x v="28"/>
    <x v="0"/>
    <x v="0"/>
    <x v="0"/>
    <x v="12"/>
    <x v="0"/>
    <x v="6"/>
    <x v="2"/>
    <x v="15"/>
    <x v="12"/>
    <x v="43"/>
    <x v="14"/>
    <x v="5"/>
    <x v="95"/>
    <x v="115"/>
  </r>
  <r>
    <x v="607"/>
    <x v="28"/>
    <x v="0"/>
    <x v="0"/>
    <x v="0"/>
    <x v="13"/>
    <x v="0"/>
    <x v="6"/>
    <x v="2"/>
    <x v="15"/>
    <x v="12"/>
    <x v="43"/>
    <x v="14"/>
    <x v="3"/>
    <x v="17"/>
    <x v="35"/>
  </r>
  <r>
    <x v="608"/>
    <x v="28"/>
    <x v="0"/>
    <x v="0"/>
    <x v="0"/>
    <x v="14"/>
    <x v="0"/>
    <x v="6"/>
    <x v="2"/>
    <x v="1"/>
    <x v="1"/>
    <x v="1"/>
    <x v="0"/>
    <x v="4"/>
    <x v="49"/>
    <x v="103"/>
  </r>
  <r>
    <x v="609"/>
    <x v="28"/>
    <x v="0"/>
    <x v="0"/>
    <x v="0"/>
    <x v="15"/>
    <x v="0"/>
    <x v="6"/>
    <x v="1"/>
    <x v="2"/>
    <x v="2"/>
    <x v="3"/>
    <x v="0"/>
    <x v="5"/>
    <x v="71"/>
    <x v="102"/>
  </r>
  <r>
    <x v="610"/>
    <x v="29"/>
    <x v="0"/>
    <x v="0"/>
    <x v="0"/>
    <x v="1"/>
    <x v="0"/>
    <x v="0"/>
    <x v="0"/>
    <x v="1"/>
    <x v="11"/>
    <x v="26"/>
    <x v="5"/>
    <x v="3"/>
    <x v="32"/>
    <x v="25"/>
  </r>
  <r>
    <x v="611"/>
    <x v="29"/>
    <x v="0"/>
    <x v="0"/>
    <x v="0"/>
    <x v="2"/>
    <x v="0"/>
    <x v="0"/>
    <x v="0"/>
    <x v="1"/>
    <x v="11"/>
    <x v="26"/>
    <x v="8"/>
    <x v="3"/>
    <x v="89"/>
    <x v="93"/>
  </r>
  <r>
    <x v="612"/>
    <x v="29"/>
    <x v="0"/>
    <x v="0"/>
    <x v="0"/>
    <x v="3"/>
    <x v="0"/>
    <x v="0"/>
    <x v="0"/>
    <x v="2"/>
    <x v="12"/>
    <x v="26"/>
    <x v="7"/>
    <x v="0"/>
    <x v="34"/>
    <x v="7"/>
  </r>
  <r>
    <x v="613"/>
    <x v="29"/>
    <x v="0"/>
    <x v="0"/>
    <x v="0"/>
    <x v="4"/>
    <x v="0"/>
    <x v="0"/>
    <x v="0"/>
    <x v="13"/>
    <x v="18"/>
    <x v="27"/>
    <x v="14"/>
    <x v="5"/>
    <x v="6"/>
    <x v="6"/>
  </r>
  <r>
    <x v="614"/>
    <x v="29"/>
    <x v="0"/>
    <x v="0"/>
    <x v="0"/>
    <x v="6"/>
    <x v="0"/>
    <x v="0"/>
    <x v="0"/>
    <x v="13"/>
    <x v="18"/>
    <x v="26"/>
    <x v="7"/>
    <x v="3"/>
    <x v="6"/>
    <x v="5"/>
  </r>
  <r>
    <x v="615"/>
    <x v="29"/>
    <x v="0"/>
    <x v="0"/>
    <x v="0"/>
    <x v="7"/>
    <x v="0"/>
    <x v="0"/>
    <x v="0"/>
    <x v="13"/>
    <x v="18"/>
    <x v="29"/>
    <x v="14"/>
    <x v="5"/>
    <x v="22"/>
    <x v="36"/>
  </r>
  <r>
    <x v="616"/>
    <x v="29"/>
    <x v="0"/>
    <x v="0"/>
    <x v="0"/>
    <x v="8"/>
    <x v="0"/>
    <x v="0"/>
    <x v="0"/>
    <x v="15"/>
    <x v="13"/>
    <x v="28"/>
    <x v="8"/>
    <x v="0"/>
    <x v="17"/>
    <x v="19"/>
  </r>
  <r>
    <x v="617"/>
    <x v="29"/>
    <x v="0"/>
    <x v="0"/>
    <x v="0"/>
    <x v="9"/>
    <x v="0"/>
    <x v="0"/>
    <x v="0"/>
    <x v="15"/>
    <x v="12"/>
    <x v="29"/>
    <x v="1"/>
    <x v="3"/>
    <x v="60"/>
    <x v="19"/>
  </r>
  <r>
    <x v="618"/>
    <x v="29"/>
    <x v="0"/>
    <x v="0"/>
    <x v="0"/>
    <x v="10"/>
    <x v="0"/>
    <x v="0"/>
    <x v="1"/>
    <x v="15"/>
    <x v="12"/>
    <x v="26"/>
    <x v="14"/>
    <x v="17"/>
    <x v="82"/>
    <x v="97"/>
  </r>
  <r>
    <x v="619"/>
    <x v="29"/>
    <x v="0"/>
    <x v="0"/>
    <x v="0"/>
    <x v="11"/>
    <x v="0"/>
    <x v="0"/>
    <x v="1"/>
    <x v="15"/>
    <x v="13"/>
    <x v="26"/>
    <x v="7"/>
    <x v="17"/>
    <x v="91"/>
    <x v="37"/>
  </r>
  <r>
    <x v="620"/>
    <x v="29"/>
    <x v="0"/>
    <x v="0"/>
    <x v="0"/>
    <x v="12"/>
    <x v="0"/>
    <x v="0"/>
    <x v="1"/>
    <x v="2"/>
    <x v="13"/>
    <x v="29"/>
    <x v="5"/>
    <x v="6"/>
    <x v="43"/>
    <x v="53"/>
  </r>
  <r>
    <x v="621"/>
    <x v="29"/>
    <x v="0"/>
    <x v="0"/>
    <x v="0"/>
    <x v="13"/>
    <x v="0"/>
    <x v="0"/>
    <x v="1"/>
    <x v="1"/>
    <x v="11"/>
    <x v="28"/>
    <x v="8"/>
    <x v="14"/>
    <x v="90"/>
    <x v="32"/>
  </r>
  <r>
    <x v="622"/>
    <x v="29"/>
    <x v="0"/>
    <x v="0"/>
    <x v="0"/>
    <x v="14"/>
    <x v="0"/>
    <x v="0"/>
    <x v="1"/>
    <x v="1"/>
    <x v="11"/>
    <x v="54"/>
    <x v="7"/>
    <x v="22"/>
    <x v="121"/>
    <x v="111"/>
  </r>
  <r>
    <x v="623"/>
    <x v="29"/>
    <x v="0"/>
    <x v="0"/>
    <x v="0"/>
    <x v="15"/>
    <x v="0"/>
    <x v="0"/>
    <x v="0"/>
    <x v="1"/>
    <x v="12"/>
    <x v="27"/>
    <x v="2"/>
    <x v="30"/>
    <x v="52"/>
    <x v="151"/>
  </r>
  <r>
    <x v="624"/>
    <x v="29"/>
    <x v="0"/>
    <x v="0"/>
    <x v="0"/>
    <x v="16"/>
    <x v="0"/>
    <x v="0"/>
    <x v="0"/>
    <x v="0"/>
    <x v="19"/>
    <x v="54"/>
    <x v="8"/>
    <x v="21"/>
    <x v="150"/>
    <x v="165"/>
  </r>
  <r>
    <x v="625"/>
    <x v="29"/>
    <x v="0"/>
    <x v="0"/>
    <x v="0"/>
    <x v="17"/>
    <x v="0"/>
    <x v="0"/>
    <x v="0"/>
    <x v="0"/>
    <x v="0"/>
    <x v="54"/>
    <x v="0"/>
    <x v="14"/>
    <x v="70"/>
    <x v="134"/>
  </r>
  <r>
    <x v="626"/>
    <x v="29"/>
    <x v="0"/>
    <x v="0"/>
    <x v="0"/>
    <x v="18"/>
    <x v="0"/>
    <x v="0"/>
    <x v="0"/>
    <x v="1"/>
    <x v="11"/>
    <x v="27"/>
    <x v="7"/>
    <x v="14"/>
    <x v="79"/>
    <x v="118"/>
  </r>
  <r>
    <x v="627"/>
    <x v="29"/>
    <x v="0"/>
    <x v="0"/>
    <x v="0"/>
    <x v="19"/>
    <x v="0"/>
    <x v="0"/>
    <x v="1"/>
    <x v="1"/>
    <x v="12"/>
    <x v="27"/>
    <x v="2"/>
    <x v="15"/>
    <x v="15"/>
    <x v="154"/>
  </r>
  <r>
    <x v="628"/>
    <x v="29"/>
    <x v="0"/>
    <x v="0"/>
    <x v="0"/>
    <x v="20"/>
    <x v="0"/>
    <x v="0"/>
    <x v="0"/>
    <x v="15"/>
    <x v="12"/>
    <x v="32"/>
    <x v="1"/>
    <x v="5"/>
    <x v="76"/>
    <x v="74"/>
  </r>
  <r>
    <x v="629"/>
    <x v="29"/>
    <x v="0"/>
    <x v="0"/>
    <x v="0"/>
    <x v="21"/>
    <x v="0"/>
    <x v="0"/>
    <x v="0"/>
    <x v="15"/>
    <x v="12"/>
    <x v="32"/>
    <x v="1"/>
    <x v="5"/>
    <x v="96"/>
    <x v="9"/>
  </r>
  <r>
    <x v="630"/>
    <x v="29"/>
    <x v="0"/>
    <x v="0"/>
    <x v="0"/>
    <x v="22"/>
    <x v="0"/>
    <x v="0"/>
    <x v="0"/>
    <x v="13"/>
    <x v="13"/>
    <x v="1"/>
    <x v="1"/>
    <x v="17"/>
    <x v="95"/>
    <x v="2"/>
  </r>
  <r>
    <x v="631"/>
    <x v="29"/>
    <x v="0"/>
    <x v="0"/>
    <x v="0"/>
    <x v="23"/>
    <x v="0"/>
    <x v="0"/>
    <x v="0"/>
    <x v="13"/>
    <x v="13"/>
    <x v="1"/>
    <x v="1"/>
    <x v="0"/>
    <x v="10"/>
    <x v="63"/>
  </r>
  <r>
    <x v="632"/>
    <x v="30"/>
    <x v="0"/>
    <x v="0"/>
    <x v="0"/>
    <x v="0"/>
    <x v="0"/>
    <x v="1"/>
    <x v="0"/>
    <x v="13"/>
    <x v="18"/>
    <x v="1"/>
    <x v="14"/>
    <x v="3"/>
    <x v="39"/>
    <x v="63"/>
  </r>
  <r>
    <x v="633"/>
    <x v="30"/>
    <x v="0"/>
    <x v="0"/>
    <x v="0"/>
    <x v="1"/>
    <x v="0"/>
    <x v="1"/>
    <x v="0"/>
    <x v="14"/>
    <x v="12"/>
    <x v="1"/>
    <x v="0"/>
    <x v="18"/>
    <x v="97"/>
    <x v="115"/>
  </r>
  <r>
    <x v="634"/>
    <x v="30"/>
    <x v="0"/>
    <x v="0"/>
    <x v="0"/>
    <x v="2"/>
    <x v="0"/>
    <x v="1"/>
    <x v="0"/>
    <x v="13"/>
    <x v="11"/>
    <x v="1"/>
    <x v="0"/>
    <x v="5"/>
    <x v="3"/>
    <x v="62"/>
  </r>
  <r>
    <x v="635"/>
    <x v="30"/>
    <x v="0"/>
    <x v="0"/>
    <x v="0"/>
    <x v="3"/>
    <x v="0"/>
    <x v="1"/>
    <x v="0"/>
    <x v="14"/>
    <x v="12"/>
    <x v="43"/>
    <x v="0"/>
    <x v="5"/>
    <x v="7"/>
    <x v="7"/>
  </r>
  <r>
    <x v="636"/>
    <x v="30"/>
    <x v="0"/>
    <x v="0"/>
    <x v="0"/>
    <x v="4"/>
    <x v="0"/>
    <x v="1"/>
    <x v="0"/>
    <x v="14"/>
    <x v="12"/>
    <x v="43"/>
    <x v="0"/>
    <x v="3"/>
    <x v="4"/>
    <x v="4"/>
  </r>
  <r>
    <x v="637"/>
    <x v="30"/>
    <x v="0"/>
    <x v="0"/>
    <x v="0"/>
    <x v="5"/>
    <x v="0"/>
    <x v="1"/>
    <x v="0"/>
    <x v="14"/>
    <x v="12"/>
    <x v="3"/>
    <x v="0"/>
    <x v="3"/>
    <x v="35"/>
    <x v="6"/>
  </r>
  <r>
    <x v="638"/>
    <x v="30"/>
    <x v="0"/>
    <x v="0"/>
    <x v="0"/>
    <x v="7"/>
    <x v="0"/>
    <x v="1"/>
    <x v="0"/>
    <x v="14"/>
    <x v="12"/>
    <x v="3"/>
    <x v="0"/>
    <x v="3"/>
    <x v="35"/>
    <x v="6"/>
  </r>
  <r>
    <x v="639"/>
    <x v="30"/>
    <x v="0"/>
    <x v="0"/>
    <x v="0"/>
    <x v="8"/>
    <x v="0"/>
    <x v="1"/>
    <x v="1"/>
    <x v="14"/>
    <x v="12"/>
    <x v="3"/>
    <x v="0"/>
    <x v="5"/>
    <x v="48"/>
    <x v="47"/>
  </r>
  <r>
    <x v="640"/>
    <x v="30"/>
    <x v="0"/>
    <x v="0"/>
    <x v="0"/>
    <x v="9"/>
    <x v="0"/>
    <x v="1"/>
    <x v="1"/>
    <x v="13"/>
    <x v="11"/>
    <x v="1"/>
    <x v="0"/>
    <x v="17"/>
    <x v="60"/>
    <x v="103"/>
  </r>
  <r>
    <x v="641"/>
    <x v="30"/>
    <x v="0"/>
    <x v="0"/>
    <x v="0"/>
    <x v="10"/>
    <x v="0"/>
    <x v="1"/>
    <x v="1"/>
    <x v="15"/>
    <x v="19"/>
    <x v="1"/>
    <x v="0"/>
    <x v="18"/>
    <x v="77"/>
    <x v="37"/>
  </r>
  <r>
    <x v="642"/>
    <x v="30"/>
    <x v="0"/>
    <x v="0"/>
    <x v="0"/>
    <x v="11"/>
    <x v="0"/>
    <x v="1"/>
    <x v="0"/>
    <x v="1"/>
    <x v="1"/>
    <x v="2"/>
    <x v="0"/>
    <x v="14"/>
    <x v="54"/>
    <x v="29"/>
  </r>
  <r>
    <x v="643"/>
    <x v="30"/>
    <x v="0"/>
    <x v="0"/>
    <x v="0"/>
    <x v="12"/>
    <x v="0"/>
    <x v="1"/>
    <x v="0"/>
    <x v="11"/>
    <x v="21"/>
    <x v="35"/>
    <x v="14"/>
    <x v="22"/>
    <x v="61"/>
    <x v="54"/>
  </r>
  <r>
    <x v="644"/>
    <x v="30"/>
    <x v="0"/>
    <x v="0"/>
    <x v="0"/>
    <x v="13"/>
    <x v="0"/>
    <x v="1"/>
    <x v="0"/>
    <x v="17"/>
    <x v="0"/>
    <x v="53"/>
    <x v="14"/>
    <x v="23"/>
    <x v="13"/>
    <x v="11"/>
  </r>
  <r>
    <x v="645"/>
    <x v="30"/>
    <x v="0"/>
    <x v="0"/>
    <x v="0"/>
    <x v="14"/>
    <x v="0"/>
    <x v="1"/>
    <x v="0"/>
    <x v="17"/>
    <x v="25"/>
    <x v="53"/>
    <x v="1"/>
    <x v="25"/>
    <x v="151"/>
    <x v="78"/>
  </r>
  <r>
    <x v="646"/>
    <x v="30"/>
    <x v="0"/>
    <x v="0"/>
    <x v="0"/>
    <x v="15"/>
    <x v="0"/>
    <x v="1"/>
    <x v="0"/>
    <x v="11"/>
    <x v="6"/>
    <x v="34"/>
    <x v="0"/>
    <x v="24"/>
    <x v="73"/>
    <x v="142"/>
  </r>
  <r>
    <x v="647"/>
    <x v="30"/>
    <x v="0"/>
    <x v="0"/>
    <x v="0"/>
    <x v="16"/>
    <x v="0"/>
    <x v="1"/>
    <x v="0"/>
    <x v="11"/>
    <x v="6"/>
    <x v="34"/>
    <x v="0"/>
    <x v="21"/>
    <x v="151"/>
    <x v="92"/>
  </r>
  <r>
    <x v="648"/>
    <x v="30"/>
    <x v="0"/>
    <x v="0"/>
    <x v="0"/>
    <x v="17"/>
    <x v="0"/>
    <x v="1"/>
    <x v="0"/>
    <x v="11"/>
    <x v="0"/>
    <x v="34"/>
    <x v="5"/>
    <x v="15"/>
    <x v="13"/>
    <x v="43"/>
  </r>
  <r>
    <x v="649"/>
    <x v="30"/>
    <x v="0"/>
    <x v="0"/>
    <x v="0"/>
    <x v="18"/>
    <x v="0"/>
    <x v="1"/>
    <x v="0"/>
    <x v="12"/>
    <x v="2"/>
    <x v="55"/>
    <x v="8"/>
    <x v="1"/>
    <x v="77"/>
    <x v="32"/>
  </r>
  <r>
    <x v="650"/>
    <x v="30"/>
    <x v="0"/>
    <x v="0"/>
    <x v="0"/>
    <x v="19"/>
    <x v="0"/>
    <x v="1"/>
    <x v="0"/>
    <x v="12"/>
    <x v="2"/>
    <x v="55"/>
    <x v="5"/>
    <x v="14"/>
    <x v="24"/>
    <x v="97"/>
  </r>
  <r>
    <x v="651"/>
    <x v="30"/>
    <x v="0"/>
    <x v="0"/>
    <x v="0"/>
    <x v="20"/>
    <x v="0"/>
    <x v="1"/>
    <x v="1"/>
    <x v="12"/>
    <x v="1"/>
    <x v="55"/>
    <x v="14"/>
    <x v="0"/>
    <x v="10"/>
    <x v="63"/>
  </r>
  <r>
    <x v="652"/>
    <x v="30"/>
    <x v="0"/>
    <x v="0"/>
    <x v="0"/>
    <x v="21"/>
    <x v="0"/>
    <x v="1"/>
    <x v="1"/>
    <x v="0"/>
    <x v="19"/>
    <x v="56"/>
    <x v="8"/>
    <x v="0"/>
    <x v="18"/>
    <x v="20"/>
  </r>
  <r>
    <x v="653"/>
    <x v="30"/>
    <x v="0"/>
    <x v="0"/>
    <x v="0"/>
    <x v="22"/>
    <x v="0"/>
    <x v="1"/>
    <x v="1"/>
    <x v="0"/>
    <x v="11"/>
    <x v="56"/>
    <x v="5"/>
    <x v="4"/>
    <x v="23"/>
    <x v="137"/>
  </r>
  <r>
    <x v="654"/>
    <x v="30"/>
    <x v="0"/>
    <x v="0"/>
    <x v="0"/>
    <x v="23"/>
    <x v="0"/>
    <x v="1"/>
    <x v="1"/>
    <x v="0"/>
    <x v="12"/>
    <x v="55"/>
    <x v="3"/>
    <x v="2"/>
    <x v="20"/>
    <x v="137"/>
  </r>
  <r>
    <x v="655"/>
    <x v="31"/>
    <x v="0"/>
    <x v="0"/>
    <x v="0"/>
    <x v="0"/>
    <x v="0"/>
    <x v="2"/>
    <x v="1"/>
    <x v="0"/>
    <x v="11"/>
    <x v="55"/>
    <x v="6"/>
    <x v="5"/>
    <x v="8"/>
    <x v="85"/>
  </r>
  <r>
    <x v="656"/>
    <x v="31"/>
    <x v="0"/>
    <x v="0"/>
    <x v="0"/>
    <x v="1"/>
    <x v="0"/>
    <x v="2"/>
    <x v="0"/>
    <x v="1"/>
    <x v="12"/>
    <x v="26"/>
    <x v="2"/>
    <x v="4"/>
    <x v="34"/>
    <x v="85"/>
  </r>
  <r>
    <x v="657"/>
    <x v="31"/>
    <x v="0"/>
    <x v="0"/>
    <x v="0"/>
    <x v="2"/>
    <x v="0"/>
    <x v="2"/>
    <x v="0"/>
    <x v="1"/>
    <x v="11"/>
    <x v="26"/>
    <x v="5"/>
    <x v="3"/>
    <x v="4"/>
    <x v="4"/>
  </r>
  <r>
    <x v="658"/>
    <x v="31"/>
    <x v="0"/>
    <x v="0"/>
    <x v="0"/>
    <x v="3"/>
    <x v="0"/>
    <x v="2"/>
    <x v="0"/>
    <x v="1"/>
    <x v="11"/>
    <x v="26"/>
    <x v="5"/>
    <x v="3"/>
    <x v="6"/>
    <x v="5"/>
  </r>
  <r>
    <x v="659"/>
    <x v="31"/>
    <x v="0"/>
    <x v="0"/>
    <x v="0"/>
    <x v="4"/>
    <x v="0"/>
    <x v="2"/>
    <x v="0"/>
    <x v="2"/>
    <x v="13"/>
    <x v="29"/>
    <x v="6"/>
    <x v="3"/>
    <x v="6"/>
    <x v="5"/>
  </r>
  <r>
    <x v="660"/>
    <x v="31"/>
    <x v="0"/>
    <x v="0"/>
    <x v="0"/>
    <x v="5"/>
    <x v="0"/>
    <x v="2"/>
    <x v="0"/>
    <x v="15"/>
    <x v="17"/>
    <x v="26"/>
    <x v="3"/>
    <x v="3"/>
    <x v="21"/>
    <x v="7"/>
  </r>
  <r>
    <x v="661"/>
    <x v="31"/>
    <x v="0"/>
    <x v="0"/>
    <x v="0"/>
    <x v="6"/>
    <x v="0"/>
    <x v="2"/>
    <x v="0"/>
    <x v="13"/>
    <x v="14"/>
    <x v="27"/>
    <x v="9"/>
    <x v="3"/>
    <x v="53"/>
    <x v="18"/>
  </r>
  <r>
    <x v="662"/>
    <x v="31"/>
    <x v="0"/>
    <x v="0"/>
    <x v="0"/>
    <x v="7"/>
    <x v="0"/>
    <x v="2"/>
    <x v="1"/>
    <x v="13"/>
    <x v="14"/>
    <x v="26"/>
    <x v="3"/>
    <x v="5"/>
    <x v="13"/>
    <x v="44"/>
  </r>
  <r>
    <x v="663"/>
    <x v="31"/>
    <x v="0"/>
    <x v="0"/>
    <x v="0"/>
    <x v="8"/>
    <x v="0"/>
    <x v="2"/>
    <x v="1"/>
    <x v="13"/>
    <x v="14"/>
    <x v="29"/>
    <x v="3"/>
    <x v="0"/>
    <x v="152"/>
    <x v="147"/>
  </r>
  <r>
    <x v="664"/>
    <x v="31"/>
    <x v="0"/>
    <x v="0"/>
    <x v="0"/>
    <x v="9"/>
    <x v="0"/>
    <x v="2"/>
    <x v="1"/>
    <x v="13"/>
    <x v="14"/>
    <x v="29"/>
    <x v="4"/>
    <x v="3"/>
    <x v="153"/>
    <x v="59"/>
  </r>
  <r>
    <x v="665"/>
    <x v="31"/>
    <x v="0"/>
    <x v="0"/>
    <x v="0"/>
    <x v="10"/>
    <x v="0"/>
    <x v="2"/>
    <x v="1"/>
    <x v="13"/>
    <x v="20"/>
    <x v="29"/>
    <x v="5"/>
    <x v="5"/>
    <x v="56"/>
    <x v="83"/>
  </r>
  <r>
    <x v="666"/>
    <x v="31"/>
    <x v="0"/>
    <x v="0"/>
    <x v="0"/>
    <x v="11"/>
    <x v="0"/>
    <x v="2"/>
    <x v="1"/>
    <x v="13"/>
    <x v="20"/>
    <x v="29"/>
    <x v="5"/>
    <x v="4"/>
    <x v="24"/>
    <x v="61"/>
  </r>
  <r>
    <x v="667"/>
    <x v="31"/>
    <x v="0"/>
    <x v="0"/>
    <x v="0"/>
    <x v="12"/>
    <x v="0"/>
    <x v="2"/>
    <x v="1"/>
    <x v="15"/>
    <x v="12"/>
    <x v="28"/>
    <x v="14"/>
    <x v="15"/>
    <x v="133"/>
    <x v="118"/>
  </r>
  <r>
    <x v="668"/>
    <x v="31"/>
    <x v="0"/>
    <x v="0"/>
    <x v="0"/>
    <x v="13"/>
    <x v="0"/>
    <x v="2"/>
    <x v="1"/>
    <x v="13"/>
    <x v="11"/>
    <x v="29"/>
    <x v="0"/>
    <x v="4"/>
    <x v="15"/>
    <x v="60"/>
  </r>
  <r>
    <x v="669"/>
    <x v="31"/>
    <x v="0"/>
    <x v="0"/>
    <x v="0"/>
    <x v="14"/>
    <x v="0"/>
    <x v="2"/>
    <x v="1"/>
    <x v="15"/>
    <x v="13"/>
    <x v="28"/>
    <x v="7"/>
    <x v="5"/>
    <x v="66"/>
    <x v="80"/>
  </r>
  <r>
    <x v="670"/>
    <x v="31"/>
    <x v="0"/>
    <x v="0"/>
    <x v="0"/>
    <x v="15"/>
    <x v="0"/>
    <x v="2"/>
    <x v="1"/>
    <x v="13"/>
    <x v="18"/>
    <x v="29"/>
    <x v="7"/>
    <x v="0"/>
    <x v="40"/>
    <x v="40"/>
  </r>
  <r>
    <x v="671"/>
    <x v="31"/>
    <x v="0"/>
    <x v="0"/>
    <x v="0"/>
    <x v="16"/>
    <x v="0"/>
    <x v="2"/>
    <x v="1"/>
    <x v="13"/>
    <x v="18"/>
    <x v="34"/>
    <x v="5"/>
    <x v="0"/>
    <x v="93"/>
    <x v="80"/>
  </r>
  <r>
    <x v="672"/>
    <x v="31"/>
    <x v="0"/>
    <x v="0"/>
    <x v="0"/>
    <x v="17"/>
    <x v="0"/>
    <x v="2"/>
    <x v="1"/>
    <x v="13"/>
    <x v="20"/>
    <x v="29"/>
    <x v="5"/>
    <x v="15"/>
    <x v="119"/>
    <x v="143"/>
  </r>
  <r>
    <x v="673"/>
    <x v="31"/>
    <x v="0"/>
    <x v="0"/>
    <x v="0"/>
    <x v="18"/>
    <x v="0"/>
    <x v="2"/>
    <x v="1"/>
    <x v="13"/>
    <x v="20"/>
    <x v="28"/>
    <x v="6"/>
    <x v="0"/>
    <x v="37"/>
    <x v="166"/>
  </r>
  <r>
    <x v="674"/>
    <x v="31"/>
    <x v="0"/>
    <x v="0"/>
    <x v="0"/>
    <x v="19"/>
    <x v="0"/>
    <x v="2"/>
    <x v="0"/>
    <x v="11"/>
    <x v="21"/>
    <x v="53"/>
    <x v="14"/>
    <x v="0"/>
    <x v="123"/>
    <x v="167"/>
  </r>
  <r>
    <x v="675"/>
    <x v="31"/>
    <x v="0"/>
    <x v="0"/>
    <x v="0"/>
    <x v="20"/>
    <x v="0"/>
    <x v="2"/>
    <x v="2"/>
    <x v="13"/>
    <x v="17"/>
    <x v="29"/>
    <x v="8"/>
    <x v="3"/>
    <x v="78"/>
    <x v="53"/>
  </r>
  <r>
    <x v="676"/>
    <x v="31"/>
    <x v="0"/>
    <x v="0"/>
    <x v="0"/>
    <x v="21"/>
    <x v="0"/>
    <x v="2"/>
    <x v="2"/>
    <x v="13"/>
    <x v="13"/>
    <x v="29"/>
    <x v="1"/>
    <x v="0"/>
    <x v="42"/>
    <x v="10"/>
  </r>
  <r>
    <x v="677"/>
    <x v="31"/>
    <x v="0"/>
    <x v="0"/>
    <x v="0"/>
    <x v="22"/>
    <x v="0"/>
    <x v="2"/>
    <x v="1"/>
    <x v="13"/>
    <x v="18"/>
    <x v="29"/>
    <x v="14"/>
    <x v="3"/>
    <x v="60"/>
    <x v="19"/>
  </r>
  <r>
    <x v="678"/>
    <x v="31"/>
    <x v="0"/>
    <x v="0"/>
    <x v="0"/>
    <x v="23"/>
    <x v="0"/>
    <x v="2"/>
    <x v="1"/>
    <x v="13"/>
    <x v="13"/>
    <x v="26"/>
    <x v="1"/>
    <x v="4"/>
    <x v="89"/>
    <x v="22"/>
  </r>
  <r>
    <x v="679"/>
    <x v="32"/>
    <x v="0"/>
    <x v="0"/>
    <x v="1"/>
    <x v="0"/>
    <x v="0"/>
    <x v="3"/>
    <x v="1"/>
    <x v="13"/>
    <x v="18"/>
    <x v="26"/>
    <x v="14"/>
    <x v="4"/>
    <x v="8"/>
    <x v="7"/>
  </r>
  <r>
    <x v="680"/>
    <x v="32"/>
    <x v="0"/>
    <x v="0"/>
    <x v="1"/>
    <x v="1"/>
    <x v="0"/>
    <x v="3"/>
    <x v="1"/>
    <x v="13"/>
    <x v="18"/>
    <x v="27"/>
    <x v="14"/>
    <x v="3"/>
    <x v="35"/>
    <x v="6"/>
  </r>
  <r>
    <x v="681"/>
    <x v="32"/>
    <x v="0"/>
    <x v="0"/>
    <x v="1"/>
    <x v="2"/>
    <x v="0"/>
    <x v="3"/>
    <x v="1"/>
    <x v="13"/>
    <x v="11"/>
    <x v="27"/>
    <x v="0"/>
    <x v="3"/>
    <x v="6"/>
    <x v="5"/>
  </r>
  <r>
    <x v="682"/>
    <x v="32"/>
    <x v="0"/>
    <x v="0"/>
    <x v="1"/>
    <x v="3"/>
    <x v="0"/>
    <x v="3"/>
    <x v="1"/>
    <x v="13"/>
    <x v="11"/>
    <x v="27"/>
    <x v="0"/>
    <x v="3"/>
    <x v="6"/>
    <x v="5"/>
  </r>
  <r>
    <x v="683"/>
    <x v="32"/>
    <x v="0"/>
    <x v="0"/>
    <x v="1"/>
    <x v="5"/>
    <x v="0"/>
    <x v="3"/>
    <x v="2"/>
    <x v="14"/>
    <x v="12"/>
    <x v="43"/>
    <x v="0"/>
    <x v="3"/>
    <x v="35"/>
    <x v="6"/>
  </r>
  <r>
    <x v="684"/>
    <x v="32"/>
    <x v="0"/>
    <x v="0"/>
    <x v="1"/>
    <x v="6"/>
    <x v="0"/>
    <x v="3"/>
    <x v="2"/>
    <x v="14"/>
    <x v="12"/>
    <x v="43"/>
    <x v="0"/>
    <x v="3"/>
    <x v="97"/>
    <x v="34"/>
  </r>
  <r>
    <x v="685"/>
    <x v="32"/>
    <x v="0"/>
    <x v="0"/>
    <x v="1"/>
    <x v="7"/>
    <x v="0"/>
    <x v="3"/>
    <x v="2"/>
    <x v="13"/>
    <x v="11"/>
    <x v="43"/>
    <x v="0"/>
    <x v="3"/>
    <x v="15"/>
    <x v="46"/>
  </r>
  <r>
    <x v="686"/>
    <x v="32"/>
    <x v="0"/>
    <x v="0"/>
    <x v="1"/>
    <x v="8"/>
    <x v="0"/>
    <x v="3"/>
    <x v="2"/>
    <x v="13"/>
    <x v="11"/>
    <x v="43"/>
    <x v="0"/>
    <x v="0"/>
    <x v="126"/>
    <x v="168"/>
  </r>
  <r>
    <x v="687"/>
    <x v="32"/>
    <x v="0"/>
    <x v="0"/>
    <x v="1"/>
    <x v="9"/>
    <x v="0"/>
    <x v="3"/>
    <x v="1"/>
    <x v="13"/>
    <x v="11"/>
    <x v="43"/>
    <x v="0"/>
    <x v="4"/>
    <x v="154"/>
    <x v="155"/>
  </r>
  <r>
    <x v="688"/>
    <x v="32"/>
    <x v="0"/>
    <x v="0"/>
    <x v="1"/>
    <x v="10"/>
    <x v="0"/>
    <x v="3"/>
    <x v="1"/>
    <x v="13"/>
    <x v="11"/>
    <x v="43"/>
    <x v="0"/>
    <x v="3"/>
    <x v="12"/>
    <x v="105"/>
  </r>
  <r>
    <x v="689"/>
    <x v="32"/>
    <x v="0"/>
    <x v="0"/>
    <x v="1"/>
    <x v="11"/>
    <x v="0"/>
    <x v="3"/>
    <x v="1"/>
    <x v="15"/>
    <x v="19"/>
    <x v="3"/>
    <x v="0"/>
    <x v="4"/>
    <x v="47"/>
    <x v="41"/>
  </r>
  <r>
    <x v="690"/>
    <x v="32"/>
    <x v="0"/>
    <x v="0"/>
    <x v="1"/>
    <x v="12"/>
    <x v="0"/>
    <x v="3"/>
    <x v="1"/>
    <x v="2"/>
    <x v="2"/>
    <x v="3"/>
    <x v="0"/>
    <x v="4"/>
    <x v="42"/>
    <x v="97"/>
  </r>
  <r>
    <x v="691"/>
    <x v="32"/>
    <x v="0"/>
    <x v="0"/>
    <x v="1"/>
    <x v="13"/>
    <x v="0"/>
    <x v="3"/>
    <x v="1"/>
    <x v="2"/>
    <x v="2"/>
    <x v="3"/>
    <x v="0"/>
    <x v="0"/>
    <x v="47"/>
    <x v="46"/>
  </r>
  <r>
    <x v="692"/>
    <x v="32"/>
    <x v="0"/>
    <x v="0"/>
    <x v="1"/>
    <x v="14"/>
    <x v="0"/>
    <x v="3"/>
    <x v="1"/>
    <x v="1"/>
    <x v="2"/>
    <x v="1"/>
    <x v="1"/>
    <x v="2"/>
    <x v="47"/>
    <x v="60"/>
  </r>
  <r>
    <x v="693"/>
    <x v="32"/>
    <x v="0"/>
    <x v="0"/>
    <x v="1"/>
    <x v="15"/>
    <x v="0"/>
    <x v="3"/>
    <x v="1"/>
    <x v="0"/>
    <x v="0"/>
    <x v="2"/>
    <x v="0"/>
    <x v="18"/>
    <x v="108"/>
    <x v="46"/>
  </r>
  <r>
    <x v="694"/>
    <x v="32"/>
    <x v="0"/>
    <x v="0"/>
    <x v="1"/>
    <x v="16"/>
    <x v="0"/>
    <x v="3"/>
    <x v="1"/>
    <x v="0"/>
    <x v="19"/>
    <x v="2"/>
    <x v="7"/>
    <x v="0"/>
    <x v="124"/>
    <x v="37"/>
  </r>
  <r>
    <x v="695"/>
    <x v="32"/>
    <x v="0"/>
    <x v="0"/>
    <x v="1"/>
    <x v="17"/>
    <x v="0"/>
    <x v="3"/>
    <x v="1"/>
    <x v="0"/>
    <x v="0"/>
    <x v="2"/>
    <x v="0"/>
    <x v="17"/>
    <x v="155"/>
    <x v="169"/>
  </r>
  <r>
    <x v="696"/>
    <x v="32"/>
    <x v="0"/>
    <x v="0"/>
    <x v="1"/>
    <x v="18"/>
    <x v="0"/>
    <x v="3"/>
    <x v="1"/>
    <x v="0"/>
    <x v="2"/>
    <x v="0"/>
    <x v="14"/>
    <x v="0"/>
    <x v="156"/>
    <x v="170"/>
  </r>
  <r>
    <x v="697"/>
    <x v="32"/>
    <x v="0"/>
    <x v="0"/>
    <x v="1"/>
    <x v="19"/>
    <x v="0"/>
    <x v="3"/>
    <x v="1"/>
    <x v="0"/>
    <x v="19"/>
    <x v="0"/>
    <x v="7"/>
    <x v="0"/>
    <x v="157"/>
    <x v="159"/>
  </r>
  <r>
    <x v="698"/>
    <x v="32"/>
    <x v="0"/>
    <x v="0"/>
    <x v="1"/>
    <x v="20"/>
    <x v="0"/>
    <x v="3"/>
    <x v="1"/>
    <x v="1"/>
    <x v="11"/>
    <x v="9"/>
    <x v="7"/>
    <x v="2"/>
    <x v="94"/>
    <x v="30"/>
  </r>
  <r>
    <x v="699"/>
    <x v="32"/>
    <x v="0"/>
    <x v="0"/>
    <x v="1"/>
    <x v="21"/>
    <x v="0"/>
    <x v="3"/>
    <x v="1"/>
    <x v="1"/>
    <x v="11"/>
    <x v="9"/>
    <x v="7"/>
    <x v="3"/>
    <x v="27"/>
    <x v="37"/>
  </r>
  <r>
    <x v="700"/>
    <x v="32"/>
    <x v="0"/>
    <x v="0"/>
    <x v="1"/>
    <x v="22"/>
    <x v="0"/>
    <x v="3"/>
    <x v="1"/>
    <x v="1"/>
    <x v="2"/>
    <x v="9"/>
    <x v="1"/>
    <x v="4"/>
    <x v="60"/>
    <x v="9"/>
  </r>
  <r>
    <x v="701"/>
    <x v="32"/>
    <x v="0"/>
    <x v="0"/>
    <x v="1"/>
    <x v="23"/>
    <x v="0"/>
    <x v="3"/>
    <x v="2"/>
    <x v="2"/>
    <x v="13"/>
    <x v="43"/>
    <x v="5"/>
    <x v="5"/>
    <x v="89"/>
    <x v="0"/>
  </r>
  <r>
    <x v="702"/>
    <x v="33"/>
    <x v="0"/>
    <x v="0"/>
    <x v="1"/>
    <x v="0"/>
    <x v="0"/>
    <x v="4"/>
    <x v="2"/>
    <x v="1"/>
    <x v="19"/>
    <x v="43"/>
    <x v="14"/>
    <x v="3"/>
    <x v="6"/>
    <x v="5"/>
  </r>
  <r>
    <x v="703"/>
    <x v="33"/>
    <x v="0"/>
    <x v="0"/>
    <x v="1"/>
    <x v="1"/>
    <x v="0"/>
    <x v="4"/>
    <x v="2"/>
    <x v="1"/>
    <x v="11"/>
    <x v="43"/>
    <x v="5"/>
    <x v="3"/>
    <x v="35"/>
    <x v="6"/>
  </r>
  <r>
    <x v="704"/>
    <x v="33"/>
    <x v="0"/>
    <x v="0"/>
    <x v="1"/>
    <x v="2"/>
    <x v="0"/>
    <x v="4"/>
    <x v="2"/>
    <x v="1"/>
    <x v="11"/>
    <x v="43"/>
    <x v="7"/>
    <x v="17"/>
    <x v="5"/>
    <x v="48"/>
  </r>
  <r>
    <x v="705"/>
    <x v="33"/>
    <x v="0"/>
    <x v="0"/>
    <x v="1"/>
    <x v="3"/>
    <x v="0"/>
    <x v="4"/>
    <x v="2"/>
    <x v="1"/>
    <x v="11"/>
    <x v="43"/>
    <x v="7"/>
    <x v="3"/>
    <x v="4"/>
    <x v="4"/>
  </r>
  <r>
    <x v="706"/>
    <x v="33"/>
    <x v="0"/>
    <x v="0"/>
    <x v="1"/>
    <x v="4"/>
    <x v="0"/>
    <x v="4"/>
    <x v="2"/>
    <x v="1"/>
    <x v="12"/>
    <x v="43"/>
    <x v="3"/>
    <x v="3"/>
    <x v="4"/>
    <x v="4"/>
  </r>
  <r>
    <x v="707"/>
    <x v="33"/>
    <x v="0"/>
    <x v="0"/>
    <x v="1"/>
    <x v="5"/>
    <x v="0"/>
    <x v="4"/>
    <x v="2"/>
    <x v="1"/>
    <x v="19"/>
    <x v="43"/>
    <x v="14"/>
    <x v="3"/>
    <x v="35"/>
    <x v="6"/>
  </r>
  <r>
    <x v="708"/>
    <x v="33"/>
    <x v="0"/>
    <x v="0"/>
    <x v="1"/>
    <x v="6"/>
    <x v="0"/>
    <x v="4"/>
    <x v="2"/>
    <x v="1"/>
    <x v="19"/>
    <x v="43"/>
    <x v="14"/>
    <x v="5"/>
    <x v="19"/>
    <x v="109"/>
  </r>
  <r>
    <x v="709"/>
    <x v="33"/>
    <x v="0"/>
    <x v="0"/>
    <x v="1"/>
    <x v="7"/>
    <x v="0"/>
    <x v="4"/>
    <x v="2"/>
    <x v="1"/>
    <x v="12"/>
    <x v="43"/>
    <x v="6"/>
    <x v="5"/>
    <x v="41"/>
    <x v="99"/>
  </r>
  <r>
    <x v="710"/>
    <x v="33"/>
    <x v="0"/>
    <x v="0"/>
    <x v="1"/>
    <x v="8"/>
    <x v="0"/>
    <x v="4"/>
    <x v="2"/>
    <x v="1"/>
    <x v="12"/>
    <x v="43"/>
    <x v="6"/>
    <x v="5"/>
    <x v="105"/>
    <x v="107"/>
  </r>
  <r>
    <x v="711"/>
    <x v="33"/>
    <x v="0"/>
    <x v="0"/>
    <x v="1"/>
    <x v="9"/>
    <x v="0"/>
    <x v="4"/>
    <x v="1"/>
    <x v="0"/>
    <x v="2"/>
    <x v="43"/>
    <x v="1"/>
    <x v="17"/>
    <x v="138"/>
    <x v="92"/>
  </r>
  <r>
    <x v="712"/>
    <x v="33"/>
    <x v="0"/>
    <x v="0"/>
    <x v="1"/>
    <x v="10"/>
    <x v="0"/>
    <x v="4"/>
    <x v="1"/>
    <x v="1"/>
    <x v="1"/>
    <x v="11"/>
    <x v="0"/>
    <x v="4"/>
    <x v="79"/>
    <x v="42"/>
  </r>
  <r>
    <x v="713"/>
    <x v="33"/>
    <x v="0"/>
    <x v="0"/>
    <x v="1"/>
    <x v="11"/>
    <x v="0"/>
    <x v="4"/>
    <x v="1"/>
    <x v="0"/>
    <x v="11"/>
    <x v="43"/>
    <x v="5"/>
    <x v="2"/>
    <x v="12"/>
    <x v="46"/>
  </r>
  <r>
    <x v="714"/>
    <x v="33"/>
    <x v="0"/>
    <x v="0"/>
    <x v="1"/>
    <x v="12"/>
    <x v="0"/>
    <x v="4"/>
    <x v="1"/>
    <x v="0"/>
    <x v="11"/>
    <x v="43"/>
    <x v="6"/>
    <x v="0"/>
    <x v="124"/>
    <x v="37"/>
  </r>
  <r>
    <x v="715"/>
    <x v="33"/>
    <x v="0"/>
    <x v="0"/>
    <x v="1"/>
    <x v="13"/>
    <x v="0"/>
    <x v="4"/>
    <x v="0"/>
    <x v="10"/>
    <x v="6"/>
    <x v="43"/>
    <x v="8"/>
    <x v="5"/>
    <x v="64"/>
    <x v="28"/>
  </r>
  <r>
    <x v="716"/>
    <x v="33"/>
    <x v="0"/>
    <x v="0"/>
    <x v="1"/>
    <x v="14"/>
    <x v="0"/>
    <x v="4"/>
    <x v="0"/>
    <x v="4"/>
    <x v="5"/>
    <x v="7"/>
    <x v="13"/>
    <x v="4"/>
    <x v="124"/>
    <x v="55"/>
  </r>
  <r>
    <x v="717"/>
    <x v="33"/>
    <x v="0"/>
    <x v="0"/>
    <x v="1"/>
    <x v="15"/>
    <x v="0"/>
    <x v="4"/>
    <x v="0"/>
    <x v="4"/>
    <x v="5"/>
    <x v="4"/>
    <x v="9"/>
    <x v="22"/>
    <x v="43"/>
    <x v="31"/>
  </r>
  <r>
    <x v="718"/>
    <x v="33"/>
    <x v="0"/>
    <x v="0"/>
    <x v="1"/>
    <x v="16"/>
    <x v="0"/>
    <x v="4"/>
    <x v="0"/>
    <x v="5"/>
    <x v="6"/>
    <x v="12"/>
    <x v="4"/>
    <x v="1"/>
    <x v="73"/>
    <x v="153"/>
  </r>
  <r>
    <x v="719"/>
    <x v="33"/>
    <x v="0"/>
    <x v="0"/>
    <x v="1"/>
    <x v="17"/>
    <x v="0"/>
    <x v="4"/>
    <x v="0"/>
    <x v="5"/>
    <x v="21"/>
    <x v="45"/>
    <x v="18"/>
    <x v="18"/>
    <x v="158"/>
    <x v="71"/>
  </r>
  <r>
    <x v="720"/>
    <x v="33"/>
    <x v="0"/>
    <x v="0"/>
    <x v="1"/>
    <x v="18"/>
    <x v="0"/>
    <x v="4"/>
    <x v="0"/>
    <x v="10"/>
    <x v="0"/>
    <x v="16"/>
    <x v="16"/>
    <x v="18"/>
    <x v="159"/>
    <x v="58"/>
  </r>
  <r>
    <x v="721"/>
    <x v="33"/>
    <x v="0"/>
    <x v="0"/>
    <x v="1"/>
    <x v="19"/>
    <x v="0"/>
    <x v="4"/>
    <x v="0"/>
    <x v="17"/>
    <x v="19"/>
    <x v="49"/>
    <x v="15"/>
    <x v="0"/>
    <x v="150"/>
    <x v="134"/>
  </r>
  <r>
    <x v="722"/>
    <x v="33"/>
    <x v="0"/>
    <x v="0"/>
    <x v="1"/>
    <x v="20"/>
    <x v="0"/>
    <x v="4"/>
    <x v="0"/>
    <x v="0"/>
    <x v="13"/>
    <x v="37"/>
    <x v="16"/>
    <x v="17"/>
    <x v="13"/>
    <x v="28"/>
  </r>
  <r>
    <x v="723"/>
    <x v="33"/>
    <x v="0"/>
    <x v="0"/>
    <x v="1"/>
    <x v="21"/>
    <x v="0"/>
    <x v="4"/>
    <x v="0"/>
    <x v="1"/>
    <x v="13"/>
    <x v="19"/>
    <x v="9"/>
    <x v="5"/>
    <x v="133"/>
    <x v="55"/>
  </r>
  <r>
    <x v="724"/>
    <x v="33"/>
    <x v="0"/>
    <x v="0"/>
    <x v="1"/>
    <x v="22"/>
    <x v="0"/>
    <x v="4"/>
    <x v="0"/>
    <x v="1"/>
    <x v="12"/>
    <x v="18"/>
    <x v="2"/>
    <x v="2"/>
    <x v="96"/>
    <x v="1"/>
  </r>
  <r>
    <x v="725"/>
    <x v="33"/>
    <x v="0"/>
    <x v="0"/>
    <x v="1"/>
    <x v="23"/>
    <x v="0"/>
    <x v="4"/>
    <x v="0"/>
    <x v="2"/>
    <x v="17"/>
    <x v="18"/>
    <x v="10"/>
    <x v="0"/>
    <x v="31"/>
    <x v="2"/>
  </r>
  <r>
    <x v="726"/>
    <x v="34"/>
    <x v="0"/>
    <x v="0"/>
    <x v="1"/>
    <x v="0"/>
    <x v="0"/>
    <x v="5"/>
    <x v="0"/>
    <x v="2"/>
    <x v="17"/>
    <x v="22"/>
    <x v="10"/>
    <x v="5"/>
    <x v="48"/>
    <x v="47"/>
  </r>
  <r>
    <x v="727"/>
    <x v="34"/>
    <x v="0"/>
    <x v="0"/>
    <x v="1"/>
    <x v="1"/>
    <x v="0"/>
    <x v="5"/>
    <x v="0"/>
    <x v="2"/>
    <x v="20"/>
    <x v="18"/>
    <x v="18"/>
    <x v="3"/>
    <x v="34"/>
    <x v="36"/>
  </r>
  <r>
    <x v="728"/>
    <x v="34"/>
    <x v="0"/>
    <x v="0"/>
    <x v="1"/>
    <x v="2"/>
    <x v="0"/>
    <x v="5"/>
    <x v="0"/>
    <x v="15"/>
    <x v="17"/>
    <x v="21"/>
    <x v="2"/>
    <x v="3"/>
    <x v="6"/>
    <x v="5"/>
  </r>
  <r>
    <x v="729"/>
    <x v="34"/>
    <x v="0"/>
    <x v="0"/>
    <x v="1"/>
    <x v="3"/>
    <x v="0"/>
    <x v="5"/>
    <x v="0"/>
    <x v="15"/>
    <x v="17"/>
    <x v="21"/>
    <x v="2"/>
    <x v="3"/>
    <x v="4"/>
    <x v="4"/>
  </r>
  <r>
    <x v="730"/>
    <x v="34"/>
    <x v="0"/>
    <x v="0"/>
    <x v="1"/>
    <x v="5"/>
    <x v="0"/>
    <x v="5"/>
    <x v="0"/>
    <x v="13"/>
    <x v="14"/>
    <x v="20"/>
    <x v="4"/>
    <x v="3"/>
    <x v="6"/>
    <x v="5"/>
  </r>
  <r>
    <x v="731"/>
    <x v="34"/>
    <x v="0"/>
    <x v="0"/>
    <x v="1"/>
    <x v="6"/>
    <x v="0"/>
    <x v="5"/>
    <x v="0"/>
    <x v="13"/>
    <x v="14"/>
    <x v="21"/>
    <x v="11"/>
    <x v="3"/>
    <x v="87"/>
    <x v="21"/>
  </r>
  <r>
    <x v="732"/>
    <x v="34"/>
    <x v="0"/>
    <x v="0"/>
    <x v="1"/>
    <x v="7"/>
    <x v="0"/>
    <x v="5"/>
    <x v="0"/>
    <x v="14"/>
    <x v="16"/>
    <x v="20"/>
    <x v="9"/>
    <x v="5"/>
    <x v="132"/>
    <x v="90"/>
  </r>
  <r>
    <x v="733"/>
    <x v="34"/>
    <x v="0"/>
    <x v="0"/>
    <x v="1"/>
    <x v="8"/>
    <x v="0"/>
    <x v="5"/>
    <x v="0"/>
    <x v="14"/>
    <x v="16"/>
    <x v="20"/>
    <x v="11"/>
    <x v="17"/>
    <x v="103"/>
    <x v="104"/>
  </r>
  <r>
    <x v="734"/>
    <x v="34"/>
    <x v="0"/>
    <x v="0"/>
    <x v="1"/>
    <x v="9"/>
    <x v="0"/>
    <x v="5"/>
    <x v="0"/>
    <x v="13"/>
    <x v="14"/>
    <x v="19"/>
    <x v="4"/>
    <x v="15"/>
    <x v="69"/>
    <x v="140"/>
  </r>
  <r>
    <x v="735"/>
    <x v="34"/>
    <x v="0"/>
    <x v="0"/>
    <x v="1"/>
    <x v="10"/>
    <x v="0"/>
    <x v="5"/>
    <x v="0"/>
    <x v="15"/>
    <x v="20"/>
    <x v="21"/>
    <x v="9"/>
    <x v="4"/>
    <x v="54"/>
    <x v="46"/>
  </r>
  <r>
    <x v="736"/>
    <x v="34"/>
    <x v="0"/>
    <x v="0"/>
    <x v="1"/>
    <x v="11"/>
    <x v="0"/>
    <x v="5"/>
    <x v="0"/>
    <x v="15"/>
    <x v="14"/>
    <x v="21"/>
    <x v="10"/>
    <x v="14"/>
    <x v="11"/>
    <x v="37"/>
  </r>
  <r>
    <x v="737"/>
    <x v="34"/>
    <x v="0"/>
    <x v="0"/>
    <x v="1"/>
    <x v="12"/>
    <x v="0"/>
    <x v="5"/>
    <x v="0"/>
    <x v="2"/>
    <x v="18"/>
    <x v="22"/>
    <x v="11"/>
    <x v="4"/>
    <x v="28"/>
    <x v="83"/>
  </r>
  <r>
    <x v="738"/>
    <x v="34"/>
    <x v="0"/>
    <x v="0"/>
    <x v="1"/>
    <x v="13"/>
    <x v="0"/>
    <x v="5"/>
    <x v="0"/>
    <x v="2"/>
    <x v="17"/>
    <x v="22"/>
    <x v="12"/>
    <x v="17"/>
    <x v="12"/>
    <x v="41"/>
  </r>
  <r>
    <x v="739"/>
    <x v="34"/>
    <x v="0"/>
    <x v="0"/>
    <x v="1"/>
    <x v="14"/>
    <x v="0"/>
    <x v="5"/>
    <x v="0"/>
    <x v="1"/>
    <x v="13"/>
    <x v="38"/>
    <x v="13"/>
    <x v="17"/>
    <x v="30"/>
    <x v="105"/>
  </r>
  <r>
    <x v="740"/>
    <x v="34"/>
    <x v="0"/>
    <x v="0"/>
    <x v="1"/>
    <x v="15"/>
    <x v="0"/>
    <x v="5"/>
    <x v="0"/>
    <x v="1"/>
    <x v="13"/>
    <x v="38"/>
    <x v="9"/>
    <x v="17"/>
    <x v="90"/>
    <x v="122"/>
  </r>
  <r>
    <x v="741"/>
    <x v="34"/>
    <x v="0"/>
    <x v="0"/>
    <x v="1"/>
    <x v="16"/>
    <x v="0"/>
    <x v="5"/>
    <x v="0"/>
    <x v="1"/>
    <x v="12"/>
    <x v="38"/>
    <x v="2"/>
    <x v="2"/>
    <x v="26"/>
    <x v="53"/>
  </r>
  <r>
    <x v="742"/>
    <x v="34"/>
    <x v="0"/>
    <x v="0"/>
    <x v="1"/>
    <x v="17"/>
    <x v="0"/>
    <x v="5"/>
    <x v="0"/>
    <x v="2"/>
    <x v="13"/>
    <x v="22"/>
    <x v="5"/>
    <x v="2"/>
    <x v="160"/>
    <x v="171"/>
  </r>
  <r>
    <x v="743"/>
    <x v="34"/>
    <x v="0"/>
    <x v="0"/>
    <x v="1"/>
    <x v="18"/>
    <x v="0"/>
    <x v="5"/>
    <x v="0"/>
    <x v="2"/>
    <x v="12"/>
    <x v="22"/>
    <x v="8"/>
    <x v="4"/>
    <x v="142"/>
    <x v="172"/>
  </r>
  <r>
    <x v="744"/>
    <x v="34"/>
    <x v="0"/>
    <x v="0"/>
    <x v="1"/>
    <x v="19"/>
    <x v="0"/>
    <x v="5"/>
    <x v="0"/>
    <x v="2"/>
    <x v="2"/>
    <x v="22"/>
    <x v="0"/>
    <x v="17"/>
    <x v="50"/>
    <x v="152"/>
  </r>
  <r>
    <x v="745"/>
    <x v="34"/>
    <x v="0"/>
    <x v="0"/>
    <x v="1"/>
    <x v="20"/>
    <x v="0"/>
    <x v="5"/>
    <x v="0"/>
    <x v="2"/>
    <x v="11"/>
    <x v="19"/>
    <x v="1"/>
    <x v="5"/>
    <x v="123"/>
    <x v="142"/>
  </r>
  <r>
    <x v="746"/>
    <x v="34"/>
    <x v="0"/>
    <x v="0"/>
    <x v="1"/>
    <x v="21"/>
    <x v="0"/>
    <x v="5"/>
    <x v="0"/>
    <x v="15"/>
    <x v="12"/>
    <x v="28"/>
    <x v="14"/>
    <x v="5"/>
    <x v="42"/>
    <x v="60"/>
  </r>
  <r>
    <x v="747"/>
    <x v="34"/>
    <x v="0"/>
    <x v="0"/>
    <x v="1"/>
    <x v="22"/>
    <x v="0"/>
    <x v="5"/>
    <x v="0"/>
    <x v="15"/>
    <x v="12"/>
    <x v="33"/>
    <x v="1"/>
    <x v="4"/>
    <x v="87"/>
    <x v="102"/>
  </r>
  <r>
    <x v="748"/>
    <x v="34"/>
    <x v="0"/>
    <x v="0"/>
    <x v="1"/>
    <x v="23"/>
    <x v="0"/>
    <x v="5"/>
    <x v="0"/>
    <x v="2"/>
    <x v="11"/>
    <x v="19"/>
    <x v="14"/>
    <x v="17"/>
    <x v="60"/>
    <x v="103"/>
  </r>
  <r>
    <x v="749"/>
    <x v="35"/>
    <x v="0"/>
    <x v="0"/>
    <x v="1"/>
    <x v="0"/>
    <x v="0"/>
    <x v="6"/>
    <x v="1"/>
    <x v="2"/>
    <x v="2"/>
    <x v="18"/>
    <x v="0"/>
    <x v="0"/>
    <x v="3"/>
    <x v="3"/>
  </r>
  <r>
    <x v="750"/>
    <x v="35"/>
    <x v="0"/>
    <x v="0"/>
    <x v="1"/>
    <x v="1"/>
    <x v="0"/>
    <x v="6"/>
    <x v="1"/>
    <x v="13"/>
    <x v="11"/>
    <x v="29"/>
    <x v="0"/>
    <x v="3"/>
    <x v="7"/>
    <x v="85"/>
  </r>
  <r>
    <x v="751"/>
    <x v="35"/>
    <x v="0"/>
    <x v="0"/>
    <x v="1"/>
    <x v="2"/>
    <x v="0"/>
    <x v="6"/>
    <x v="1"/>
    <x v="14"/>
    <x v="17"/>
    <x v="30"/>
    <x v="14"/>
    <x v="3"/>
    <x v="4"/>
    <x v="4"/>
  </r>
  <r>
    <x v="752"/>
    <x v="35"/>
    <x v="0"/>
    <x v="0"/>
    <x v="1"/>
    <x v="3"/>
    <x v="0"/>
    <x v="6"/>
    <x v="1"/>
    <x v="14"/>
    <x v="17"/>
    <x v="30"/>
    <x v="14"/>
    <x v="3"/>
    <x v="4"/>
    <x v="4"/>
  </r>
  <r>
    <x v="753"/>
    <x v="35"/>
    <x v="0"/>
    <x v="0"/>
    <x v="1"/>
    <x v="5"/>
    <x v="0"/>
    <x v="6"/>
    <x v="1"/>
    <x v="14"/>
    <x v="20"/>
    <x v="30"/>
    <x v="7"/>
    <x v="3"/>
    <x v="7"/>
    <x v="85"/>
  </r>
  <r>
    <x v="754"/>
    <x v="35"/>
    <x v="0"/>
    <x v="0"/>
    <x v="1"/>
    <x v="6"/>
    <x v="0"/>
    <x v="6"/>
    <x v="1"/>
    <x v="13"/>
    <x v="11"/>
    <x v="28"/>
    <x v="0"/>
    <x v="4"/>
    <x v="16"/>
    <x v="20"/>
  </r>
  <r>
    <x v="755"/>
    <x v="35"/>
    <x v="0"/>
    <x v="0"/>
    <x v="1"/>
    <x v="7"/>
    <x v="0"/>
    <x v="6"/>
    <x v="0"/>
    <x v="14"/>
    <x v="12"/>
    <x v="29"/>
    <x v="0"/>
    <x v="3"/>
    <x v="61"/>
    <x v="90"/>
  </r>
  <r>
    <x v="756"/>
    <x v="35"/>
    <x v="0"/>
    <x v="0"/>
    <x v="1"/>
    <x v="8"/>
    <x v="0"/>
    <x v="6"/>
    <x v="0"/>
    <x v="14"/>
    <x v="20"/>
    <x v="32"/>
    <x v="7"/>
    <x v="0"/>
    <x v="161"/>
    <x v="173"/>
  </r>
  <r>
    <x v="757"/>
    <x v="35"/>
    <x v="0"/>
    <x v="0"/>
    <x v="1"/>
    <x v="9"/>
    <x v="0"/>
    <x v="6"/>
    <x v="1"/>
    <x v="13"/>
    <x v="18"/>
    <x v="1"/>
    <x v="7"/>
    <x v="0"/>
    <x v="125"/>
    <x v="174"/>
  </r>
  <r>
    <x v="758"/>
    <x v="35"/>
    <x v="0"/>
    <x v="0"/>
    <x v="1"/>
    <x v="10"/>
    <x v="0"/>
    <x v="6"/>
    <x v="1"/>
    <x v="2"/>
    <x v="12"/>
    <x v="33"/>
    <x v="7"/>
    <x v="2"/>
    <x v="24"/>
    <x v="41"/>
  </r>
  <r>
    <x v="759"/>
    <x v="35"/>
    <x v="0"/>
    <x v="0"/>
    <x v="1"/>
    <x v="11"/>
    <x v="0"/>
    <x v="6"/>
    <x v="0"/>
    <x v="1"/>
    <x v="11"/>
    <x v="33"/>
    <x v="8"/>
    <x v="0"/>
    <x v="124"/>
    <x v="37"/>
  </r>
  <r>
    <x v="760"/>
    <x v="35"/>
    <x v="0"/>
    <x v="0"/>
    <x v="1"/>
    <x v="12"/>
    <x v="0"/>
    <x v="6"/>
    <x v="1"/>
    <x v="0"/>
    <x v="19"/>
    <x v="37"/>
    <x v="8"/>
    <x v="1"/>
    <x v="78"/>
    <x v="80"/>
  </r>
  <r>
    <x v="761"/>
    <x v="35"/>
    <x v="0"/>
    <x v="0"/>
    <x v="1"/>
    <x v="13"/>
    <x v="0"/>
    <x v="6"/>
    <x v="1"/>
    <x v="12"/>
    <x v="2"/>
    <x v="20"/>
    <x v="6"/>
    <x v="14"/>
    <x v="26"/>
    <x v="100"/>
  </r>
  <r>
    <x v="762"/>
    <x v="35"/>
    <x v="0"/>
    <x v="0"/>
    <x v="1"/>
    <x v="14"/>
    <x v="0"/>
    <x v="6"/>
    <x v="1"/>
    <x v="17"/>
    <x v="1"/>
    <x v="49"/>
    <x v="8"/>
    <x v="13"/>
    <x v="83"/>
    <x v="134"/>
  </r>
  <r>
    <x v="763"/>
    <x v="35"/>
    <x v="0"/>
    <x v="0"/>
    <x v="1"/>
    <x v="15"/>
    <x v="0"/>
    <x v="6"/>
    <x v="1"/>
    <x v="17"/>
    <x v="1"/>
    <x v="37"/>
    <x v="2"/>
    <x v="14"/>
    <x v="38"/>
    <x v="127"/>
  </r>
  <r>
    <x v="764"/>
    <x v="35"/>
    <x v="0"/>
    <x v="0"/>
    <x v="1"/>
    <x v="16"/>
    <x v="0"/>
    <x v="6"/>
    <x v="1"/>
    <x v="11"/>
    <x v="0"/>
    <x v="16"/>
    <x v="6"/>
    <x v="1"/>
    <x v="162"/>
    <x v="111"/>
  </r>
  <r>
    <x v="765"/>
    <x v="35"/>
    <x v="0"/>
    <x v="0"/>
    <x v="1"/>
    <x v="17"/>
    <x v="0"/>
    <x v="6"/>
    <x v="1"/>
    <x v="12"/>
    <x v="1"/>
    <x v="34"/>
    <x v="7"/>
    <x v="22"/>
    <x v="163"/>
    <x v="175"/>
  </r>
  <r>
    <x v="766"/>
    <x v="35"/>
    <x v="0"/>
    <x v="0"/>
    <x v="1"/>
    <x v="18"/>
    <x v="0"/>
    <x v="6"/>
    <x v="1"/>
    <x v="0"/>
    <x v="2"/>
    <x v="54"/>
    <x v="14"/>
    <x v="0"/>
    <x v="164"/>
    <x v="107"/>
  </r>
  <r>
    <x v="767"/>
    <x v="35"/>
    <x v="0"/>
    <x v="0"/>
    <x v="1"/>
    <x v="19"/>
    <x v="0"/>
    <x v="6"/>
    <x v="1"/>
    <x v="0"/>
    <x v="19"/>
    <x v="55"/>
    <x v="7"/>
    <x v="5"/>
    <x v="46"/>
    <x v="153"/>
  </r>
  <r>
    <x v="768"/>
    <x v="35"/>
    <x v="0"/>
    <x v="0"/>
    <x v="1"/>
    <x v="20"/>
    <x v="0"/>
    <x v="6"/>
    <x v="1"/>
    <x v="0"/>
    <x v="19"/>
    <x v="55"/>
    <x v="8"/>
    <x v="4"/>
    <x v="94"/>
    <x v="68"/>
  </r>
  <r>
    <x v="769"/>
    <x v="35"/>
    <x v="0"/>
    <x v="0"/>
    <x v="1"/>
    <x v="21"/>
    <x v="0"/>
    <x v="6"/>
    <x v="1"/>
    <x v="0"/>
    <x v="19"/>
    <x v="56"/>
    <x v="8"/>
    <x v="4"/>
    <x v="40"/>
    <x v="74"/>
  </r>
  <r>
    <x v="770"/>
    <x v="35"/>
    <x v="0"/>
    <x v="0"/>
    <x v="1"/>
    <x v="22"/>
    <x v="0"/>
    <x v="6"/>
    <x v="1"/>
    <x v="0"/>
    <x v="19"/>
    <x v="55"/>
    <x v="8"/>
    <x v="5"/>
    <x v="108"/>
    <x v="66"/>
  </r>
  <r>
    <x v="771"/>
    <x v="35"/>
    <x v="0"/>
    <x v="0"/>
    <x v="1"/>
    <x v="23"/>
    <x v="0"/>
    <x v="6"/>
    <x v="1"/>
    <x v="0"/>
    <x v="19"/>
    <x v="56"/>
    <x v="7"/>
    <x v="5"/>
    <x v="10"/>
    <x v="35"/>
  </r>
  <r>
    <x v="772"/>
    <x v="36"/>
    <x v="0"/>
    <x v="0"/>
    <x v="1"/>
    <x v="0"/>
    <x v="0"/>
    <x v="0"/>
    <x v="1"/>
    <x v="0"/>
    <x v="19"/>
    <x v="56"/>
    <x v="8"/>
    <x v="0"/>
    <x v="49"/>
    <x v="21"/>
  </r>
  <r>
    <x v="773"/>
    <x v="36"/>
    <x v="0"/>
    <x v="0"/>
    <x v="1"/>
    <x v="1"/>
    <x v="0"/>
    <x v="0"/>
    <x v="1"/>
    <x v="0"/>
    <x v="19"/>
    <x v="55"/>
    <x v="8"/>
    <x v="5"/>
    <x v="19"/>
    <x v="109"/>
  </r>
  <r>
    <x v="774"/>
    <x v="36"/>
    <x v="0"/>
    <x v="0"/>
    <x v="1"/>
    <x v="2"/>
    <x v="0"/>
    <x v="0"/>
    <x v="1"/>
    <x v="0"/>
    <x v="19"/>
    <x v="2"/>
    <x v="8"/>
    <x v="2"/>
    <x v="98"/>
    <x v="22"/>
  </r>
  <r>
    <x v="775"/>
    <x v="36"/>
    <x v="0"/>
    <x v="0"/>
    <x v="1"/>
    <x v="3"/>
    <x v="0"/>
    <x v="0"/>
    <x v="1"/>
    <x v="0"/>
    <x v="19"/>
    <x v="2"/>
    <x v="8"/>
    <x v="5"/>
    <x v="3"/>
    <x v="62"/>
  </r>
  <r>
    <x v="776"/>
    <x v="36"/>
    <x v="0"/>
    <x v="0"/>
    <x v="1"/>
    <x v="4"/>
    <x v="0"/>
    <x v="0"/>
    <x v="2"/>
    <x v="1"/>
    <x v="11"/>
    <x v="43"/>
    <x v="7"/>
    <x v="3"/>
    <x v="21"/>
    <x v="7"/>
  </r>
  <r>
    <x v="777"/>
    <x v="36"/>
    <x v="0"/>
    <x v="0"/>
    <x v="1"/>
    <x v="5"/>
    <x v="0"/>
    <x v="0"/>
    <x v="2"/>
    <x v="2"/>
    <x v="11"/>
    <x v="11"/>
    <x v="1"/>
    <x v="3"/>
    <x v="33"/>
    <x v="23"/>
  </r>
  <r>
    <x v="778"/>
    <x v="36"/>
    <x v="0"/>
    <x v="0"/>
    <x v="1"/>
    <x v="6"/>
    <x v="0"/>
    <x v="0"/>
    <x v="2"/>
    <x v="2"/>
    <x v="2"/>
    <x v="11"/>
    <x v="0"/>
    <x v="3"/>
    <x v="22"/>
    <x v="48"/>
  </r>
  <r>
    <x v="779"/>
    <x v="36"/>
    <x v="0"/>
    <x v="0"/>
    <x v="1"/>
    <x v="7"/>
    <x v="0"/>
    <x v="0"/>
    <x v="2"/>
    <x v="1"/>
    <x v="2"/>
    <x v="43"/>
    <x v="1"/>
    <x v="3"/>
    <x v="22"/>
    <x v="48"/>
  </r>
  <r>
    <x v="780"/>
    <x v="36"/>
    <x v="0"/>
    <x v="0"/>
    <x v="1"/>
    <x v="8"/>
    <x v="0"/>
    <x v="0"/>
    <x v="2"/>
    <x v="2"/>
    <x v="11"/>
    <x v="11"/>
    <x v="1"/>
    <x v="3"/>
    <x v="3"/>
    <x v="98"/>
  </r>
  <r>
    <x v="781"/>
    <x v="36"/>
    <x v="0"/>
    <x v="0"/>
    <x v="1"/>
    <x v="9"/>
    <x v="0"/>
    <x v="0"/>
    <x v="2"/>
    <x v="2"/>
    <x v="11"/>
    <x v="11"/>
    <x v="1"/>
    <x v="0"/>
    <x v="19"/>
    <x v="25"/>
  </r>
  <r>
    <x v="782"/>
    <x v="36"/>
    <x v="0"/>
    <x v="0"/>
    <x v="1"/>
    <x v="10"/>
    <x v="0"/>
    <x v="0"/>
    <x v="2"/>
    <x v="2"/>
    <x v="12"/>
    <x v="11"/>
    <x v="7"/>
    <x v="0"/>
    <x v="17"/>
    <x v="19"/>
  </r>
  <r>
    <x v="783"/>
    <x v="36"/>
    <x v="0"/>
    <x v="0"/>
    <x v="1"/>
    <x v="11"/>
    <x v="0"/>
    <x v="0"/>
    <x v="2"/>
    <x v="1"/>
    <x v="11"/>
    <x v="11"/>
    <x v="7"/>
    <x v="5"/>
    <x v="24"/>
    <x v="105"/>
  </r>
  <r>
    <x v="784"/>
    <x v="36"/>
    <x v="0"/>
    <x v="0"/>
    <x v="1"/>
    <x v="12"/>
    <x v="0"/>
    <x v="0"/>
    <x v="2"/>
    <x v="1"/>
    <x v="11"/>
    <x v="11"/>
    <x v="8"/>
    <x v="22"/>
    <x v="76"/>
    <x v="46"/>
  </r>
  <r>
    <x v="785"/>
    <x v="36"/>
    <x v="0"/>
    <x v="0"/>
    <x v="1"/>
    <x v="13"/>
    <x v="0"/>
    <x v="0"/>
    <x v="2"/>
    <x v="1"/>
    <x v="11"/>
    <x v="11"/>
    <x v="8"/>
    <x v="22"/>
    <x v="133"/>
    <x v="44"/>
  </r>
  <r>
    <x v="786"/>
    <x v="36"/>
    <x v="0"/>
    <x v="0"/>
    <x v="1"/>
    <x v="14"/>
    <x v="0"/>
    <x v="0"/>
    <x v="2"/>
    <x v="1"/>
    <x v="1"/>
    <x v="11"/>
    <x v="0"/>
    <x v="2"/>
    <x v="54"/>
    <x v="97"/>
  </r>
  <r>
    <x v="787"/>
    <x v="36"/>
    <x v="0"/>
    <x v="0"/>
    <x v="1"/>
    <x v="15"/>
    <x v="0"/>
    <x v="0"/>
    <x v="2"/>
    <x v="1"/>
    <x v="1"/>
    <x v="11"/>
    <x v="0"/>
    <x v="16"/>
    <x v="47"/>
    <x v="122"/>
  </r>
  <r>
    <x v="788"/>
    <x v="36"/>
    <x v="0"/>
    <x v="0"/>
    <x v="1"/>
    <x v="16"/>
    <x v="0"/>
    <x v="0"/>
    <x v="2"/>
    <x v="1"/>
    <x v="11"/>
    <x v="11"/>
    <x v="7"/>
    <x v="1"/>
    <x v="36"/>
    <x v="68"/>
  </r>
  <r>
    <x v="789"/>
    <x v="36"/>
    <x v="0"/>
    <x v="0"/>
    <x v="1"/>
    <x v="17"/>
    <x v="0"/>
    <x v="0"/>
    <x v="1"/>
    <x v="0"/>
    <x v="12"/>
    <x v="11"/>
    <x v="3"/>
    <x v="24"/>
    <x v="27"/>
    <x v="53"/>
  </r>
  <r>
    <x v="790"/>
    <x v="36"/>
    <x v="0"/>
    <x v="0"/>
    <x v="1"/>
    <x v="18"/>
    <x v="0"/>
    <x v="0"/>
    <x v="1"/>
    <x v="17"/>
    <x v="19"/>
    <x v="43"/>
    <x v="10"/>
    <x v="4"/>
    <x v="38"/>
    <x v="56"/>
  </r>
  <r>
    <x v="791"/>
    <x v="36"/>
    <x v="0"/>
    <x v="0"/>
    <x v="1"/>
    <x v="19"/>
    <x v="0"/>
    <x v="0"/>
    <x v="1"/>
    <x v="17"/>
    <x v="19"/>
    <x v="43"/>
    <x v="10"/>
    <x v="15"/>
    <x v="78"/>
    <x v="11"/>
  </r>
  <r>
    <x v="792"/>
    <x v="36"/>
    <x v="0"/>
    <x v="0"/>
    <x v="1"/>
    <x v="20"/>
    <x v="0"/>
    <x v="0"/>
    <x v="0"/>
    <x v="11"/>
    <x v="0"/>
    <x v="9"/>
    <x v="2"/>
    <x v="2"/>
    <x v="27"/>
    <x v="83"/>
  </r>
  <r>
    <x v="793"/>
    <x v="36"/>
    <x v="0"/>
    <x v="0"/>
    <x v="1"/>
    <x v="21"/>
    <x v="0"/>
    <x v="0"/>
    <x v="0"/>
    <x v="12"/>
    <x v="2"/>
    <x v="11"/>
    <x v="5"/>
    <x v="0"/>
    <x v="42"/>
    <x v="10"/>
  </r>
  <r>
    <x v="794"/>
    <x v="36"/>
    <x v="0"/>
    <x v="0"/>
    <x v="1"/>
    <x v="22"/>
    <x v="0"/>
    <x v="0"/>
    <x v="0"/>
    <x v="12"/>
    <x v="1"/>
    <x v="43"/>
    <x v="7"/>
    <x v="4"/>
    <x v="30"/>
    <x v="79"/>
  </r>
  <r>
    <x v="795"/>
    <x v="36"/>
    <x v="0"/>
    <x v="0"/>
    <x v="1"/>
    <x v="23"/>
    <x v="0"/>
    <x v="0"/>
    <x v="0"/>
    <x v="12"/>
    <x v="2"/>
    <x v="43"/>
    <x v="6"/>
    <x v="18"/>
    <x v="15"/>
    <x v="29"/>
  </r>
  <r>
    <x v="796"/>
    <x v="37"/>
    <x v="0"/>
    <x v="0"/>
    <x v="1"/>
    <x v="0"/>
    <x v="0"/>
    <x v="1"/>
    <x v="0"/>
    <x v="12"/>
    <x v="2"/>
    <x v="56"/>
    <x v="5"/>
    <x v="4"/>
    <x v="53"/>
    <x v="21"/>
  </r>
  <r>
    <x v="797"/>
    <x v="37"/>
    <x v="0"/>
    <x v="0"/>
    <x v="1"/>
    <x v="1"/>
    <x v="0"/>
    <x v="1"/>
    <x v="0"/>
    <x v="12"/>
    <x v="11"/>
    <x v="55"/>
    <x v="12"/>
    <x v="17"/>
    <x v="71"/>
    <x v="40"/>
  </r>
  <r>
    <x v="798"/>
    <x v="37"/>
    <x v="0"/>
    <x v="0"/>
    <x v="1"/>
    <x v="2"/>
    <x v="0"/>
    <x v="1"/>
    <x v="0"/>
    <x v="12"/>
    <x v="11"/>
    <x v="54"/>
    <x v="9"/>
    <x v="3"/>
    <x v="32"/>
    <x v="25"/>
  </r>
  <r>
    <x v="799"/>
    <x v="37"/>
    <x v="0"/>
    <x v="0"/>
    <x v="1"/>
    <x v="3"/>
    <x v="0"/>
    <x v="1"/>
    <x v="0"/>
    <x v="12"/>
    <x v="0"/>
    <x v="54"/>
    <x v="1"/>
    <x v="0"/>
    <x v="3"/>
    <x v="3"/>
  </r>
  <r>
    <x v="800"/>
    <x v="37"/>
    <x v="0"/>
    <x v="0"/>
    <x v="1"/>
    <x v="4"/>
    <x v="0"/>
    <x v="1"/>
    <x v="0"/>
    <x v="12"/>
    <x v="11"/>
    <x v="54"/>
    <x v="11"/>
    <x v="3"/>
    <x v="6"/>
    <x v="5"/>
  </r>
  <r>
    <x v="801"/>
    <x v="37"/>
    <x v="0"/>
    <x v="0"/>
    <x v="1"/>
    <x v="5"/>
    <x v="0"/>
    <x v="1"/>
    <x v="0"/>
    <x v="12"/>
    <x v="2"/>
    <x v="54"/>
    <x v="6"/>
    <x v="3"/>
    <x v="4"/>
    <x v="4"/>
  </r>
  <r>
    <x v="802"/>
    <x v="37"/>
    <x v="0"/>
    <x v="0"/>
    <x v="1"/>
    <x v="6"/>
    <x v="0"/>
    <x v="1"/>
    <x v="0"/>
    <x v="12"/>
    <x v="2"/>
    <x v="54"/>
    <x v="6"/>
    <x v="3"/>
    <x v="4"/>
    <x v="4"/>
  </r>
  <r>
    <x v="803"/>
    <x v="37"/>
    <x v="0"/>
    <x v="0"/>
    <x v="1"/>
    <x v="7"/>
    <x v="0"/>
    <x v="1"/>
    <x v="0"/>
    <x v="0"/>
    <x v="19"/>
    <x v="55"/>
    <x v="8"/>
    <x v="3"/>
    <x v="21"/>
    <x v="7"/>
  </r>
  <r>
    <x v="804"/>
    <x v="37"/>
    <x v="0"/>
    <x v="0"/>
    <x v="1"/>
    <x v="8"/>
    <x v="0"/>
    <x v="1"/>
    <x v="0"/>
    <x v="0"/>
    <x v="2"/>
    <x v="55"/>
    <x v="14"/>
    <x v="4"/>
    <x v="144"/>
    <x v="84"/>
  </r>
  <r>
    <x v="805"/>
    <x v="37"/>
    <x v="0"/>
    <x v="0"/>
    <x v="1"/>
    <x v="9"/>
    <x v="0"/>
    <x v="1"/>
    <x v="0"/>
    <x v="17"/>
    <x v="0"/>
    <x v="34"/>
    <x v="14"/>
    <x v="18"/>
    <x v="101"/>
    <x v="79"/>
  </r>
  <r>
    <x v="806"/>
    <x v="37"/>
    <x v="0"/>
    <x v="0"/>
    <x v="1"/>
    <x v="10"/>
    <x v="0"/>
    <x v="1"/>
    <x v="0"/>
    <x v="11"/>
    <x v="0"/>
    <x v="35"/>
    <x v="2"/>
    <x v="13"/>
    <x v="64"/>
    <x v="70"/>
  </r>
  <r>
    <x v="807"/>
    <x v="37"/>
    <x v="0"/>
    <x v="0"/>
    <x v="1"/>
    <x v="11"/>
    <x v="0"/>
    <x v="1"/>
    <x v="0"/>
    <x v="3"/>
    <x v="25"/>
    <x v="36"/>
    <x v="2"/>
    <x v="32"/>
    <x v="121"/>
    <x v="126"/>
  </r>
  <r>
    <x v="808"/>
    <x v="37"/>
    <x v="0"/>
    <x v="0"/>
    <x v="1"/>
    <x v="12"/>
    <x v="0"/>
    <x v="1"/>
    <x v="0"/>
    <x v="10"/>
    <x v="6"/>
    <x v="15"/>
    <x v="0"/>
    <x v="33"/>
    <x v="165"/>
    <x v="176"/>
  </r>
  <r>
    <x v="809"/>
    <x v="37"/>
    <x v="0"/>
    <x v="0"/>
    <x v="1"/>
    <x v="13"/>
    <x v="0"/>
    <x v="1"/>
    <x v="0"/>
    <x v="10"/>
    <x v="30"/>
    <x v="15"/>
    <x v="0"/>
    <x v="9"/>
    <x v="113"/>
    <x v="58"/>
  </r>
  <r>
    <x v="810"/>
    <x v="37"/>
    <x v="0"/>
    <x v="0"/>
    <x v="1"/>
    <x v="14"/>
    <x v="0"/>
    <x v="1"/>
    <x v="0"/>
    <x v="10"/>
    <x v="4"/>
    <x v="15"/>
    <x v="1"/>
    <x v="9"/>
    <x v="154"/>
    <x v="143"/>
  </r>
  <r>
    <x v="811"/>
    <x v="37"/>
    <x v="0"/>
    <x v="0"/>
    <x v="1"/>
    <x v="15"/>
    <x v="0"/>
    <x v="1"/>
    <x v="0"/>
    <x v="10"/>
    <x v="4"/>
    <x v="15"/>
    <x v="1"/>
    <x v="34"/>
    <x v="110"/>
    <x v="58"/>
  </r>
  <r>
    <x v="812"/>
    <x v="37"/>
    <x v="0"/>
    <x v="0"/>
    <x v="1"/>
    <x v="16"/>
    <x v="0"/>
    <x v="1"/>
    <x v="0"/>
    <x v="10"/>
    <x v="4"/>
    <x v="36"/>
    <x v="14"/>
    <x v="35"/>
    <x v="166"/>
    <x v="45"/>
  </r>
  <r>
    <x v="813"/>
    <x v="37"/>
    <x v="0"/>
    <x v="0"/>
    <x v="1"/>
    <x v="17"/>
    <x v="0"/>
    <x v="1"/>
    <x v="0"/>
    <x v="10"/>
    <x v="30"/>
    <x v="15"/>
    <x v="0"/>
    <x v="31"/>
    <x v="106"/>
    <x v="177"/>
  </r>
  <r>
    <x v="814"/>
    <x v="37"/>
    <x v="0"/>
    <x v="0"/>
    <x v="1"/>
    <x v="18"/>
    <x v="0"/>
    <x v="1"/>
    <x v="0"/>
    <x v="11"/>
    <x v="25"/>
    <x v="34"/>
    <x v="8"/>
    <x v="23"/>
    <x v="65"/>
    <x v="53"/>
  </r>
  <r>
    <x v="815"/>
    <x v="37"/>
    <x v="0"/>
    <x v="0"/>
    <x v="1"/>
    <x v="19"/>
    <x v="0"/>
    <x v="1"/>
    <x v="0"/>
    <x v="17"/>
    <x v="0"/>
    <x v="53"/>
    <x v="7"/>
    <x v="5"/>
    <x v="32"/>
    <x v="137"/>
  </r>
  <r>
    <x v="816"/>
    <x v="37"/>
    <x v="0"/>
    <x v="0"/>
    <x v="1"/>
    <x v="20"/>
    <x v="0"/>
    <x v="1"/>
    <x v="0"/>
    <x v="17"/>
    <x v="0"/>
    <x v="53"/>
    <x v="14"/>
    <x v="2"/>
    <x v="144"/>
    <x v="132"/>
  </r>
  <r>
    <x v="817"/>
    <x v="37"/>
    <x v="0"/>
    <x v="0"/>
    <x v="1"/>
    <x v="21"/>
    <x v="0"/>
    <x v="1"/>
    <x v="0"/>
    <x v="12"/>
    <x v="25"/>
    <x v="54"/>
    <x v="0"/>
    <x v="2"/>
    <x v="97"/>
    <x v="110"/>
  </r>
  <r>
    <x v="818"/>
    <x v="37"/>
    <x v="0"/>
    <x v="0"/>
    <x v="1"/>
    <x v="22"/>
    <x v="0"/>
    <x v="1"/>
    <x v="0"/>
    <x v="12"/>
    <x v="25"/>
    <x v="54"/>
    <x v="0"/>
    <x v="2"/>
    <x v="77"/>
    <x v="69"/>
  </r>
  <r>
    <x v="819"/>
    <x v="37"/>
    <x v="0"/>
    <x v="0"/>
    <x v="1"/>
    <x v="23"/>
    <x v="0"/>
    <x v="1"/>
    <x v="0"/>
    <x v="0"/>
    <x v="0"/>
    <x v="55"/>
    <x v="0"/>
    <x v="17"/>
    <x v="16"/>
    <x v="33"/>
  </r>
  <r>
    <x v="820"/>
    <x v="38"/>
    <x v="0"/>
    <x v="0"/>
    <x v="1"/>
    <x v="0"/>
    <x v="0"/>
    <x v="2"/>
    <x v="0"/>
    <x v="0"/>
    <x v="0"/>
    <x v="55"/>
    <x v="0"/>
    <x v="5"/>
    <x v="88"/>
    <x v="93"/>
  </r>
  <r>
    <x v="821"/>
    <x v="38"/>
    <x v="0"/>
    <x v="0"/>
    <x v="1"/>
    <x v="1"/>
    <x v="0"/>
    <x v="2"/>
    <x v="0"/>
    <x v="1"/>
    <x v="1"/>
    <x v="2"/>
    <x v="0"/>
    <x v="5"/>
    <x v="22"/>
    <x v="36"/>
  </r>
  <r>
    <x v="822"/>
    <x v="38"/>
    <x v="0"/>
    <x v="0"/>
    <x v="1"/>
    <x v="2"/>
    <x v="0"/>
    <x v="2"/>
    <x v="0"/>
    <x v="2"/>
    <x v="2"/>
    <x v="1"/>
    <x v="0"/>
    <x v="3"/>
    <x v="35"/>
    <x v="6"/>
  </r>
  <r>
    <x v="823"/>
    <x v="38"/>
    <x v="0"/>
    <x v="0"/>
    <x v="1"/>
    <x v="3"/>
    <x v="0"/>
    <x v="2"/>
    <x v="0"/>
    <x v="2"/>
    <x v="2"/>
    <x v="3"/>
    <x v="0"/>
    <x v="3"/>
    <x v="4"/>
    <x v="4"/>
  </r>
  <r>
    <x v="824"/>
    <x v="38"/>
    <x v="0"/>
    <x v="0"/>
    <x v="1"/>
    <x v="4"/>
    <x v="0"/>
    <x v="2"/>
    <x v="0"/>
    <x v="2"/>
    <x v="2"/>
    <x v="3"/>
    <x v="0"/>
    <x v="5"/>
    <x v="4"/>
    <x v="5"/>
  </r>
  <r>
    <x v="825"/>
    <x v="38"/>
    <x v="0"/>
    <x v="0"/>
    <x v="1"/>
    <x v="5"/>
    <x v="0"/>
    <x v="2"/>
    <x v="0"/>
    <x v="2"/>
    <x v="2"/>
    <x v="3"/>
    <x v="0"/>
    <x v="5"/>
    <x v="33"/>
    <x v="98"/>
  </r>
  <r>
    <x v="826"/>
    <x v="38"/>
    <x v="0"/>
    <x v="0"/>
    <x v="1"/>
    <x v="6"/>
    <x v="0"/>
    <x v="2"/>
    <x v="0"/>
    <x v="15"/>
    <x v="19"/>
    <x v="43"/>
    <x v="0"/>
    <x v="5"/>
    <x v="31"/>
    <x v="33"/>
  </r>
  <r>
    <x v="827"/>
    <x v="38"/>
    <x v="0"/>
    <x v="0"/>
    <x v="1"/>
    <x v="7"/>
    <x v="0"/>
    <x v="2"/>
    <x v="0"/>
    <x v="15"/>
    <x v="19"/>
    <x v="3"/>
    <x v="0"/>
    <x v="15"/>
    <x v="121"/>
    <x v="76"/>
  </r>
  <r>
    <x v="828"/>
    <x v="38"/>
    <x v="0"/>
    <x v="0"/>
    <x v="1"/>
    <x v="8"/>
    <x v="0"/>
    <x v="2"/>
    <x v="1"/>
    <x v="13"/>
    <x v="11"/>
    <x v="11"/>
    <x v="0"/>
    <x v="18"/>
    <x v="167"/>
    <x v="178"/>
  </r>
  <r>
    <x v="829"/>
    <x v="38"/>
    <x v="0"/>
    <x v="0"/>
    <x v="1"/>
    <x v="9"/>
    <x v="0"/>
    <x v="2"/>
    <x v="0"/>
    <x v="1"/>
    <x v="1"/>
    <x v="1"/>
    <x v="0"/>
    <x v="0"/>
    <x v="166"/>
    <x v="130"/>
  </r>
  <r>
    <x v="830"/>
    <x v="38"/>
    <x v="0"/>
    <x v="0"/>
    <x v="1"/>
    <x v="10"/>
    <x v="0"/>
    <x v="2"/>
    <x v="0"/>
    <x v="0"/>
    <x v="2"/>
    <x v="2"/>
    <x v="14"/>
    <x v="15"/>
    <x v="47"/>
    <x v="97"/>
  </r>
  <r>
    <x v="831"/>
    <x v="38"/>
    <x v="0"/>
    <x v="0"/>
    <x v="1"/>
    <x v="11"/>
    <x v="0"/>
    <x v="2"/>
    <x v="0"/>
    <x v="11"/>
    <x v="21"/>
    <x v="55"/>
    <x v="1"/>
    <x v="16"/>
    <x v="49"/>
    <x v="105"/>
  </r>
  <r>
    <x v="832"/>
    <x v="38"/>
    <x v="0"/>
    <x v="0"/>
    <x v="1"/>
    <x v="12"/>
    <x v="0"/>
    <x v="2"/>
    <x v="1"/>
    <x v="3"/>
    <x v="4"/>
    <x v="51"/>
    <x v="0"/>
    <x v="18"/>
    <x v="79"/>
    <x v="179"/>
  </r>
  <r>
    <x v="833"/>
    <x v="38"/>
    <x v="0"/>
    <x v="0"/>
    <x v="1"/>
    <x v="13"/>
    <x v="0"/>
    <x v="2"/>
    <x v="1"/>
    <x v="5"/>
    <x v="30"/>
    <x v="14"/>
    <x v="1"/>
    <x v="22"/>
    <x v="25"/>
    <x v="37"/>
  </r>
  <r>
    <x v="834"/>
    <x v="38"/>
    <x v="0"/>
    <x v="0"/>
    <x v="1"/>
    <x v="14"/>
    <x v="0"/>
    <x v="2"/>
    <x v="1"/>
    <x v="5"/>
    <x v="30"/>
    <x v="14"/>
    <x v="1"/>
    <x v="1"/>
    <x v="15"/>
    <x v="122"/>
  </r>
  <r>
    <x v="835"/>
    <x v="38"/>
    <x v="0"/>
    <x v="0"/>
    <x v="1"/>
    <x v="15"/>
    <x v="0"/>
    <x v="2"/>
    <x v="1"/>
    <x v="4"/>
    <x v="5"/>
    <x v="47"/>
    <x v="1"/>
    <x v="17"/>
    <x v="24"/>
    <x v="89"/>
  </r>
  <r>
    <x v="836"/>
    <x v="38"/>
    <x v="0"/>
    <x v="0"/>
    <x v="1"/>
    <x v="16"/>
    <x v="0"/>
    <x v="2"/>
    <x v="1"/>
    <x v="5"/>
    <x v="4"/>
    <x v="14"/>
    <x v="7"/>
    <x v="19"/>
    <x v="52"/>
    <x v="180"/>
  </r>
  <r>
    <x v="837"/>
    <x v="38"/>
    <x v="0"/>
    <x v="0"/>
    <x v="1"/>
    <x v="17"/>
    <x v="0"/>
    <x v="2"/>
    <x v="1"/>
    <x v="3"/>
    <x v="21"/>
    <x v="56"/>
    <x v="8"/>
    <x v="14"/>
    <x v="134"/>
    <x v="181"/>
  </r>
  <r>
    <x v="838"/>
    <x v="38"/>
    <x v="0"/>
    <x v="0"/>
    <x v="1"/>
    <x v="18"/>
    <x v="0"/>
    <x v="2"/>
    <x v="1"/>
    <x v="10"/>
    <x v="6"/>
    <x v="13"/>
    <x v="7"/>
    <x v="2"/>
    <x v="160"/>
    <x v="171"/>
  </r>
  <r>
    <x v="839"/>
    <x v="38"/>
    <x v="0"/>
    <x v="0"/>
    <x v="1"/>
    <x v="19"/>
    <x v="0"/>
    <x v="2"/>
    <x v="1"/>
    <x v="3"/>
    <x v="4"/>
    <x v="56"/>
    <x v="0"/>
    <x v="2"/>
    <x v="168"/>
    <x v="116"/>
  </r>
  <r>
    <x v="840"/>
    <x v="38"/>
    <x v="0"/>
    <x v="0"/>
    <x v="1"/>
    <x v="20"/>
    <x v="0"/>
    <x v="2"/>
    <x v="1"/>
    <x v="3"/>
    <x v="6"/>
    <x v="56"/>
    <x v="14"/>
    <x v="15"/>
    <x v="70"/>
    <x v="39"/>
  </r>
  <r>
    <x v="841"/>
    <x v="38"/>
    <x v="0"/>
    <x v="0"/>
    <x v="1"/>
    <x v="21"/>
    <x v="0"/>
    <x v="2"/>
    <x v="0"/>
    <x v="3"/>
    <x v="4"/>
    <x v="56"/>
    <x v="0"/>
    <x v="0"/>
    <x v="102"/>
    <x v="53"/>
  </r>
  <r>
    <x v="842"/>
    <x v="38"/>
    <x v="0"/>
    <x v="0"/>
    <x v="1"/>
    <x v="22"/>
    <x v="0"/>
    <x v="2"/>
    <x v="0"/>
    <x v="17"/>
    <x v="25"/>
    <x v="0"/>
    <x v="1"/>
    <x v="0"/>
    <x v="60"/>
    <x v="18"/>
  </r>
  <r>
    <x v="843"/>
    <x v="38"/>
    <x v="0"/>
    <x v="0"/>
    <x v="1"/>
    <x v="23"/>
    <x v="0"/>
    <x v="2"/>
    <x v="1"/>
    <x v="11"/>
    <x v="6"/>
    <x v="0"/>
    <x v="0"/>
    <x v="15"/>
    <x v="23"/>
    <x v="94"/>
  </r>
  <r>
    <x v="844"/>
    <x v="39"/>
    <x v="0"/>
    <x v="0"/>
    <x v="1"/>
    <x v="0"/>
    <x v="0"/>
    <x v="3"/>
    <x v="1"/>
    <x v="17"/>
    <x v="21"/>
    <x v="9"/>
    <x v="0"/>
    <x v="17"/>
    <x v="8"/>
    <x v="98"/>
  </r>
  <r>
    <x v="845"/>
    <x v="39"/>
    <x v="0"/>
    <x v="0"/>
    <x v="1"/>
    <x v="1"/>
    <x v="0"/>
    <x v="3"/>
    <x v="1"/>
    <x v="17"/>
    <x v="21"/>
    <x v="9"/>
    <x v="0"/>
    <x v="3"/>
    <x v="22"/>
    <x v="48"/>
  </r>
  <r>
    <x v="846"/>
    <x v="39"/>
    <x v="0"/>
    <x v="0"/>
    <x v="1"/>
    <x v="2"/>
    <x v="0"/>
    <x v="3"/>
    <x v="1"/>
    <x v="12"/>
    <x v="1"/>
    <x v="43"/>
    <x v="14"/>
    <x v="5"/>
    <x v="4"/>
    <x v="5"/>
  </r>
  <r>
    <x v="847"/>
    <x v="39"/>
    <x v="0"/>
    <x v="0"/>
    <x v="1"/>
    <x v="3"/>
    <x v="0"/>
    <x v="3"/>
    <x v="2"/>
    <x v="17"/>
    <x v="1"/>
    <x v="43"/>
    <x v="8"/>
    <x v="3"/>
    <x v="4"/>
    <x v="4"/>
  </r>
  <r>
    <x v="848"/>
    <x v="39"/>
    <x v="0"/>
    <x v="0"/>
    <x v="1"/>
    <x v="4"/>
    <x v="0"/>
    <x v="3"/>
    <x v="0"/>
    <x v="12"/>
    <x v="2"/>
    <x v="43"/>
    <x v="8"/>
    <x v="3"/>
    <x v="35"/>
    <x v="6"/>
  </r>
  <r>
    <x v="849"/>
    <x v="39"/>
    <x v="0"/>
    <x v="0"/>
    <x v="1"/>
    <x v="5"/>
    <x v="0"/>
    <x v="3"/>
    <x v="0"/>
    <x v="12"/>
    <x v="11"/>
    <x v="0"/>
    <x v="9"/>
    <x v="3"/>
    <x v="6"/>
    <x v="5"/>
  </r>
  <r>
    <x v="850"/>
    <x v="39"/>
    <x v="0"/>
    <x v="0"/>
    <x v="1"/>
    <x v="6"/>
    <x v="0"/>
    <x v="3"/>
    <x v="0"/>
    <x v="12"/>
    <x v="11"/>
    <x v="56"/>
    <x v="9"/>
    <x v="3"/>
    <x v="87"/>
    <x v="21"/>
  </r>
  <r>
    <x v="851"/>
    <x v="39"/>
    <x v="0"/>
    <x v="0"/>
    <x v="1"/>
    <x v="7"/>
    <x v="0"/>
    <x v="3"/>
    <x v="0"/>
    <x v="0"/>
    <x v="13"/>
    <x v="55"/>
    <x v="12"/>
    <x v="0"/>
    <x v="106"/>
    <x v="50"/>
  </r>
  <r>
    <x v="852"/>
    <x v="39"/>
    <x v="0"/>
    <x v="0"/>
    <x v="1"/>
    <x v="8"/>
    <x v="0"/>
    <x v="3"/>
    <x v="0"/>
    <x v="0"/>
    <x v="13"/>
    <x v="34"/>
    <x v="15"/>
    <x v="18"/>
    <x v="169"/>
    <x v="182"/>
  </r>
  <r>
    <x v="853"/>
    <x v="39"/>
    <x v="0"/>
    <x v="0"/>
    <x v="1"/>
    <x v="9"/>
    <x v="0"/>
    <x v="3"/>
    <x v="0"/>
    <x v="0"/>
    <x v="13"/>
    <x v="35"/>
    <x v="15"/>
    <x v="18"/>
    <x v="170"/>
    <x v="168"/>
  </r>
  <r>
    <x v="854"/>
    <x v="39"/>
    <x v="0"/>
    <x v="0"/>
    <x v="1"/>
    <x v="10"/>
    <x v="0"/>
    <x v="3"/>
    <x v="0"/>
    <x v="1"/>
    <x v="18"/>
    <x v="19"/>
    <x v="16"/>
    <x v="17"/>
    <x v="100"/>
    <x v="61"/>
  </r>
  <r>
    <x v="855"/>
    <x v="39"/>
    <x v="0"/>
    <x v="0"/>
    <x v="1"/>
    <x v="11"/>
    <x v="0"/>
    <x v="3"/>
    <x v="0"/>
    <x v="1"/>
    <x v="18"/>
    <x v="19"/>
    <x v="17"/>
    <x v="5"/>
    <x v="47"/>
    <x v="89"/>
  </r>
  <r>
    <x v="856"/>
    <x v="39"/>
    <x v="0"/>
    <x v="0"/>
    <x v="1"/>
    <x v="12"/>
    <x v="0"/>
    <x v="3"/>
    <x v="0"/>
    <x v="0"/>
    <x v="13"/>
    <x v="41"/>
    <x v="15"/>
    <x v="4"/>
    <x v="36"/>
    <x v="32"/>
  </r>
  <r>
    <x v="857"/>
    <x v="39"/>
    <x v="0"/>
    <x v="0"/>
    <x v="1"/>
    <x v="13"/>
    <x v="0"/>
    <x v="3"/>
    <x v="1"/>
    <x v="0"/>
    <x v="13"/>
    <x v="25"/>
    <x v="10"/>
    <x v="4"/>
    <x v="41"/>
    <x v="89"/>
  </r>
  <r>
    <x v="858"/>
    <x v="39"/>
    <x v="0"/>
    <x v="0"/>
    <x v="1"/>
    <x v="14"/>
    <x v="0"/>
    <x v="3"/>
    <x v="0"/>
    <x v="1"/>
    <x v="13"/>
    <x v="38"/>
    <x v="12"/>
    <x v="0"/>
    <x v="124"/>
    <x v="37"/>
  </r>
  <r>
    <x v="859"/>
    <x v="39"/>
    <x v="0"/>
    <x v="0"/>
    <x v="1"/>
    <x v="15"/>
    <x v="0"/>
    <x v="3"/>
    <x v="0"/>
    <x v="1"/>
    <x v="13"/>
    <x v="23"/>
    <x v="13"/>
    <x v="15"/>
    <x v="108"/>
    <x v="41"/>
  </r>
  <r>
    <x v="860"/>
    <x v="39"/>
    <x v="0"/>
    <x v="0"/>
    <x v="1"/>
    <x v="16"/>
    <x v="0"/>
    <x v="3"/>
    <x v="0"/>
    <x v="1"/>
    <x v="18"/>
    <x v="23"/>
    <x v="18"/>
    <x v="17"/>
    <x v="55"/>
    <x v="56"/>
  </r>
  <r>
    <x v="861"/>
    <x v="39"/>
    <x v="0"/>
    <x v="0"/>
    <x v="1"/>
    <x v="17"/>
    <x v="0"/>
    <x v="3"/>
    <x v="0"/>
    <x v="1"/>
    <x v="18"/>
    <x v="25"/>
    <x v="19"/>
    <x v="17"/>
    <x v="155"/>
    <x v="169"/>
  </r>
  <r>
    <x v="862"/>
    <x v="39"/>
    <x v="0"/>
    <x v="0"/>
    <x v="1"/>
    <x v="18"/>
    <x v="0"/>
    <x v="3"/>
    <x v="0"/>
    <x v="2"/>
    <x v="18"/>
    <x v="25"/>
    <x v="13"/>
    <x v="5"/>
    <x v="137"/>
    <x v="148"/>
  </r>
  <r>
    <x v="863"/>
    <x v="39"/>
    <x v="0"/>
    <x v="0"/>
    <x v="1"/>
    <x v="19"/>
    <x v="0"/>
    <x v="3"/>
    <x v="0"/>
    <x v="13"/>
    <x v="16"/>
    <x v="22"/>
    <x v="17"/>
    <x v="5"/>
    <x v="129"/>
    <x v="129"/>
  </r>
  <r>
    <x v="864"/>
    <x v="39"/>
    <x v="0"/>
    <x v="0"/>
    <x v="1"/>
    <x v="20"/>
    <x v="0"/>
    <x v="3"/>
    <x v="0"/>
    <x v="13"/>
    <x v="14"/>
    <x v="22"/>
    <x v="9"/>
    <x v="0"/>
    <x v="42"/>
    <x v="10"/>
  </r>
  <r>
    <x v="865"/>
    <x v="39"/>
    <x v="0"/>
    <x v="0"/>
    <x v="1"/>
    <x v="21"/>
    <x v="0"/>
    <x v="3"/>
    <x v="0"/>
    <x v="14"/>
    <x v="15"/>
    <x v="39"/>
    <x v="17"/>
    <x v="1"/>
    <x v="24"/>
    <x v="60"/>
  </r>
  <r>
    <x v="866"/>
    <x v="39"/>
    <x v="0"/>
    <x v="0"/>
    <x v="1"/>
    <x v="22"/>
    <x v="0"/>
    <x v="3"/>
    <x v="0"/>
    <x v="16"/>
    <x v="15"/>
    <x v="39"/>
    <x v="11"/>
    <x v="3"/>
    <x v="31"/>
    <x v="115"/>
  </r>
  <r>
    <x v="867"/>
    <x v="39"/>
    <x v="0"/>
    <x v="0"/>
    <x v="1"/>
    <x v="23"/>
    <x v="0"/>
    <x v="3"/>
    <x v="0"/>
    <x v="16"/>
    <x v="15"/>
    <x v="39"/>
    <x v="9"/>
    <x v="0"/>
    <x v="33"/>
    <x v="47"/>
  </r>
  <r>
    <x v="868"/>
    <x v="40"/>
    <x v="0"/>
    <x v="0"/>
    <x v="1"/>
    <x v="0"/>
    <x v="0"/>
    <x v="4"/>
    <x v="0"/>
    <x v="18"/>
    <x v="23"/>
    <x v="42"/>
    <x v="11"/>
    <x v="3"/>
    <x v="19"/>
    <x v="22"/>
  </r>
  <r>
    <x v="869"/>
    <x v="40"/>
    <x v="0"/>
    <x v="0"/>
    <x v="1"/>
    <x v="1"/>
    <x v="0"/>
    <x v="4"/>
    <x v="0"/>
    <x v="18"/>
    <x v="15"/>
    <x v="42"/>
    <x v="6"/>
    <x v="3"/>
    <x v="7"/>
    <x v="85"/>
  </r>
  <r>
    <x v="870"/>
    <x v="40"/>
    <x v="0"/>
    <x v="0"/>
    <x v="1"/>
    <x v="2"/>
    <x v="0"/>
    <x v="4"/>
    <x v="0"/>
    <x v="19"/>
    <x v="23"/>
    <x v="41"/>
    <x v="3"/>
    <x v="5"/>
    <x v="6"/>
    <x v="6"/>
  </r>
  <r>
    <x v="871"/>
    <x v="40"/>
    <x v="0"/>
    <x v="0"/>
    <x v="1"/>
    <x v="3"/>
    <x v="0"/>
    <x v="4"/>
    <x v="0"/>
    <x v="20"/>
    <x v="23"/>
    <x v="49"/>
    <x v="7"/>
    <x v="3"/>
    <x v="6"/>
    <x v="5"/>
  </r>
  <r>
    <x v="872"/>
    <x v="40"/>
    <x v="0"/>
    <x v="0"/>
    <x v="1"/>
    <x v="5"/>
    <x v="0"/>
    <x v="4"/>
    <x v="0"/>
    <x v="20"/>
    <x v="15"/>
    <x v="49"/>
    <x v="14"/>
    <x v="3"/>
    <x v="7"/>
    <x v="85"/>
  </r>
  <r>
    <x v="873"/>
    <x v="40"/>
    <x v="0"/>
    <x v="0"/>
    <x v="1"/>
    <x v="6"/>
    <x v="0"/>
    <x v="4"/>
    <x v="0"/>
    <x v="20"/>
    <x v="20"/>
    <x v="49"/>
    <x v="0"/>
    <x v="3"/>
    <x v="30"/>
    <x v="74"/>
  </r>
  <r>
    <x v="874"/>
    <x v="40"/>
    <x v="0"/>
    <x v="0"/>
    <x v="1"/>
    <x v="7"/>
    <x v="0"/>
    <x v="4"/>
    <x v="0"/>
    <x v="20"/>
    <x v="15"/>
    <x v="36"/>
    <x v="14"/>
    <x v="17"/>
    <x v="73"/>
    <x v="111"/>
  </r>
  <r>
    <x v="875"/>
    <x v="40"/>
    <x v="0"/>
    <x v="0"/>
    <x v="1"/>
    <x v="8"/>
    <x v="0"/>
    <x v="4"/>
    <x v="0"/>
    <x v="18"/>
    <x v="14"/>
    <x v="16"/>
    <x v="0"/>
    <x v="5"/>
    <x v="171"/>
    <x v="183"/>
  </r>
  <r>
    <x v="876"/>
    <x v="40"/>
    <x v="0"/>
    <x v="0"/>
    <x v="1"/>
    <x v="9"/>
    <x v="0"/>
    <x v="4"/>
    <x v="0"/>
    <x v="16"/>
    <x v="14"/>
    <x v="17"/>
    <x v="8"/>
    <x v="17"/>
    <x v="138"/>
    <x v="92"/>
  </r>
  <r>
    <x v="877"/>
    <x v="40"/>
    <x v="0"/>
    <x v="0"/>
    <x v="1"/>
    <x v="10"/>
    <x v="0"/>
    <x v="4"/>
    <x v="0"/>
    <x v="14"/>
    <x v="18"/>
    <x v="42"/>
    <x v="0"/>
    <x v="1"/>
    <x v="82"/>
    <x v="29"/>
  </r>
  <r>
    <x v="878"/>
    <x v="40"/>
    <x v="0"/>
    <x v="0"/>
    <x v="1"/>
    <x v="11"/>
    <x v="0"/>
    <x v="4"/>
    <x v="1"/>
    <x v="14"/>
    <x v="20"/>
    <x v="21"/>
    <x v="8"/>
    <x v="5"/>
    <x v="71"/>
    <x v="102"/>
  </r>
  <r>
    <x v="879"/>
    <x v="40"/>
    <x v="0"/>
    <x v="0"/>
    <x v="1"/>
    <x v="12"/>
    <x v="0"/>
    <x v="4"/>
    <x v="1"/>
    <x v="15"/>
    <x v="18"/>
    <x v="22"/>
    <x v="6"/>
    <x v="17"/>
    <x v="77"/>
    <x v="42"/>
  </r>
  <r>
    <x v="880"/>
    <x v="40"/>
    <x v="0"/>
    <x v="0"/>
    <x v="1"/>
    <x v="13"/>
    <x v="0"/>
    <x v="4"/>
    <x v="0"/>
    <x v="15"/>
    <x v="17"/>
    <x v="22"/>
    <x v="2"/>
    <x v="4"/>
    <x v="28"/>
    <x v="83"/>
  </r>
  <r>
    <x v="881"/>
    <x v="40"/>
    <x v="0"/>
    <x v="0"/>
    <x v="1"/>
    <x v="14"/>
    <x v="0"/>
    <x v="4"/>
    <x v="0"/>
    <x v="2"/>
    <x v="18"/>
    <x v="46"/>
    <x v="4"/>
    <x v="4"/>
    <x v="90"/>
    <x v="154"/>
  </r>
  <r>
    <x v="882"/>
    <x v="40"/>
    <x v="0"/>
    <x v="0"/>
    <x v="1"/>
    <x v="15"/>
    <x v="0"/>
    <x v="4"/>
    <x v="1"/>
    <x v="2"/>
    <x v="18"/>
    <x v="46"/>
    <x v="3"/>
    <x v="0"/>
    <x v="124"/>
    <x v="37"/>
  </r>
  <r>
    <x v="883"/>
    <x v="40"/>
    <x v="0"/>
    <x v="0"/>
    <x v="1"/>
    <x v="16"/>
    <x v="0"/>
    <x v="4"/>
    <x v="1"/>
    <x v="2"/>
    <x v="13"/>
    <x v="38"/>
    <x v="2"/>
    <x v="18"/>
    <x v="109"/>
    <x v="67"/>
  </r>
  <r>
    <x v="884"/>
    <x v="40"/>
    <x v="0"/>
    <x v="0"/>
    <x v="1"/>
    <x v="17"/>
    <x v="0"/>
    <x v="4"/>
    <x v="1"/>
    <x v="2"/>
    <x v="13"/>
    <x v="46"/>
    <x v="2"/>
    <x v="14"/>
    <x v="172"/>
    <x v="150"/>
  </r>
  <r>
    <x v="885"/>
    <x v="40"/>
    <x v="0"/>
    <x v="0"/>
    <x v="1"/>
    <x v="18"/>
    <x v="0"/>
    <x v="4"/>
    <x v="1"/>
    <x v="15"/>
    <x v="17"/>
    <x v="19"/>
    <x v="4"/>
    <x v="4"/>
    <x v="173"/>
    <x v="184"/>
  </r>
  <r>
    <x v="886"/>
    <x v="40"/>
    <x v="0"/>
    <x v="0"/>
    <x v="1"/>
    <x v="19"/>
    <x v="0"/>
    <x v="4"/>
    <x v="2"/>
    <x v="14"/>
    <x v="16"/>
    <x v="3"/>
    <x v="2"/>
    <x v="5"/>
    <x v="61"/>
    <x v="39"/>
  </r>
  <r>
    <x v="887"/>
    <x v="40"/>
    <x v="0"/>
    <x v="0"/>
    <x v="1"/>
    <x v="20"/>
    <x v="0"/>
    <x v="4"/>
    <x v="2"/>
    <x v="14"/>
    <x v="20"/>
    <x v="3"/>
    <x v="8"/>
    <x v="3"/>
    <x v="174"/>
    <x v="11"/>
  </r>
  <r>
    <x v="888"/>
    <x v="40"/>
    <x v="0"/>
    <x v="0"/>
    <x v="1"/>
    <x v="21"/>
    <x v="0"/>
    <x v="4"/>
    <x v="1"/>
    <x v="14"/>
    <x v="20"/>
    <x v="3"/>
    <x v="8"/>
    <x v="3"/>
    <x v="93"/>
    <x v="56"/>
  </r>
  <r>
    <x v="889"/>
    <x v="40"/>
    <x v="0"/>
    <x v="0"/>
    <x v="1"/>
    <x v="22"/>
    <x v="0"/>
    <x v="4"/>
    <x v="2"/>
    <x v="13"/>
    <x v="17"/>
    <x v="1"/>
    <x v="8"/>
    <x v="17"/>
    <x v="76"/>
    <x v="66"/>
  </r>
  <r>
    <x v="890"/>
    <x v="40"/>
    <x v="0"/>
    <x v="0"/>
    <x v="1"/>
    <x v="23"/>
    <x v="0"/>
    <x v="4"/>
    <x v="2"/>
    <x v="13"/>
    <x v="20"/>
    <x v="1"/>
    <x v="5"/>
    <x v="3"/>
    <x v="53"/>
    <x v="18"/>
  </r>
  <r>
    <x v="891"/>
    <x v="41"/>
    <x v="0"/>
    <x v="0"/>
    <x v="1"/>
    <x v="0"/>
    <x v="0"/>
    <x v="5"/>
    <x v="2"/>
    <x v="14"/>
    <x v="14"/>
    <x v="3"/>
    <x v="5"/>
    <x v="3"/>
    <x v="20"/>
    <x v="0"/>
  </r>
  <r>
    <x v="892"/>
    <x v="41"/>
    <x v="0"/>
    <x v="0"/>
    <x v="1"/>
    <x v="1"/>
    <x v="0"/>
    <x v="5"/>
    <x v="2"/>
    <x v="14"/>
    <x v="20"/>
    <x v="1"/>
    <x v="7"/>
    <x v="3"/>
    <x v="7"/>
    <x v="85"/>
  </r>
  <r>
    <x v="893"/>
    <x v="41"/>
    <x v="0"/>
    <x v="0"/>
    <x v="1"/>
    <x v="2"/>
    <x v="0"/>
    <x v="5"/>
    <x v="2"/>
    <x v="14"/>
    <x v="20"/>
    <x v="1"/>
    <x v="7"/>
    <x v="3"/>
    <x v="35"/>
    <x v="6"/>
  </r>
  <r>
    <x v="894"/>
    <x v="41"/>
    <x v="0"/>
    <x v="0"/>
    <x v="1"/>
    <x v="4"/>
    <x v="0"/>
    <x v="5"/>
    <x v="1"/>
    <x v="14"/>
    <x v="14"/>
    <x v="29"/>
    <x v="6"/>
    <x v="3"/>
    <x v="4"/>
    <x v="4"/>
  </r>
  <r>
    <x v="895"/>
    <x v="41"/>
    <x v="0"/>
    <x v="0"/>
    <x v="1"/>
    <x v="5"/>
    <x v="0"/>
    <x v="5"/>
    <x v="1"/>
    <x v="16"/>
    <x v="16"/>
    <x v="20"/>
    <x v="6"/>
    <x v="3"/>
    <x v="8"/>
    <x v="24"/>
  </r>
  <r>
    <x v="896"/>
    <x v="41"/>
    <x v="0"/>
    <x v="0"/>
    <x v="1"/>
    <x v="6"/>
    <x v="0"/>
    <x v="5"/>
    <x v="1"/>
    <x v="16"/>
    <x v="16"/>
    <x v="47"/>
    <x v="3"/>
    <x v="3"/>
    <x v="16"/>
    <x v="132"/>
  </r>
  <r>
    <x v="897"/>
    <x v="41"/>
    <x v="0"/>
    <x v="0"/>
    <x v="1"/>
    <x v="7"/>
    <x v="0"/>
    <x v="5"/>
    <x v="0"/>
    <x v="18"/>
    <x v="23"/>
    <x v="20"/>
    <x v="12"/>
    <x v="3"/>
    <x v="175"/>
    <x v="111"/>
  </r>
  <r>
    <x v="898"/>
    <x v="41"/>
    <x v="0"/>
    <x v="0"/>
    <x v="1"/>
    <x v="8"/>
    <x v="0"/>
    <x v="5"/>
    <x v="0"/>
    <x v="18"/>
    <x v="23"/>
    <x v="36"/>
    <x v="9"/>
    <x v="2"/>
    <x v="176"/>
    <x v="106"/>
  </r>
  <r>
    <x v="899"/>
    <x v="41"/>
    <x v="0"/>
    <x v="0"/>
    <x v="1"/>
    <x v="9"/>
    <x v="0"/>
    <x v="5"/>
    <x v="0"/>
    <x v="16"/>
    <x v="15"/>
    <x v="16"/>
    <x v="11"/>
    <x v="5"/>
    <x v="177"/>
    <x v="78"/>
  </r>
  <r>
    <x v="900"/>
    <x v="41"/>
    <x v="0"/>
    <x v="0"/>
    <x v="1"/>
    <x v="10"/>
    <x v="0"/>
    <x v="5"/>
    <x v="0"/>
    <x v="16"/>
    <x v="15"/>
    <x v="16"/>
    <x v="4"/>
    <x v="5"/>
    <x v="60"/>
    <x v="17"/>
  </r>
  <r>
    <x v="901"/>
    <x v="41"/>
    <x v="0"/>
    <x v="0"/>
    <x v="1"/>
    <x v="11"/>
    <x v="0"/>
    <x v="5"/>
    <x v="0"/>
    <x v="14"/>
    <x v="16"/>
    <x v="17"/>
    <x v="11"/>
    <x v="5"/>
    <x v="100"/>
    <x v="79"/>
  </r>
  <r>
    <x v="902"/>
    <x v="41"/>
    <x v="0"/>
    <x v="0"/>
    <x v="1"/>
    <x v="12"/>
    <x v="0"/>
    <x v="5"/>
    <x v="0"/>
    <x v="13"/>
    <x v="14"/>
    <x v="46"/>
    <x v="13"/>
    <x v="17"/>
    <x v="65"/>
    <x v="83"/>
  </r>
  <r>
    <x v="903"/>
    <x v="41"/>
    <x v="0"/>
    <x v="0"/>
    <x v="1"/>
    <x v="13"/>
    <x v="0"/>
    <x v="5"/>
    <x v="0"/>
    <x v="15"/>
    <x v="17"/>
    <x v="44"/>
    <x v="4"/>
    <x v="0"/>
    <x v="79"/>
    <x v="69"/>
  </r>
  <r>
    <x v="904"/>
    <x v="41"/>
    <x v="0"/>
    <x v="0"/>
    <x v="1"/>
    <x v="14"/>
    <x v="0"/>
    <x v="5"/>
    <x v="0"/>
    <x v="2"/>
    <x v="18"/>
    <x v="57"/>
    <x v="3"/>
    <x v="15"/>
    <x v="76"/>
    <x v="61"/>
  </r>
  <r>
    <x v="905"/>
    <x v="41"/>
    <x v="0"/>
    <x v="0"/>
    <x v="1"/>
    <x v="15"/>
    <x v="0"/>
    <x v="5"/>
    <x v="0"/>
    <x v="2"/>
    <x v="13"/>
    <x v="59"/>
    <x v="2"/>
    <x v="3"/>
    <x v="54"/>
    <x v="89"/>
  </r>
  <r>
    <x v="906"/>
    <x v="41"/>
    <x v="0"/>
    <x v="0"/>
    <x v="1"/>
    <x v="16"/>
    <x v="0"/>
    <x v="5"/>
    <x v="0"/>
    <x v="2"/>
    <x v="18"/>
    <x v="57"/>
    <x v="4"/>
    <x v="17"/>
    <x v="83"/>
    <x v="138"/>
  </r>
  <r>
    <x v="907"/>
    <x v="41"/>
    <x v="0"/>
    <x v="0"/>
    <x v="1"/>
    <x v="17"/>
    <x v="0"/>
    <x v="5"/>
    <x v="0"/>
    <x v="15"/>
    <x v="18"/>
    <x v="60"/>
    <x v="5"/>
    <x v="15"/>
    <x v="136"/>
    <x v="185"/>
  </r>
  <r>
    <x v="908"/>
    <x v="41"/>
    <x v="0"/>
    <x v="0"/>
    <x v="1"/>
    <x v="18"/>
    <x v="0"/>
    <x v="5"/>
    <x v="0"/>
    <x v="13"/>
    <x v="18"/>
    <x v="40"/>
    <x v="7"/>
    <x v="0"/>
    <x v="172"/>
    <x v="186"/>
  </r>
  <r>
    <x v="909"/>
    <x v="41"/>
    <x v="0"/>
    <x v="0"/>
    <x v="1"/>
    <x v="19"/>
    <x v="0"/>
    <x v="5"/>
    <x v="0"/>
    <x v="14"/>
    <x v="17"/>
    <x v="40"/>
    <x v="14"/>
    <x v="4"/>
    <x v="59"/>
    <x v="59"/>
  </r>
  <r>
    <x v="910"/>
    <x v="41"/>
    <x v="0"/>
    <x v="0"/>
    <x v="1"/>
    <x v="20"/>
    <x v="0"/>
    <x v="5"/>
    <x v="0"/>
    <x v="14"/>
    <x v="18"/>
    <x v="61"/>
    <x v="1"/>
    <x v="17"/>
    <x v="139"/>
    <x v="54"/>
  </r>
  <r>
    <x v="911"/>
    <x v="41"/>
    <x v="0"/>
    <x v="0"/>
    <x v="1"/>
    <x v="21"/>
    <x v="0"/>
    <x v="5"/>
    <x v="0"/>
    <x v="14"/>
    <x v="12"/>
    <x v="17"/>
    <x v="0"/>
    <x v="4"/>
    <x v="14"/>
    <x v="44"/>
  </r>
  <r>
    <x v="912"/>
    <x v="41"/>
    <x v="0"/>
    <x v="0"/>
    <x v="1"/>
    <x v="22"/>
    <x v="0"/>
    <x v="5"/>
    <x v="0"/>
    <x v="16"/>
    <x v="13"/>
    <x v="17"/>
    <x v="0"/>
    <x v="17"/>
    <x v="12"/>
    <x v="41"/>
  </r>
  <r>
    <x v="913"/>
    <x v="41"/>
    <x v="0"/>
    <x v="0"/>
    <x v="1"/>
    <x v="23"/>
    <x v="0"/>
    <x v="5"/>
    <x v="0"/>
    <x v="16"/>
    <x v="20"/>
    <x v="16"/>
    <x v="14"/>
    <x v="5"/>
    <x v="39"/>
    <x v="19"/>
  </r>
  <r>
    <x v="914"/>
    <x v="42"/>
    <x v="0"/>
    <x v="0"/>
    <x v="1"/>
    <x v="0"/>
    <x v="0"/>
    <x v="6"/>
    <x v="0"/>
    <x v="18"/>
    <x v="14"/>
    <x v="36"/>
    <x v="14"/>
    <x v="4"/>
    <x v="98"/>
    <x v="8"/>
  </r>
  <r>
    <x v="915"/>
    <x v="42"/>
    <x v="0"/>
    <x v="0"/>
    <x v="1"/>
    <x v="1"/>
    <x v="0"/>
    <x v="6"/>
    <x v="0"/>
    <x v="18"/>
    <x v="14"/>
    <x v="47"/>
    <x v="1"/>
    <x v="5"/>
    <x v="8"/>
    <x v="85"/>
  </r>
  <r>
    <x v="916"/>
    <x v="42"/>
    <x v="0"/>
    <x v="0"/>
    <x v="1"/>
    <x v="2"/>
    <x v="0"/>
    <x v="6"/>
    <x v="0"/>
    <x v="18"/>
    <x v="14"/>
    <x v="47"/>
    <x v="1"/>
    <x v="3"/>
    <x v="35"/>
    <x v="6"/>
  </r>
  <r>
    <x v="917"/>
    <x v="42"/>
    <x v="0"/>
    <x v="0"/>
    <x v="1"/>
    <x v="5"/>
    <x v="0"/>
    <x v="6"/>
    <x v="0"/>
    <x v="19"/>
    <x v="16"/>
    <x v="30"/>
    <x v="1"/>
    <x v="3"/>
    <x v="22"/>
    <x v="48"/>
  </r>
  <r>
    <x v="918"/>
    <x v="42"/>
    <x v="0"/>
    <x v="0"/>
    <x v="1"/>
    <x v="6"/>
    <x v="0"/>
    <x v="6"/>
    <x v="0"/>
    <x v="18"/>
    <x v="18"/>
    <x v="31"/>
    <x v="0"/>
    <x v="5"/>
    <x v="140"/>
    <x v="108"/>
  </r>
  <r>
    <x v="919"/>
    <x v="42"/>
    <x v="0"/>
    <x v="0"/>
    <x v="1"/>
    <x v="7"/>
    <x v="0"/>
    <x v="6"/>
    <x v="0"/>
    <x v="19"/>
    <x v="17"/>
    <x v="62"/>
    <x v="0"/>
    <x v="5"/>
    <x v="26"/>
    <x v="30"/>
  </r>
  <r>
    <x v="920"/>
    <x v="42"/>
    <x v="0"/>
    <x v="0"/>
    <x v="1"/>
    <x v="8"/>
    <x v="0"/>
    <x v="6"/>
    <x v="0"/>
    <x v="18"/>
    <x v="16"/>
    <x v="32"/>
    <x v="8"/>
    <x v="17"/>
    <x v="178"/>
    <x v="181"/>
  </r>
  <r>
    <x v="921"/>
    <x v="42"/>
    <x v="0"/>
    <x v="0"/>
    <x v="1"/>
    <x v="9"/>
    <x v="0"/>
    <x v="6"/>
    <x v="0"/>
    <x v="16"/>
    <x v="16"/>
    <x v="32"/>
    <x v="6"/>
    <x v="1"/>
    <x v="126"/>
    <x v="187"/>
  </r>
  <r>
    <x v="922"/>
    <x v="42"/>
    <x v="0"/>
    <x v="0"/>
    <x v="1"/>
    <x v="10"/>
    <x v="0"/>
    <x v="6"/>
    <x v="0"/>
    <x v="14"/>
    <x v="14"/>
    <x v="27"/>
    <x v="5"/>
    <x v="2"/>
    <x v="87"/>
    <x v="40"/>
  </r>
  <r>
    <x v="923"/>
    <x v="42"/>
    <x v="0"/>
    <x v="0"/>
    <x v="1"/>
    <x v="11"/>
    <x v="0"/>
    <x v="6"/>
    <x v="0"/>
    <x v="1"/>
    <x v="11"/>
    <x v="19"/>
    <x v="7"/>
    <x v="6"/>
    <x v="15"/>
    <x v="37"/>
  </r>
  <r>
    <x v="924"/>
    <x v="42"/>
    <x v="0"/>
    <x v="0"/>
    <x v="1"/>
    <x v="12"/>
    <x v="0"/>
    <x v="6"/>
    <x v="0"/>
    <x v="1"/>
    <x v="11"/>
    <x v="19"/>
    <x v="7"/>
    <x v="18"/>
    <x v="27"/>
    <x v="68"/>
  </r>
  <r>
    <x v="925"/>
    <x v="42"/>
    <x v="0"/>
    <x v="0"/>
    <x v="1"/>
    <x v="13"/>
    <x v="0"/>
    <x v="6"/>
    <x v="0"/>
    <x v="0"/>
    <x v="11"/>
    <x v="23"/>
    <x v="5"/>
    <x v="27"/>
    <x v="121"/>
    <x v="14"/>
  </r>
  <r>
    <x v="926"/>
    <x v="42"/>
    <x v="0"/>
    <x v="0"/>
    <x v="1"/>
    <x v="14"/>
    <x v="0"/>
    <x v="6"/>
    <x v="0"/>
    <x v="11"/>
    <x v="0"/>
    <x v="60"/>
    <x v="2"/>
    <x v="26"/>
    <x v="28"/>
    <x v="11"/>
  </r>
  <r>
    <x v="927"/>
    <x v="42"/>
    <x v="0"/>
    <x v="0"/>
    <x v="1"/>
    <x v="15"/>
    <x v="0"/>
    <x v="6"/>
    <x v="0"/>
    <x v="3"/>
    <x v="21"/>
    <x v="58"/>
    <x v="8"/>
    <x v="6"/>
    <x v="133"/>
    <x v="30"/>
  </r>
  <r>
    <x v="928"/>
    <x v="42"/>
    <x v="0"/>
    <x v="0"/>
    <x v="1"/>
    <x v="16"/>
    <x v="0"/>
    <x v="6"/>
    <x v="0"/>
    <x v="11"/>
    <x v="0"/>
    <x v="40"/>
    <x v="5"/>
    <x v="24"/>
    <x v="179"/>
    <x v="139"/>
  </r>
  <r>
    <x v="929"/>
    <x v="42"/>
    <x v="0"/>
    <x v="0"/>
    <x v="1"/>
    <x v="17"/>
    <x v="0"/>
    <x v="6"/>
    <x v="0"/>
    <x v="11"/>
    <x v="6"/>
    <x v="63"/>
    <x v="0"/>
    <x v="25"/>
    <x v="180"/>
    <x v="188"/>
  </r>
  <r>
    <x v="930"/>
    <x v="42"/>
    <x v="0"/>
    <x v="0"/>
    <x v="1"/>
    <x v="18"/>
    <x v="0"/>
    <x v="6"/>
    <x v="0"/>
    <x v="17"/>
    <x v="21"/>
    <x v="40"/>
    <x v="0"/>
    <x v="14"/>
    <x v="156"/>
    <x v="176"/>
  </r>
  <r>
    <x v="931"/>
    <x v="42"/>
    <x v="0"/>
    <x v="0"/>
    <x v="1"/>
    <x v="19"/>
    <x v="0"/>
    <x v="6"/>
    <x v="0"/>
    <x v="12"/>
    <x v="25"/>
    <x v="39"/>
    <x v="0"/>
    <x v="18"/>
    <x v="111"/>
    <x v="129"/>
  </r>
  <r>
    <x v="932"/>
    <x v="42"/>
    <x v="0"/>
    <x v="0"/>
    <x v="1"/>
    <x v="20"/>
    <x v="0"/>
    <x v="6"/>
    <x v="0"/>
    <x v="1"/>
    <x v="11"/>
    <x v="28"/>
    <x v="7"/>
    <x v="4"/>
    <x v="124"/>
    <x v="55"/>
  </r>
  <r>
    <x v="933"/>
    <x v="42"/>
    <x v="0"/>
    <x v="0"/>
    <x v="1"/>
    <x v="21"/>
    <x v="0"/>
    <x v="6"/>
    <x v="0"/>
    <x v="2"/>
    <x v="12"/>
    <x v="29"/>
    <x v="7"/>
    <x v="5"/>
    <x v="24"/>
    <x v="105"/>
  </r>
  <r>
    <x v="934"/>
    <x v="42"/>
    <x v="0"/>
    <x v="0"/>
    <x v="1"/>
    <x v="22"/>
    <x v="0"/>
    <x v="6"/>
    <x v="0"/>
    <x v="2"/>
    <x v="11"/>
    <x v="26"/>
    <x v="1"/>
    <x v="4"/>
    <x v="40"/>
    <x v="74"/>
  </r>
  <r>
    <x v="935"/>
    <x v="42"/>
    <x v="0"/>
    <x v="0"/>
    <x v="1"/>
    <x v="23"/>
    <x v="0"/>
    <x v="6"/>
    <x v="0"/>
    <x v="15"/>
    <x v="19"/>
    <x v="27"/>
    <x v="0"/>
    <x v="2"/>
    <x v="41"/>
    <x v="26"/>
  </r>
  <r>
    <x v="936"/>
    <x v="43"/>
    <x v="0"/>
    <x v="0"/>
    <x v="1"/>
    <x v="0"/>
    <x v="0"/>
    <x v="0"/>
    <x v="0"/>
    <x v="13"/>
    <x v="13"/>
    <x v="27"/>
    <x v="1"/>
    <x v="0"/>
    <x v="2"/>
    <x v="33"/>
  </r>
  <r>
    <x v="937"/>
    <x v="43"/>
    <x v="0"/>
    <x v="0"/>
    <x v="1"/>
    <x v="1"/>
    <x v="0"/>
    <x v="0"/>
    <x v="0"/>
    <x v="14"/>
    <x v="12"/>
    <x v="3"/>
    <x v="0"/>
    <x v="4"/>
    <x v="97"/>
    <x v="108"/>
  </r>
  <r>
    <x v="938"/>
    <x v="43"/>
    <x v="0"/>
    <x v="0"/>
    <x v="1"/>
    <x v="2"/>
    <x v="0"/>
    <x v="0"/>
    <x v="0"/>
    <x v="14"/>
    <x v="12"/>
    <x v="1"/>
    <x v="0"/>
    <x v="4"/>
    <x v="0"/>
    <x v="93"/>
  </r>
  <r>
    <x v="939"/>
    <x v="43"/>
    <x v="0"/>
    <x v="0"/>
    <x v="1"/>
    <x v="3"/>
    <x v="0"/>
    <x v="0"/>
    <x v="0"/>
    <x v="16"/>
    <x v="13"/>
    <x v="1"/>
    <x v="0"/>
    <x v="0"/>
    <x v="7"/>
    <x v="98"/>
  </r>
  <r>
    <x v="940"/>
    <x v="43"/>
    <x v="0"/>
    <x v="0"/>
    <x v="1"/>
    <x v="4"/>
    <x v="0"/>
    <x v="0"/>
    <x v="0"/>
    <x v="16"/>
    <x v="17"/>
    <x v="32"/>
    <x v="1"/>
    <x v="3"/>
    <x v="22"/>
    <x v="48"/>
  </r>
  <r>
    <x v="941"/>
    <x v="43"/>
    <x v="0"/>
    <x v="0"/>
    <x v="1"/>
    <x v="5"/>
    <x v="0"/>
    <x v="0"/>
    <x v="0"/>
    <x v="16"/>
    <x v="17"/>
    <x v="32"/>
    <x v="1"/>
    <x v="3"/>
    <x v="4"/>
    <x v="4"/>
  </r>
  <r>
    <x v="942"/>
    <x v="43"/>
    <x v="0"/>
    <x v="0"/>
    <x v="1"/>
    <x v="6"/>
    <x v="0"/>
    <x v="0"/>
    <x v="0"/>
    <x v="16"/>
    <x v="14"/>
    <x v="43"/>
    <x v="5"/>
    <x v="5"/>
    <x v="4"/>
    <x v="5"/>
  </r>
  <r>
    <x v="943"/>
    <x v="43"/>
    <x v="0"/>
    <x v="0"/>
    <x v="1"/>
    <x v="7"/>
    <x v="0"/>
    <x v="0"/>
    <x v="0"/>
    <x v="16"/>
    <x v="20"/>
    <x v="1"/>
    <x v="14"/>
    <x v="4"/>
    <x v="33"/>
    <x v="62"/>
  </r>
  <r>
    <x v="944"/>
    <x v="43"/>
    <x v="0"/>
    <x v="0"/>
    <x v="1"/>
    <x v="8"/>
    <x v="0"/>
    <x v="0"/>
    <x v="0"/>
    <x v="14"/>
    <x v="20"/>
    <x v="3"/>
    <x v="7"/>
    <x v="4"/>
    <x v="95"/>
    <x v="33"/>
  </r>
  <r>
    <x v="945"/>
    <x v="43"/>
    <x v="0"/>
    <x v="0"/>
    <x v="1"/>
    <x v="9"/>
    <x v="0"/>
    <x v="0"/>
    <x v="0"/>
    <x v="13"/>
    <x v="18"/>
    <x v="26"/>
    <x v="7"/>
    <x v="2"/>
    <x v="101"/>
    <x v="74"/>
  </r>
  <r>
    <x v="946"/>
    <x v="43"/>
    <x v="0"/>
    <x v="0"/>
    <x v="1"/>
    <x v="10"/>
    <x v="0"/>
    <x v="0"/>
    <x v="0"/>
    <x v="1"/>
    <x v="12"/>
    <x v="48"/>
    <x v="2"/>
    <x v="23"/>
    <x v="13"/>
    <x v="11"/>
  </r>
  <r>
    <x v="947"/>
    <x v="43"/>
    <x v="0"/>
    <x v="0"/>
    <x v="1"/>
    <x v="11"/>
    <x v="0"/>
    <x v="0"/>
    <x v="0"/>
    <x v="11"/>
    <x v="1"/>
    <x v="40"/>
    <x v="9"/>
    <x v="36"/>
    <x v="174"/>
    <x v="180"/>
  </r>
  <r>
    <x v="948"/>
    <x v="43"/>
    <x v="0"/>
    <x v="0"/>
    <x v="1"/>
    <x v="12"/>
    <x v="0"/>
    <x v="0"/>
    <x v="0"/>
    <x v="11"/>
    <x v="1"/>
    <x v="17"/>
    <x v="17"/>
    <x v="37"/>
    <x v="139"/>
    <x v="151"/>
  </r>
  <r>
    <x v="949"/>
    <x v="43"/>
    <x v="0"/>
    <x v="0"/>
    <x v="1"/>
    <x v="13"/>
    <x v="0"/>
    <x v="0"/>
    <x v="0"/>
    <x v="11"/>
    <x v="1"/>
    <x v="17"/>
    <x v="12"/>
    <x v="38"/>
    <x v="145"/>
    <x v="168"/>
  </r>
  <r>
    <x v="950"/>
    <x v="43"/>
    <x v="0"/>
    <x v="0"/>
    <x v="1"/>
    <x v="14"/>
    <x v="0"/>
    <x v="0"/>
    <x v="0"/>
    <x v="10"/>
    <x v="21"/>
    <x v="61"/>
    <x v="3"/>
    <x v="36"/>
    <x v="92"/>
    <x v="151"/>
  </r>
  <r>
    <x v="951"/>
    <x v="43"/>
    <x v="0"/>
    <x v="0"/>
    <x v="1"/>
    <x v="15"/>
    <x v="0"/>
    <x v="0"/>
    <x v="0"/>
    <x v="10"/>
    <x v="25"/>
    <x v="44"/>
    <x v="12"/>
    <x v="9"/>
    <x v="69"/>
    <x v="176"/>
  </r>
  <r>
    <x v="952"/>
    <x v="43"/>
    <x v="0"/>
    <x v="0"/>
    <x v="1"/>
    <x v="16"/>
    <x v="0"/>
    <x v="0"/>
    <x v="0"/>
    <x v="10"/>
    <x v="25"/>
    <x v="44"/>
    <x v="12"/>
    <x v="35"/>
    <x v="145"/>
    <x v="189"/>
  </r>
  <r>
    <x v="953"/>
    <x v="43"/>
    <x v="0"/>
    <x v="0"/>
    <x v="1"/>
    <x v="17"/>
    <x v="0"/>
    <x v="0"/>
    <x v="0"/>
    <x v="3"/>
    <x v="0"/>
    <x v="61"/>
    <x v="18"/>
    <x v="31"/>
    <x v="181"/>
    <x v="120"/>
  </r>
  <r>
    <x v="954"/>
    <x v="43"/>
    <x v="0"/>
    <x v="0"/>
    <x v="1"/>
    <x v="18"/>
    <x v="0"/>
    <x v="0"/>
    <x v="0"/>
    <x v="17"/>
    <x v="2"/>
    <x v="41"/>
    <x v="9"/>
    <x v="17"/>
    <x v="91"/>
    <x v="37"/>
  </r>
  <r>
    <x v="955"/>
    <x v="43"/>
    <x v="0"/>
    <x v="0"/>
    <x v="1"/>
    <x v="19"/>
    <x v="0"/>
    <x v="0"/>
    <x v="0"/>
    <x v="17"/>
    <x v="1"/>
    <x v="41"/>
    <x v="8"/>
    <x v="4"/>
    <x v="87"/>
    <x v="102"/>
  </r>
  <r>
    <x v="956"/>
    <x v="43"/>
    <x v="0"/>
    <x v="0"/>
    <x v="1"/>
    <x v="20"/>
    <x v="0"/>
    <x v="0"/>
    <x v="0"/>
    <x v="12"/>
    <x v="2"/>
    <x v="48"/>
    <x v="6"/>
    <x v="5"/>
    <x v="87"/>
    <x v="1"/>
  </r>
  <r>
    <x v="957"/>
    <x v="43"/>
    <x v="0"/>
    <x v="0"/>
    <x v="1"/>
    <x v="21"/>
    <x v="0"/>
    <x v="0"/>
    <x v="0"/>
    <x v="12"/>
    <x v="25"/>
    <x v="48"/>
    <x v="0"/>
    <x v="14"/>
    <x v="76"/>
    <x v="41"/>
  </r>
  <r>
    <x v="958"/>
    <x v="43"/>
    <x v="0"/>
    <x v="0"/>
    <x v="1"/>
    <x v="22"/>
    <x v="0"/>
    <x v="0"/>
    <x v="0"/>
    <x v="0"/>
    <x v="2"/>
    <x v="18"/>
    <x v="1"/>
    <x v="15"/>
    <x v="87"/>
    <x v="79"/>
  </r>
  <r>
    <x v="959"/>
    <x v="43"/>
    <x v="0"/>
    <x v="0"/>
    <x v="1"/>
    <x v="23"/>
    <x v="0"/>
    <x v="0"/>
    <x v="0"/>
    <x v="1"/>
    <x v="11"/>
    <x v="33"/>
    <x v="7"/>
    <x v="5"/>
    <x v="17"/>
    <x v="2"/>
  </r>
  <r>
    <x v="960"/>
    <x v="44"/>
    <x v="0"/>
    <x v="0"/>
    <x v="1"/>
    <x v="0"/>
    <x v="0"/>
    <x v="1"/>
    <x v="0"/>
    <x v="2"/>
    <x v="11"/>
    <x v="26"/>
    <x v="14"/>
    <x v="2"/>
    <x v="60"/>
    <x v="21"/>
  </r>
  <r>
    <x v="961"/>
    <x v="44"/>
    <x v="0"/>
    <x v="0"/>
    <x v="1"/>
    <x v="1"/>
    <x v="0"/>
    <x v="1"/>
    <x v="0"/>
    <x v="2"/>
    <x v="11"/>
    <x v="29"/>
    <x v="1"/>
    <x v="5"/>
    <x v="140"/>
    <x v="108"/>
  </r>
  <r>
    <x v="962"/>
    <x v="44"/>
    <x v="0"/>
    <x v="0"/>
    <x v="1"/>
    <x v="2"/>
    <x v="0"/>
    <x v="1"/>
    <x v="1"/>
    <x v="2"/>
    <x v="11"/>
    <x v="2"/>
    <x v="1"/>
    <x v="5"/>
    <x v="23"/>
    <x v="25"/>
  </r>
  <r>
    <x v="963"/>
    <x v="44"/>
    <x v="0"/>
    <x v="0"/>
    <x v="1"/>
    <x v="3"/>
    <x v="0"/>
    <x v="1"/>
    <x v="1"/>
    <x v="2"/>
    <x v="11"/>
    <x v="27"/>
    <x v="14"/>
    <x v="17"/>
    <x v="21"/>
    <x v="47"/>
  </r>
  <r>
    <x v="964"/>
    <x v="44"/>
    <x v="0"/>
    <x v="0"/>
    <x v="1"/>
    <x v="4"/>
    <x v="0"/>
    <x v="1"/>
    <x v="1"/>
    <x v="2"/>
    <x v="12"/>
    <x v="27"/>
    <x v="8"/>
    <x v="3"/>
    <x v="6"/>
    <x v="5"/>
  </r>
  <r>
    <x v="965"/>
    <x v="44"/>
    <x v="0"/>
    <x v="0"/>
    <x v="1"/>
    <x v="6"/>
    <x v="0"/>
    <x v="1"/>
    <x v="1"/>
    <x v="2"/>
    <x v="12"/>
    <x v="27"/>
    <x v="7"/>
    <x v="4"/>
    <x v="35"/>
    <x v="36"/>
  </r>
  <r>
    <x v="966"/>
    <x v="44"/>
    <x v="0"/>
    <x v="0"/>
    <x v="1"/>
    <x v="7"/>
    <x v="0"/>
    <x v="1"/>
    <x v="1"/>
    <x v="1"/>
    <x v="1"/>
    <x v="28"/>
    <x v="0"/>
    <x v="3"/>
    <x v="35"/>
    <x v="6"/>
  </r>
  <r>
    <x v="967"/>
    <x v="44"/>
    <x v="0"/>
    <x v="0"/>
    <x v="1"/>
    <x v="8"/>
    <x v="0"/>
    <x v="1"/>
    <x v="1"/>
    <x v="1"/>
    <x v="11"/>
    <x v="26"/>
    <x v="5"/>
    <x v="5"/>
    <x v="48"/>
    <x v="47"/>
  </r>
  <r>
    <x v="968"/>
    <x v="44"/>
    <x v="0"/>
    <x v="0"/>
    <x v="1"/>
    <x v="9"/>
    <x v="0"/>
    <x v="1"/>
    <x v="1"/>
    <x v="0"/>
    <x v="11"/>
    <x v="54"/>
    <x v="6"/>
    <x v="6"/>
    <x v="96"/>
    <x v="105"/>
  </r>
  <r>
    <x v="969"/>
    <x v="44"/>
    <x v="0"/>
    <x v="0"/>
    <x v="1"/>
    <x v="10"/>
    <x v="0"/>
    <x v="1"/>
    <x v="0"/>
    <x v="11"/>
    <x v="1"/>
    <x v="49"/>
    <x v="9"/>
    <x v="21"/>
    <x v="132"/>
    <x v="136"/>
  </r>
  <r>
    <x v="970"/>
    <x v="44"/>
    <x v="0"/>
    <x v="0"/>
    <x v="1"/>
    <x v="11"/>
    <x v="0"/>
    <x v="1"/>
    <x v="0"/>
    <x v="3"/>
    <x v="0"/>
    <x v="17"/>
    <x v="10"/>
    <x v="7"/>
    <x v="132"/>
    <x v="59"/>
  </r>
  <r>
    <x v="971"/>
    <x v="44"/>
    <x v="0"/>
    <x v="0"/>
    <x v="1"/>
    <x v="12"/>
    <x v="0"/>
    <x v="1"/>
    <x v="0"/>
    <x v="5"/>
    <x v="21"/>
    <x v="25"/>
    <x v="17"/>
    <x v="39"/>
    <x v="111"/>
    <x v="148"/>
  </r>
  <r>
    <x v="972"/>
    <x v="44"/>
    <x v="0"/>
    <x v="0"/>
    <x v="1"/>
    <x v="13"/>
    <x v="0"/>
    <x v="1"/>
    <x v="0"/>
    <x v="4"/>
    <x v="5"/>
    <x v="44"/>
    <x v="11"/>
    <x v="40"/>
    <x v="50"/>
    <x v="38"/>
  </r>
  <r>
    <x v="973"/>
    <x v="44"/>
    <x v="0"/>
    <x v="0"/>
    <x v="1"/>
    <x v="14"/>
    <x v="0"/>
    <x v="1"/>
    <x v="1"/>
    <x v="9"/>
    <x v="10"/>
    <x v="24"/>
    <x v="12"/>
    <x v="41"/>
    <x v="59"/>
    <x v="143"/>
  </r>
  <r>
    <x v="974"/>
    <x v="44"/>
    <x v="0"/>
    <x v="0"/>
    <x v="1"/>
    <x v="15"/>
    <x v="0"/>
    <x v="1"/>
    <x v="1"/>
    <x v="9"/>
    <x v="10"/>
    <x v="24"/>
    <x v="4"/>
    <x v="11"/>
    <x v="182"/>
    <x v="123"/>
  </r>
  <r>
    <x v="975"/>
    <x v="44"/>
    <x v="0"/>
    <x v="0"/>
    <x v="1"/>
    <x v="16"/>
    <x v="0"/>
    <x v="1"/>
    <x v="1"/>
    <x v="6"/>
    <x v="7"/>
    <x v="40"/>
    <x v="9"/>
    <x v="32"/>
    <x v="183"/>
    <x v="87"/>
  </r>
  <r>
    <x v="976"/>
    <x v="44"/>
    <x v="0"/>
    <x v="0"/>
    <x v="1"/>
    <x v="17"/>
    <x v="0"/>
    <x v="1"/>
    <x v="0"/>
    <x v="6"/>
    <x v="7"/>
    <x v="40"/>
    <x v="9"/>
    <x v="36"/>
    <x v="73"/>
    <x v="139"/>
  </r>
  <r>
    <x v="977"/>
    <x v="44"/>
    <x v="0"/>
    <x v="0"/>
    <x v="1"/>
    <x v="18"/>
    <x v="0"/>
    <x v="1"/>
    <x v="0"/>
    <x v="9"/>
    <x v="10"/>
    <x v="25"/>
    <x v="4"/>
    <x v="26"/>
    <x v="78"/>
    <x v="76"/>
  </r>
  <r>
    <x v="978"/>
    <x v="44"/>
    <x v="0"/>
    <x v="0"/>
    <x v="1"/>
    <x v="19"/>
    <x v="0"/>
    <x v="1"/>
    <x v="0"/>
    <x v="9"/>
    <x v="10"/>
    <x v="23"/>
    <x v="3"/>
    <x v="16"/>
    <x v="54"/>
    <x v="42"/>
  </r>
  <r>
    <x v="979"/>
    <x v="44"/>
    <x v="0"/>
    <x v="0"/>
    <x v="1"/>
    <x v="20"/>
    <x v="0"/>
    <x v="1"/>
    <x v="0"/>
    <x v="9"/>
    <x v="10"/>
    <x v="23"/>
    <x v="9"/>
    <x v="13"/>
    <x v="1"/>
    <x v="105"/>
  </r>
  <r>
    <x v="980"/>
    <x v="44"/>
    <x v="0"/>
    <x v="0"/>
    <x v="1"/>
    <x v="21"/>
    <x v="0"/>
    <x v="1"/>
    <x v="0"/>
    <x v="9"/>
    <x v="10"/>
    <x v="23"/>
    <x v="11"/>
    <x v="15"/>
    <x v="108"/>
    <x v="41"/>
  </r>
  <r>
    <x v="981"/>
    <x v="44"/>
    <x v="0"/>
    <x v="0"/>
    <x v="1"/>
    <x v="22"/>
    <x v="0"/>
    <x v="1"/>
    <x v="0"/>
    <x v="9"/>
    <x v="10"/>
    <x v="23"/>
    <x v="4"/>
    <x v="2"/>
    <x v="17"/>
    <x v="9"/>
  </r>
  <r>
    <x v="982"/>
    <x v="44"/>
    <x v="0"/>
    <x v="0"/>
    <x v="1"/>
    <x v="23"/>
    <x v="0"/>
    <x v="1"/>
    <x v="0"/>
    <x v="9"/>
    <x v="10"/>
    <x v="23"/>
    <x v="11"/>
    <x v="0"/>
    <x v="2"/>
    <x v="33"/>
  </r>
  <r>
    <x v="983"/>
    <x v="45"/>
    <x v="0"/>
    <x v="0"/>
    <x v="1"/>
    <x v="0"/>
    <x v="0"/>
    <x v="2"/>
    <x v="0"/>
    <x v="4"/>
    <x v="5"/>
    <x v="38"/>
    <x v="11"/>
    <x v="0"/>
    <x v="21"/>
    <x v="62"/>
  </r>
  <r>
    <x v="984"/>
    <x v="45"/>
    <x v="0"/>
    <x v="0"/>
    <x v="1"/>
    <x v="1"/>
    <x v="0"/>
    <x v="2"/>
    <x v="0"/>
    <x v="4"/>
    <x v="5"/>
    <x v="38"/>
    <x v="11"/>
    <x v="5"/>
    <x v="8"/>
    <x v="85"/>
  </r>
  <r>
    <x v="985"/>
    <x v="45"/>
    <x v="0"/>
    <x v="0"/>
    <x v="1"/>
    <x v="2"/>
    <x v="0"/>
    <x v="2"/>
    <x v="0"/>
    <x v="5"/>
    <x v="6"/>
    <x v="22"/>
    <x v="4"/>
    <x v="3"/>
    <x v="6"/>
    <x v="5"/>
  </r>
  <r>
    <x v="986"/>
    <x v="45"/>
    <x v="0"/>
    <x v="0"/>
    <x v="1"/>
    <x v="3"/>
    <x v="0"/>
    <x v="2"/>
    <x v="0"/>
    <x v="10"/>
    <x v="21"/>
    <x v="15"/>
    <x v="6"/>
    <x v="5"/>
    <x v="4"/>
    <x v="5"/>
  </r>
  <r>
    <x v="987"/>
    <x v="45"/>
    <x v="0"/>
    <x v="0"/>
    <x v="1"/>
    <x v="4"/>
    <x v="0"/>
    <x v="2"/>
    <x v="0"/>
    <x v="3"/>
    <x v="25"/>
    <x v="45"/>
    <x v="3"/>
    <x v="3"/>
    <x v="6"/>
    <x v="5"/>
  </r>
  <r>
    <x v="988"/>
    <x v="45"/>
    <x v="0"/>
    <x v="0"/>
    <x v="1"/>
    <x v="5"/>
    <x v="0"/>
    <x v="2"/>
    <x v="0"/>
    <x v="3"/>
    <x v="25"/>
    <x v="45"/>
    <x v="3"/>
    <x v="3"/>
    <x v="35"/>
    <x v="6"/>
  </r>
  <r>
    <x v="989"/>
    <x v="45"/>
    <x v="0"/>
    <x v="0"/>
    <x v="1"/>
    <x v="6"/>
    <x v="0"/>
    <x v="2"/>
    <x v="0"/>
    <x v="10"/>
    <x v="25"/>
    <x v="15"/>
    <x v="4"/>
    <x v="5"/>
    <x v="18"/>
    <x v="132"/>
  </r>
  <r>
    <x v="990"/>
    <x v="45"/>
    <x v="0"/>
    <x v="0"/>
    <x v="1"/>
    <x v="7"/>
    <x v="0"/>
    <x v="2"/>
    <x v="0"/>
    <x v="10"/>
    <x v="25"/>
    <x v="15"/>
    <x v="4"/>
    <x v="4"/>
    <x v="184"/>
    <x v="95"/>
  </r>
  <r>
    <x v="991"/>
    <x v="28"/>
    <x v="0"/>
    <x v="0"/>
    <x v="0"/>
    <x v="16"/>
    <x v="0"/>
    <x v="6"/>
    <x v="0"/>
    <x v="1"/>
    <x v="1"/>
    <x v="1"/>
    <x v="0"/>
    <x v="22"/>
    <x v="14"/>
    <x v="138"/>
  </r>
  <r>
    <x v="992"/>
    <x v="28"/>
    <x v="0"/>
    <x v="0"/>
    <x v="0"/>
    <x v="17"/>
    <x v="0"/>
    <x v="6"/>
    <x v="0"/>
    <x v="0"/>
    <x v="19"/>
    <x v="2"/>
    <x v="7"/>
    <x v="4"/>
    <x v="185"/>
    <x v="190"/>
  </r>
  <r>
    <x v="993"/>
    <x v="28"/>
    <x v="0"/>
    <x v="0"/>
    <x v="0"/>
    <x v="18"/>
    <x v="0"/>
    <x v="6"/>
    <x v="0"/>
    <x v="0"/>
    <x v="11"/>
    <x v="2"/>
    <x v="5"/>
    <x v="4"/>
    <x v="128"/>
    <x v="142"/>
  </r>
  <r>
    <x v="994"/>
    <x v="28"/>
    <x v="0"/>
    <x v="0"/>
    <x v="0"/>
    <x v="19"/>
    <x v="0"/>
    <x v="6"/>
    <x v="1"/>
    <x v="0"/>
    <x v="19"/>
    <x v="2"/>
    <x v="7"/>
    <x v="2"/>
    <x v="174"/>
    <x v="70"/>
  </r>
  <r>
    <x v="995"/>
    <x v="28"/>
    <x v="0"/>
    <x v="0"/>
    <x v="0"/>
    <x v="20"/>
    <x v="0"/>
    <x v="6"/>
    <x v="1"/>
    <x v="0"/>
    <x v="11"/>
    <x v="56"/>
    <x v="5"/>
    <x v="5"/>
    <x v="124"/>
    <x v="69"/>
  </r>
  <r>
    <x v="996"/>
    <x v="28"/>
    <x v="0"/>
    <x v="0"/>
    <x v="0"/>
    <x v="21"/>
    <x v="0"/>
    <x v="6"/>
    <x v="1"/>
    <x v="1"/>
    <x v="11"/>
    <x v="2"/>
    <x v="7"/>
    <x v="5"/>
    <x v="77"/>
    <x v="154"/>
  </r>
  <r>
    <x v="997"/>
    <x v="28"/>
    <x v="0"/>
    <x v="0"/>
    <x v="0"/>
    <x v="22"/>
    <x v="0"/>
    <x v="6"/>
    <x v="0"/>
    <x v="0"/>
    <x v="12"/>
    <x v="55"/>
    <x v="11"/>
    <x v="3"/>
    <x v="16"/>
    <x v="132"/>
  </r>
  <r>
    <x v="998"/>
    <x v="28"/>
    <x v="0"/>
    <x v="0"/>
    <x v="0"/>
    <x v="23"/>
    <x v="0"/>
    <x v="6"/>
    <x v="0"/>
    <x v="0"/>
    <x v="11"/>
    <x v="54"/>
    <x v="6"/>
    <x v="5"/>
    <x v="97"/>
    <x v="84"/>
  </r>
  <r>
    <x v="999"/>
    <x v="29"/>
    <x v="0"/>
    <x v="0"/>
    <x v="0"/>
    <x v="0"/>
    <x v="0"/>
    <x v="0"/>
    <x v="0"/>
    <x v="1"/>
    <x v="13"/>
    <x v="26"/>
    <x v="11"/>
    <x v="4"/>
    <x v="1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39E0EA-93A0-4E18-A70F-F2B6F4905FFF}" name="PivotTable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0" firstHeaderRow="1" firstDataRow="1" firstDataCol="1"/>
  <pivotFields count="16">
    <pivotField showAll="0"/>
    <pivotField axis="axisRow" showAll="0">
      <items count="4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5"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8BFD33-90B2-4E43-8F8A-25D55534D20A}" name="PivotTable4"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Sharing_Complete_Project (1) NIKI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49246-4ACB-43C2-99B2-C134123D156B}" name="PivotTable5"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6">
    <pivotField showAll="0"/>
    <pivotField showAll="0"/>
    <pivotField showAll="0"/>
    <pivotField showAll="0"/>
    <pivotField showAll="0"/>
    <pivotField showAll="0"/>
    <pivotField showAll="0">
      <items count="3">
        <item x="0"/>
        <item x="1"/>
        <item t="default"/>
      </items>
    </pivotField>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s>
  <rowFields count="1">
    <field x="7"/>
  </rowFields>
  <rowItems count="8">
    <i>
      <x/>
    </i>
    <i>
      <x v="1"/>
    </i>
    <i>
      <x v="2"/>
    </i>
    <i>
      <x v="3"/>
    </i>
    <i>
      <x v="4"/>
    </i>
    <i>
      <x v="5"/>
    </i>
    <i>
      <x v="6"/>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6EBCE-865B-4B77-B84E-B3D2E04C7CA6}" name="PivotTable6"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8" firstHeaderRow="1" firstDataRow="1" firstDataCol="1"/>
  <pivotFields count="16">
    <pivotField showAll="0"/>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50914A-9166-41A3-839A-61010561ACD4}" name="PivotTable23"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cnt" fld="1" baseField="0" baseItem="0"/>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Sharing_Complete_Project (1) NIKI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22DF38-1B83-421D-B7AD-7E184FD40099}" name="PivotTable25"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cnt" fld="15" baseField="0" baseItem="0"/>
  </dataFields>
  <formats count="12">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dataOnly="0" outline="0" axis="axisValues"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11B7B5-77E0-471C-8EE0-E87B5C75D160}" autoFormatId="16" applyNumberFormats="0" applyBorderFormats="0" applyFontFormats="0" applyPatternFormats="0" applyAlignmentFormats="0" applyWidthHeightFormats="0">
  <queryTableRefresh nextId="18">
    <queryTableFields count="16">
      <queryTableField id="1" name="instant" tableColumnId="1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2" name="Table2.atemp" tableColumnId="13"/>
      <queryTableField id="13" name="Table2.hum" tableColumnId="14"/>
      <queryTableField id="14" name="Table2.windspeed" tableColumnId="15"/>
      <queryTableField id="15" name="Table2.casual" tableColumnId="16"/>
      <queryTableField id="16" name="Table2.registered" tableColumnId="17"/>
      <queryTableField id="17" name="Table2.cnt" tableColumnId="18"/>
    </queryTableFields>
    <queryTableDeletedFields count="1">
      <deletedField name="Table2.insta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F8E39CCA-7155-4667-A6F4-48D3C0B300FB}" sourceName="[Table1].[Weather type]">
  <pivotTables>
    <pivotTable tabId="9" name="PivotTable4"/>
  </pivotTables>
  <data>
    <olap pivotCacheId="103710382">
      <levels count="2">
        <level uniqueName="[Table1].[Weather type].[(All)]" sourceCaption="(All)" count="0"/>
        <level uniqueName="[Table1].[Weather type].[Weather type]" sourceCaption="Weather type" count="4">
          <ranges>
            <range startItem="0">
              <i n="[Table1].[Weather type].&amp;[Clear]" c="Clear"/>
              <i n="[Table1].[Weather type].&amp;[Heavy Rain/Ice]" c="Heavy Rain/Ice"/>
              <i n="[Table1].[Weather type].&amp;[Light Rain/Snow]" c="Light Rain/Snow"/>
              <i n="[Table1].[Weather type].&amp;[Mist/Cloudy]" c="Mist/Cloudy"/>
            </range>
          </ranges>
        </level>
      </levels>
      <selections count="1">
        <selection n="[Table1].[Weath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9AFD7F59-0485-4C32-8DD8-92AD16C62E31}" sourceName="weekday">
  <pivotTables>
    <pivotTable tabId="11" name="PivotTable5"/>
  </pivotTables>
  <data>
    <tabular pivotCacheId="508220720">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391C8D99-EC4D-4AD5-ABA0-1FD48BF719E9}" sourceName="hr">
  <pivotTables>
    <pivotTable tabId="12" name="PivotTable6"/>
  </pivotTables>
  <data>
    <tabular pivotCacheId="508220720">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category" xr10:uid="{DEF25B9D-6F59-4F24-A812-12EFB71F0CF7}" sourceName="[Table1].[Temperature category]">
  <pivotTables>
    <pivotTable tabId="26" name="PivotTable23"/>
  </pivotTables>
  <data>
    <olap pivotCacheId="103710382">
      <levels count="2">
        <level uniqueName="[Table1].[Temperature category].[(All)]" sourceCaption="(All)" count="0"/>
        <level uniqueName="[Table1].[Temperature category].[Temperature category]" sourceCaption="Temperature category" count="2">
          <ranges>
            <range startItem="0">
              <i n="[Table1].[Temperature category].&amp;[Cold]" c="Cold"/>
              <i n="[Table1].[Temperature category].&amp;[Warm]" c="Warm"/>
            </range>
          </ranges>
        </level>
      </levels>
      <selections count="1">
        <selection n="[Table1].[Temperature 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7F73DE68-5214-4DFC-90D9-9276B78CCAF9}" sourceName="dteday">
  <pivotTables>
    <pivotTable tabId="7" name="PivotTable1"/>
  </pivotTables>
  <data>
    <tabular pivotCacheId="508220720">
      <items count="46">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type" xr10:uid="{4D2F488B-E25E-4EC7-9DD7-BBFAEE02211C}" cache="Slicer_Weather_type" caption="Weather type" level="1" rowHeight="234950"/>
  <slicer name="weekday" xr10:uid="{8496236D-62CF-4F55-BB43-EBE4744EEDE1}" cache="Slicer_weekday" caption="weekday" rowHeight="234950"/>
  <slicer name="hr" xr10:uid="{96A1965E-75EA-46F2-AF59-0708031C9F57}" cache="Slicer_hr" caption="hr" startItem="14" rowHeight="234950"/>
  <slicer name="Temperature category" xr10:uid="{3464E3AF-F6C6-4B13-8A6F-4B832FA03F2E}" cache="Slicer_Temperature_category" caption="Temperature category" level="1" rowHeight="234950"/>
  <slicer name="dteday" xr10:uid="{976952AA-F80D-4D68-A495-0175E395B548}" cache="Slicer_dteday" caption="dteda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DAEB6B-4609-45A0-93C0-51D71058AD55}" name="Table1" displayName="Table1" ref="A1:T1001" totalsRowShown="0" headerRowDxfId="65" headerRowBorderDxfId="66" tableBorderDxfId="67">
  <autoFilter ref="A1:T1001" xr:uid="{CDDAEB6B-4609-45A0-93C0-51D71058AD55}"/>
  <tableColumns count="20">
    <tableColumn id="1" xr3:uid="{5EE8362C-2390-468F-82AC-27FA07BDB13E}" name="instant"/>
    <tableColumn id="2" xr3:uid="{901363F4-EDB8-4E9B-9698-58197A99038A}" name="dteday"/>
    <tableColumn id="3" xr3:uid="{C57CA541-3147-4BF4-85C3-DEB0D97AD0E9}" name="season"/>
    <tableColumn id="4" xr3:uid="{023BB709-186B-4911-9AC0-446ACB6ADFC3}" name="yr"/>
    <tableColumn id="5" xr3:uid="{4BF6FF39-7782-4EEF-BE3E-1E4761910808}" name="mnth"/>
    <tableColumn id="6" xr3:uid="{7BC35F45-965A-4668-ABFB-1192EA65B93E}" name="hr"/>
    <tableColumn id="7" xr3:uid="{E08F216E-7DF9-4E29-8A93-1CCCD8B27B2E}" name="holiday"/>
    <tableColumn id="8" xr3:uid="{89FC4AFD-4F65-49A9-B060-C7B8F3A858D5}" name="weekday"/>
    <tableColumn id="9" xr3:uid="{87EEE542-9699-43AD-B323-D683C99170E9}" name="weathersit"/>
    <tableColumn id="10" xr3:uid="{A0405748-8E3F-42E4-B1E8-62F23F3E3D00}" name="temp"/>
    <tableColumn id="11" xr3:uid="{7159D36B-C76B-478B-AEFC-D394424CBA34}" name="atemp"/>
    <tableColumn id="12" xr3:uid="{5797CEC7-728B-442D-83D6-8435C7E2E4DD}" name="hum"/>
    <tableColumn id="13" xr3:uid="{230560BD-773B-4778-A5C4-4D6D7FE34658}" name="windspeed"/>
    <tableColumn id="14" xr3:uid="{0AA14324-E34D-4FF8-AC95-E3859CE81358}" name="casual"/>
    <tableColumn id="15" xr3:uid="{F1070C0E-1558-49D4-84EE-936D2A59220C}" name="registered"/>
    <tableColumn id="16" xr3:uid="{29E3F466-5B7F-43B4-8AC1-CEEC48488A78}" name="cnt"/>
    <tableColumn id="17" xr3:uid="{AFFF5BA7-5679-4F7B-8098-C4E74C615D1F}" name="Day type" dataDxfId="15">
      <calculatedColumnFormula>IF(G2=TRUE,"Holiday",IF(H2=0,"Weekend","Weekday"))</calculatedColumnFormula>
    </tableColumn>
    <tableColumn id="19" xr3:uid="{B0670842-350C-4EDA-9AC8-B1EB28A37D16}" name="Demand level" dataDxfId="14">
      <calculatedColumnFormula>IF(P2&lt;50,"Low",IF(P2&lt;150,"Medium","High"))</calculatedColumnFormula>
    </tableColumn>
    <tableColumn id="20" xr3:uid="{ABB3DF52-27F9-4F00-93E2-A9B9A7E80A63}" name="Weather type" dataDxfId="13">
      <calculatedColumnFormula>IF(I2=1,"Clear",IF(I2=2,"Mist/Cloudy",IF(I2=3,"Light Rain/Snow","Heavy Rain/Ice")))</calculatedColumnFormula>
    </tableColumn>
    <tableColumn id="21" xr3:uid="{AC09C7F5-12FC-4E2A-A950-37A6A7C00FC9}" name="Temperature category" dataDxfId="12">
      <calculatedColumnFormula>IF(J2&lt;0.3,"Cold","Warm")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0A2F6B-1214-4936-813B-DAF910E110ED}" name="Merge5" displayName="Merge5" ref="A1:P612" tableType="queryTable" totalsRowShown="0">
  <autoFilter ref="A1:P612" xr:uid="{BD0A2F6B-1214-4936-813B-DAF910E110ED}"/>
  <tableColumns count="16">
    <tableColumn id="11" xr3:uid="{1DB7E3D4-C371-4FD7-843C-48DE1DEDE12B}" uniqueName="11" name="instant" queryTableFieldId="1"/>
    <tableColumn id="2" xr3:uid="{8FC58D2E-9EA9-4F9A-A3E4-62259E48784A}" uniqueName="2" name="dteday" queryTableFieldId="2" dataDxfId="16"/>
    <tableColumn id="3" xr3:uid="{D5B76EB7-998A-456A-B528-EDCDE8D971E0}" uniqueName="3" name="season" queryTableFieldId="3"/>
    <tableColumn id="4" xr3:uid="{6E0D778C-F809-4A4C-83B6-60B9534D1DF1}" uniqueName="4" name="yr" queryTableFieldId="4"/>
    <tableColumn id="5" xr3:uid="{1222D281-0987-42BE-B2F0-E38ED2F4D393}" uniqueName="5" name="mnth" queryTableFieldId="5"/>
    <tableColumn id="6" xr3:uid="{9609C542-51A8-4773-81BA-15044B6BB95D}" uniqueName="6" name="hr" queryTableFieldId="6"/>
    <tableColumn id="7" xr3:uid="{3A4C4EB0-4621-471A-95A9-168AC82D923A}" uniqueName="7" name="holiday" queryTableFieldId="7"/>
    <tableColumn id="8" xr3:uid="{A170F73C-CCAA-4C0A-AB4D-A99E464EBCB8}" uniqueName="8" name="weekday" queryTableFieldId="8"/>
    <tableColumn id="9" xr3:uid="{FBEA8217-0CC6-48F2-B620-6B97B763BEF0}" uniqueName="9" name="weathersit" queryTableFieldId="9"/>
    <tableColumn id="10" xr3:uid="{63A0D6D0-647B-4D96-A060-FD1AD5E8CB8F}" uniqueName="10" name="temp" queryTableFieldId="10"/>
    <tableColumn id="13" xr3:uid="{EA1AA4F1-8450-4898-9A1D-3366CA491635}" uniqueName="13" name="       atemp" queryTableFieldId="12"/>
    <tableColumn id="14" xr3:uid="{32E5E19C-524C-4613-BFF8-81B2E128C81B}" uniqueName="14" name="        hum" queryTableFieldId="13"/>
    <tableColumn id="15" xr3:uid="{48B5DF60-15AF-4647-9275-2DA65683C652}" uniqueName="15" name="   windspeed" queryTableFieldId="14"/>
    <tableColumn id="16" xr3:uid="{1DEAFED5-B597-49F7-82EE-9D3EF2DCD49A}" uniqueName="16" name="      casual" queryTableFieldId="15"/>
    <tableColumn id="17" xr3:uid="{55E0532A-9348-4885-BF03-5F3F443F446B}" uniqueName="17" name="    registered" queryTableFieldId="16"/>
    <tableColumn id="18" xr3:uid="{D5F03AB9-E173-4C56-B101-FEABAE3FC5F6}" uniqueName="18" name="           cnt" queryTableFieldId="1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CD7236-747E-4990-93FE-4BDEF729A8A4}" name="Table13" displayName="Table13" ref="A1:J611" totalsRowShown="0" headerRowDxfId="64" dataDxfId="63">
  <autoFilter ref="A1:J611" xr:uid="{E4CD7236-747E-4990-93FE-4BDEF729A8A4}"/>
  <tableColumns count="10">
    <tableColumn id="1" xr3:uid="{92069A7E-A5A4-470C-95DC-BBF50D332A36}" name="instant" dataDxfId="62"/>
    <tableColumn id="2" xr3:uid="{C76F0F8B-AA44-4306-81F1-9797E0230543}" name="dteday" dataDxfId="61"/>
    <tableColumn id="3" xr3:uid="{0FBC79C7-1722-47E6-8827-ABB8E79CD529}" name="season" dataDxfId="60"/>
    <tableColumn id="4" xr3:uid="{63CABDC3-342D-4840-A2FE-659FA4511A2E}" name="yr" dataDxfId="59"/>
    <tableColumn id="5" xr3:uid="{57A40101-B56B-4EDA-9D66-F2B81F95C5C4}" name="mnth" dataDxfId="58"/>
    <tableColumn id="6" xr3:uid="{3AD60029-BCAE-4A78-945B-3A221CFDC8A6}" name="hr" dataDxfId="57"/>
    <tableColumn id="7" xr3:uid="{4AB7EA3A-A668-402D-B937-1926021E8534}" name="holiday" dataDxfId="56"/>
    <tableColumn id="8" xr3:uid="{2C143C2F-A4B0-42ED-98CA-21CBB5815978}" name="weekday" dataDxfId="55"/>
    <tableColumn id="9" xr3:uid="{57F9F3CC-CA9E-431E-B7F7-89DBAC3C9AEB}" name="weathersit" dataDxfId="54"/>
    <tableColumn id="10" xr3:uid="{C0A60369-D17D-4DCF-B46C-F1B9BBF329DD}" name="temp" dataDxfId="5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50554-578A-48AB-AF37-E35FE8FBEC4D}" name="Table2" displayName="Table2" ref="A1:H612" totalsRowCount="1" headerRowDxfId="52" dataDxfId="51">
  <autoFilter ref="A1:H611" xr:uid="{F2750554-578A-48AB-AF37-E35FE8FBEC4D}"/>
  <tableColumns count="8">
    <tableColumn id="1" xr3:uid="{76C99286-94B2-4AE7-A896-7F61CBB54ACB}" name="Unnamed: 0" dataDxfId="49" totalsRowDxfId="50"/>
    <tableColumn id="2" xr3:uid="{A39E0B04-9DA7-45B2-8247-A0B903062884}" name="instant" dataDxfId="47" totalsRowDxfId="48"/>
    <tableColumn id="3" xr3:uid="{2EF7A1BE-59CB-41A3-A262-CB2D0D8E2D85}" name="atemp" totalsRowFunction="average" dataDxfId="45" totalsRowDxfId="46"/>
    <tableColumn id="4" xr3:uid="{3F190FDC-7BEF-46EB-9D92-B306DF3070AA}" name="hum" dataDxfId="43" totalsRowDxfId="44"/>
    <tableColumn id="5" xr3:uid="{5187B153-8AD6-49BF-85E7-28AE4BCF8773}" name="windspeed" dataDxfId="41" totalsRowDxfId="42"/>
    <tableColumn id="6" xr3:uid="{AD988375-AE80-4AEA-B586-2F92ECBAF887}" name="casual" dataDxfId="39" totalsRowDxfId="40"/>
    <tableColumn id="7" xr3:uid="{5B5DEF63-BDFA-4051-B834-F8BAC624EF93}" name="registered" dataDxfId="37" totalsRowDxfId="38"/>
    <tableColumn id="8" xr3:uid="{E697D690-96DE-4EAC-AAE2-9FAF008FE90F}" name="cnt" dataDxfId="35" totalsRowDxfId="3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0C904A-5DDD-4813-B3F9-2AC87BB8A42B}" name="Table3" displayName="Table3" ref="A1:P391" totalsRowShown="0" headerRowDxfId="34" dataDxfId="33">
  <autoFilter ref="A1:P391" xr:uid="{140C904A-5DDD-4813-B3F9-2AC87BB8A42B}"/>
  <tableColumns count="16">
    <tableColumn id="1" xr3:uid="{A5E5D121-F879-4389-81BD-19CF22AF3D2D}" name="instant" dataDxfId="32"/>
    <tableColumn id="2" xr3:uid="{D575048C-D3DE-4D38-BE6E-F41F2714DA8F}" name="dteday" dataDxfId="31"/>
    <tableColumn id="3" xr3:uid="{EE190F13-F926-42B3-9F57-446078307278}" name="season" dataDxfId="30"/>
    <tableColumn id="4" xr3:uid="{5053D5CC-F436-4A72-B4C4-24768FA06A7F}" name="yr" dataDxfId="29"/>
    <tableColumn id="5" xr3:uid="{22642C0F-4AFF-426A-A9E9-369A61D5D694}" name="mnth" dataDxfId="28"/>
    <tableColumn id="6" xr3:uid="{6038C4DB-31C5-4A85-8E1A-3783BB5F58CB}" name="hr" dataDxfId="27"/>
    <tableColumn id="7" xr3:uid="{5A5353BF-8BCE-4F37-9D1A-D125D5AF024C}" name="holiday" dataDxfId="26"/>
    <tableColumn id="8" xr3:uid="{4920DA2D-A7ED-4DE3-A1E5-5267D609561B}" name="weekday" dataDxfId="25"/>
    <tableColumn id="9" xr3:uid="{E5A5BA52-9438-400B-A0F2-E8995DA8B9D1}" name="weathersit" dataDxfId="24"/>
    <tableColumn id="10" xr3:uid="{BFCCB7D1-A7BD-45C2-B670-8B3645E95931}" name="temp" dataDxfId="23"/>
    <tableColumn id="11" xr3:uid="{702C24A8-4C40-427B-A985-A1392A813A2B}" name="atemp" dataDxfId="22"/>
    <tableColumn id="12" xr3:uid="{D7765FB9-D601-4FA4-9CDA-CC4F92426841}" name="hum" dataDxfId="21"/>
    <tableColumn id="13" xr3:uid="{EF6468D5-B398-413D-AB70-D22EBB3B94C6}" name="windspeed" dataDxfId="20"/>
    <tableColumn id="14" xr3:uid="{A9563637-3B4B-402D-A754-DEBEF11F55D9}" name="casual" dataDxfId="19"/>
    <tableColumn id="15" xr3:uid="{A7B80823-D3EB-4AAC-A4D0-40059F2DD83F}" name="registered" dataDxfId="18"/>
    <tableColumn id="16" xr3:uid="{B0D6691F-A623-4C76-B44D-8BF2817AAC8E}" name="cnt" dataDxfId="1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0F00-24FC-4C4D-A760-F71DEC14B481}">
  <dimension ref="A3:B50"/>
  <sheetViews>
    <sheetView tabSelected="1" workbookViewId="0">
      <selection activeCell="R20" sqref="R20"/>
    </sheetView>
  </sheetViews>
  <sheetFormatPr defaultRowHeight="14.4" x14ac:dyDescent="0.3"/>
  <cols>
    <col min="1" max="1" width="12.5546875" bestFit="1" customWidth="1"/>
    <col min="2" max="2" width="10.109375" bestFit="1" customWidth="1"/>
  </cols>
  <sheetData>
    <row r="3" spans="1:2" x14ac:dyDescent="0.3">
      <c r="A3" s="7" t="s">
        <v>68</v>
      </c>
      <c r="B3" t="s">
        <v>70</v>
      </c>
    </row>
    <row r="4" spans="1:2" x14ac:dyDescent="0.3">
      <c r="A4" s="8" t="s">
        <v>16</v>
      </c>
      <c r="B4" s="10">
        <v>969</v>
      </c>
    </row>
    <row r="5" spans="1:2" x14ac:dyDescent="0.3">
      <c r="A5" s="8" t="s">
        <v>17</v>
      </c>
      <c r="B5" s="10">
        <v>801</v>
      </c>
    </row>
    <row r="6" spans="1:2" x14ac:dyDescent="0.3">
      <c r="A6" s="8" t="s">
        <v>18</v>
      </c>
      <c r="B6" s="10">
        <v>1349</v>
      </c>
    </row>
    <row r="7" spans="1:2" x14ac:dyDescent="0.3">
      <c r="A7" s="8" t="s">
        <v>19</v>
      </c>
      <c r="B7" s="10">
        <v>1562</v>
      </c>
    </row>
    <row r="8" spans="1:2" x14ac:dyDescent="0.3">
      <c r="A8" s="8" t="s">
        <v>20</v>
      </c>
      <c r="B8" s="10">
        <v>1600</v>
      </c>
    </row>
    <row r="9" spans="1:2" x14ac:dyDescent="0.3">
      <c r="A9" s="8" t="s">
        <v>21</v>
      </c>
      <c r="B9" s="10">
        <v>1606</v>
      </c>
    </row>
    <row r="10" spans="1:2" x14ac:dyDescent="0.3">
      <c r="A10" s="8" t="s">
        <v>22</v>
      </c>
      <c r="B10" s="10">
        <v>1510</v>
      </c>
    </row>
    <row r="11" spans="1:2" x14ac:dyDescent="0.3">
      <c r="A11" s="8" t="s">
        <v>23</v>
      </c>
      <c r="B11" s="10">
        <v>959</v>
      </c>
    </row>
    <row r="12" spans="1:2" x14ac:dyDescent="0.3">
      <c r="A12" s="8" t="s">
        <v>24</v>
      </c>
      <c r="B12" s="10">
        <v>822</v>
      </c>
    </row>
    <row r="13" spans="1:2" x14ac:dyDescent="0.3">
      <c r="A13" s="8" t="s">
        <v>25</v>
      </c>
      <c r="B13" s="10">
        <v>1321</v>
      </c>
    </row>
    <row r="14" spans="1:2" x14ac:dyDescent="0.3">
      <c r="A14" s="8" t="s">
        <v>26</v>
      </c>
      <c r="B14" s="10">
        <v>1263</v>
      </c>
    </row>
    <row r="15" spans="1:2" x14ac:dyDescent="0.3">
      <c r="A15" s="8" t="s">
        <v>27</v>
      </c>
      <c r="B15" s="10">
        <v>1162</v>
      </c>
    </row>
    <row r="16" spans="1:2" x14ac:dyDescent="0.3">
      <c r="A16" s="8" t="s">
        <v>28</v>
      </c>
      <c r="B16" s="10">
        <v>1406</v>
      </c>
    </row>
    <row r="17" spans="1:2" x14ac:dyDescent="0.3">
      <c r="A17" s="8" t="s">
        <v>29</v>
      </c>
      <c r="B17" s="10">
        <v>1421</v>
      </c>
    </row>
    <row r="18" spans="1:2" x14ac:dyDescent="0.3">
      <c r="A18" s="8" t="s">
        <v>30</v>
      </c>
      <c r="B18" s="10">
        <v>1248</v>
      </c>
    </row>
    <row r="19" spans="1:2" x14ac:dyDescent="0.3">
      <c r="A19" s="8" t="s">
        <v>31</v>
      </c>
      <c r="B19" s="10">
        <v>1204</v>
      </c>
    </row>
    <row r="20" spans="1:2" x14ac:dyDescent="0.3">
      <c r="A20" s="8" t="s">
        <v>32</v>
      </c>
      <c r="B20" s="10">
        <v>1000</v>
      </c>
    </row>
    <row r="21" spans="1:2" x14ac:dyDescent="0.3">
      <c r="A21" s="8" t="s">
        <v>33</v>
      </c>
      <c r="B21" s="10">
        <v>683</v>
      </c>
    </row>
    <row r="22" spans="1:2" x14ac:dyDescent="0.3">
      <c r="A22" s="8" t="s">
        <v>34</v>
      </c>
      <c r="B22" s="10">
        <v>1650</v>
      </c>
    </row>
    <row r="23" spans="1:2" x14ac:dyDescent="0.3">
      <c r="A23" s="8" t="s">
        <v>35</v>
      </c>
      <c r="B23" s="10">
        <v>1927</v>
      </c>
    </row>
    <row r="24" spans="1:2" x14ac:dyDescent="0.3">
      <c r="A24" s="8" t="s">
        <v>36</v>
      </c>
      <c r="B24" s="10">
        <v>1543</v>
      </c>
    </row>
    <row r="25" spans="1:2" x14ac:dyDescent="0.3">
      <c r="A25" s="8" t="s">
        <v>37</v>
      </c>
      <c r="B25" s="10">
        <v>981</v>
      </c>
    </row>
    <row r="26" spans="1:2" x14ac:dyDescent="0.3">
      <c r="A26" s="8" t="s">
        <v>38</v>
      </c>
      <c r="B26" s="10">
        <v>986</v>
      </c>
    </row>
    <row r="27" spans="1:2" x14ac:dyDescent="0.3">
      <c r="A27" s="8" t="s">
        <v>39</v>
      </c>
      <c r="B27" s="10">
        <v>1416</v>
      </c>
    </row>
    <row r="28" spans="1:2" x14ac:dyDescent="0.3">
      <c r="A28" s="8" t="s">
        <v>40</v>
      </c>
      <c r="B28" s="10">
        <v>1985</v>
      </c>
    </row>
    <row r="29" spans="1:2" x14ac:dyDescent="0.3">
      <c r="A29" s="8" t="s">
        <v>41</v>
      </c>
      <c r="B29" s="10">
        <v>506</v>
      </c>
    </row>
    <row r="30" spans="1:2" x14ac:dyDescent="0.3">
      <c r="A30" s="8" t="s">
        <v>42</v>
      </c>
      <c r="B30" s="10">
        <v>431</v>
      </c>
    </row>
    <row r="31" spans="1:2" x14ac:dyDescent="0.3">
      <c r="A31" s="8" t="s">
        <v>43</v>
      </c>
      <c r="B31" s="10">
        <v>1167</v>
      </c>
    </row>
    <row r="32" spans="1:2" x14ac:dyDescent="0.3">
      <c r="A32" s="8" t="s">
        <v>44</v>
      </c>
      <c r="B32" s="10">
        <v>1098</v>
      </c>
    </row>
    <row r="33" spans="1:2" x14ac:dyDescent="0.3">
      <c r="A33" s="8" t="s">
        <v>45</v>
      </c>
      <c r="B33" s="10">
        <v>1096</v>
      </c>
    </row>
    <row r="34" spans="1:2" x14ac:dyDescent="0.3">
      <c r="A34" s="8" t="s">
        <v>46</v>
      </c>
      <c r="B34" s="10">
        <v>1501</v>
      </c>
    </row>
    <row r="35" spans="1:2" x14ac:dyDescent="0.3">
      <c r="A35" s="8" t="s">
        <v>47</v>
      </c>
      <c r="B35" s="10">
        <v>1360</v>
      </c>
    </row>
    <row r="36" spans="1:2" x14ac:dyDescent="0.3">
      <c r="A36" s="8" t="s">
        <v>48</v>
      </c>
      <c r="B36" s="10">
        <v>1526</v>
      </c>
    </row>
    <row r="37" spans="1:2" x14ac:dyDescent="0.3">
      <c r="A37" s="8" t="s">
        <v>49</v>
      </c>
      <c r="B37" s="10">
        <v>1550</v>
      </c>
    </row>
    <row r="38" spans="1:2" x14ac:dyDescent="0.3">
      <c r="A38" s="8" t="s">
        <v>50</v>
      </c>
      <c r="B38" s="10">
        <v>1708</v>
      </c>
    </row>
    <row r="39" spans="1:2" x14ac:dyDescent="0.3">
      <c r="A39" s="8" t="s">
        <v>51</v>
      </c>
      <c r="B39" s="10">
        <v>1005</v>
      </c>
    </row>
    <row r="40" spans="1:2" x14ac:dyDescent="0.3">
      <c r="A40" s="8" t="s">
        <v>52</v>
      </c>
      <c r="B40" s="10">
        <v>1623</v>
      </c>
    </row>
    <row r="41" spans="1:2" x14ac:dyDescent="0.3">
      <c r="A41" s="8" t="s">
        <v>53</v>
      </c>
      <c r="B41" s="10">
        <v>1712</v>
      </c>
    </row>
    <row r="42" spans="1:2" x14ac:dyDescent="0.3">
      <c r="A42" s="8" t="s">
        <v>54</v>
      </c>
      <c r="B42" s="10">
        <v>1530</v>
      </c>
    </row>
    <row r="43" spans="1:2" x14ac:dyDescent="0.3">
      <c r="A43" s="8" t="s">
        <v>55</v>
      </c>
      <c r="B43" s="10">
        <v>1605</v>
      </c>
    </row>
    <row r="44" spans="1:2" x14ac:dyDescent="0.3">
      <c r="A44" s="8" t="s">
        <v>56</v>
      </c>
      <c r="B44" s="10">
        <v>1538</v>
      </c>
    </row>
    <row r="45" spans="1:2" x14ac:dyDescent="0.3">
      <c r="A45" s="8" t="s">
        <v>57</v>
      </c>
      <c r="B45" s="10">
        <v>1746</v>
      </c>
    </row>
    <row r="46" spans="1:2" x14ac:dyDescent="0.3">
      <c r="A46" s="8" t="s">
        <v>58</v>
      </c>
      <c r="B46" s="10">
        <v>1472</v>
      </c>
    </row>
    <row r="47" spans="1:2" x14ac:dyDescent="0.3">
      <c r="A47" s="8" t="s">
        <v>59</v>
      </c>
      <c r="B47" s="10">
        <v>1589</v>
      </c>
    </row>
    <row r="48" spans="1:2" x14ac:dyDescent="0.3">
      <c r="A48" s="8" t="s">
        <v>60</v>
      </c>
      <c r="B48" s="10">
        <v>151</v>
      </c>
    </row>
    <row r="49" spans="1:2" x14ac:dyDescent="0.3">
      <c r="A49" s="9">
        <v>40544</v>
      </c>
      <c r="B49" s="10">
        <v>16</v>
      </c>
    </row>
    <row r="50" spans="1:2" x14ac:dyDescent="0.3">
      <c r="A50" s="8" t="s">
        <v>69</v>
      </c>
      <c r="B50" s="10">
        <v>58304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C4CA-BC48-4186-A875-5231B8BF595D}">
  <dimension ref="A3:B8"/>
  <sheetViews>
    <sheetView workbookViewId="0">
      <selection activeCell="S20" sqref="S20"/>
    </sheetView>
  </sheetViews>
  <sheetFormatPr defaultRowHeight="14.4" x14ac:dyDescent="0.3"/>
  <cols>
    <col min="1" max="1" width="14.21875" bestFit="1" customWidth="1"/>
    <col min="2" max="2" width="10.109375" bestFit="1" customWidth="1"/>
  </cols>
  <sheetData>
    <row r="3" spans="1:2" x14ac:dyDescent="0.3">
      <c r="A3" s="7" t="s">
        <v>68</v>
      </c>
      <c r="B3" t="s">
        <v>70</v>
      </c>
    </row>
    <row r="4" spans="1:2" x14ac:dyDescent="0.3">
      <c r="A4" s="8" t="s">
        <v>74</v>
      </c>
      <c r="B4" s="10">
        <v>37373</v>
      </c>
    </row>
    <row r="5" spans="1:2" x14ac:dyDescent="0.3">
      <c r="A5" s="8" t="s">
        <v>75</v>
      </c>
      <c r="B5" s="10">
        <v>36</v>
      </c>
    </row>
    <row r="6" spans="1:2" x14ac:dyDescent="0.3">
      <c r="A6" s="8" t="s">
        <v>76</v>
      </c>
      <c r="B6" s="10">
        <v>2789</v>
      </c>
    </row>
    <row r="7" spans="1:2" x14ac:dyDescent="0.3">
      <c r="A7" s="8" t="s">
        <v>77</v>
      </c>
      <c r="B7" s="10">
        <v>18106</v>
      </c>
    </row>
    <row r="8" spans="1:2" x14ac:dyDescent="0.3">
      <c r="A8" s="8" t="s">
        <v>69</v>
      </c>
      <c r="B8" s="10">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5361-E908-4F04-9529-F1E9024EB498}">
  <dimension ref="A3:B11"/>
  <sheetViews>
    <sheetView workbookViewId="0">
      <selection activeCell="S20" sqref="S20"/>
    </sheetView>
  </sheetViews>
  <sheetFormatPr defaultRowHeight="14.4" x14ac:dyDescent="0.3"/>
  <cols>
    <col min="1" max="1" width="12.5546875" bestFit="1" customWidth="1"/>
    <col min="2" max="2" width="10.109375" bestFit="1" customWidth="1"/>
  </cols>
  <sheetData>
    <row r="3" spans="1:2" x14ac:dyDescent="0.3">
      <c r="A3" s="7" t="s">
        <v>68</v>
      </c>
      <c r="B3" t="s">
        <v>70</v>
      </c>
    </row>
    <row r="4" spans="1:2" x14ac:dyDescent="0.3">
      <c r="A4" s="8">
        <v>0</v>
      </c>
      <c r="B4" s="10">
        <v>8121</v>
      </c>
    </row>
    <row r="5" spans="1:2" x14ac:dyDescent="0.3">
      <c r="A5" s="8">
        <v>1</v>
      </c>
      <c r="B5" s="10">
        <v>8450</v>
      </c>
    </row>
    <row r="6" spans="1:2" x14ac:dyDescent="0.3">
      <c r="A6" s="8">
        <v>2</v>
      </c>
      <c r="B6" s="10">
        <v>8383</v>
      </c>
    </row>
    <row r="7" spans="1:2" x14ac:dyDescent="0.3">
      <c r="A7" s="8">
        <v>3</v>
      </c>
      <c r="B7" s="10">
        <v>8049</v>
      </c>
    </row>
    <row r="8" spans="1:2" x14ac:dyDescent="0.3">
      <c r="A8" s="8">
        <v>4</v>
      </c>
      <c r="B8" s="10">
        <v>8458</v>
      </c>
    </row>
    <row r="9" spans="1:2" x14ac:dyDescent="0.3">
      <c r="A9" s="8">
        <v>5</v>
      </c>
      <c r="B9" s="10">
        <v>9095</v>
      </c>
    </row>
    <row r="10" spans="1:2" x14ac:dyDescent="0.3">
      <c r="A10" s="8">
        <v>6</v>
      </c>
      <c r="B10" s="10">
        <v>7748</v>
      </c>
    </row>
    <row r="11" spans="1:2" x14ac:dyDescent="0.3">
      <c r="A11" s="8" t="s">
        <v>69</v>
      </c>
      <c r="B11" s="10">
        <v>58304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ECF2-E99A-4736-AF99-05E1E62D1286}">
  <dimension ref="A3:B28"/>
  <sheetViews>
    <sheetView workbookViewId="0">
      <selection activeCell="S20" sqref="S20"/>
    </sheetView>
  </sheetViews>
  <sheetFormatPr defaultRowHeight="14.4" x14ac:dyDescent="0.3"/>
  <cols>
    <col min="1" max="1" width="12.5546875" bestFit="1" customWidth="1"/>
    <col min="2" max="2" width="10.109375" bestFit="1" customWidth="1"/>
  </cols>
  <sheetData>
    <row r="3" spans="1:2" x14ac:dyDescent="0.3">
      <c r="A3" s="7" t="s">
        <v>68</v>
      </c>
      <c r="B3" t="s">
        <v>70</v>
      </c>
    </row>
    <row r="4" spans="1:2" x14ac:dyDescent="0.3">
      <c r="A4" s="8">
        <v>0</v>
      </c>
      <c r="B4" s="10">
        <v>703</v>
      </c>
    </row>
    <row r="5" spans="1:2" x14ac:dyDescent="0.3">
      <c r="A5" s="8">
        <v>1</v>
      </c>
      <c r="B5" s="10">
        <v>460</v>
      </c>
    </row>
    <row r="6" spans="1:2" x14ac:dyDescent="0.3">
      <c r="A6" s="8">
        <v>2</v>
      </c>
      <c r="B6" s="10">
        <v>294</v>
      </c>
    </row>
    <row r="7" spans="1:2" x14ac:dyDescent="0.3">
      <c r="A7" s="8">
        <v>3</v>
      </c>
      <c r="B7" s="10">
        <v>151</v>
      </c>
    </row>
    <row r="8" spans="1:2" x14ac:dyDescent="0.3">
      <c r="A8" s="8">
        <v>4</v>
      </c>
      <c r="B8" s="10">
        <v>69</v>
      </c>
    </row>
    <row r="9" spans="1:2" x14ac:dyDescent="0.3">
      <c r="A9" s="8">
        <v>5</v>
      </c>
      <c r="B9" s="10">
        <v>164</v>
      </c>
    </row>
    <row r="10" spans="1:2" x14ac:dyDescent="0.3">
      <c r="A10" s="8">
        <v>6</v>
      </c>
      <c r="B10" s="10">
        <v>822</v>
      </c>
    </row>
    <row r="11" spans="1:2" x14ac:dyDescent="0.3">
      <c r="A11" s="8">
        <v>7</v>
      </c>
      <c r="B11" s="10">
        <v>2339</v>
      </c>
    </row>
    <row r="12" spans="1:2" x14ac:dyDescent="0.3">
      <c r="A12" s="8">
        <v>8</v>
      </c>
      <c r="B12" s="10">
        <v>5388</v>
      </c>
    </row>
    <row r="13" spans="1:2" x14ac:dyDescent="0.3">
      <c r="A13" s="8">
        <v>9</v>
      </c>
      <c r="B13" s="10">
        <v>3672</v>
      </c>
    </row>
    <row r="14" spans="1:2" x14ac:dyDescent="0.3">
      <c r="A14" s="8">
        <v>10</v>
      </c>
      <c r="B14" s="10">
        <v>2253</v>
      </c>
    </row>
    <row r="15" spans="1:2" x14ac:dyDescent="0.3">
      <c r="A15" s="8">
        <v>11</v>
      </c>
      <c r="B15" s="10">
        <v>2494</v>
      </c>
    </row>
    <row r="16" spans="1:2" x14ac:dyDescent="0.3">
      <c r="A16" s="8">
        <v>12</v>
      </c>
      <c r="B16" s="10">
        <v>3283</v>
      </c>
    </row>
    <row r="17" spans="1:2" x14ac:dyDescent="0.3">
      <c r="A17" s="8">
        <v>13</v>
      </c>
      <c r="B17" s="10">
        <v>3376</v>
      </c>
    </row>
    <row r="18" spans="1:2" x14ac:dyDescent="0.3">
      <c r="A18" s="8">
        <v>14</v>
      </c>
      <c r="B18" s="10">
        <v>3200</v>
      </c>
    </row>
    <row r="19" spans="1:2" x14ac:dyDescent="0.3">
      <c r="A19" s="8">
        <v>15</v>
      </c>
      <c r="B19" s="10">
        <v>3352</v>
      </c>
    </row>
    <row r="20" spans="1:2" x14ac:dyDescent="0.3">
      <c r="A20" s="8">
        <v>16</v>
      </c>
      <c r="B20" s="10">
        <v>3928</v>
      </c>
    </row>
    <row r="21" spans="1:2" x14ac:dyDescent="0.3">
      <c r="A21" s="8">
        <v>17</v>
      </c>
      <c r="B21" s="10">
        <v>6169</v>
      </c>
    </row>
    <row r="22" spans="1:2" x14ac:dyDescent="0.3">
      <c r="A22" s="8">
        <v>18</v>
      </c>
      <c r="B22" s="10">
        <v>5283</v>
      </c>
    </row>
    <row r="23" spans="1:2" x14ac:dyDescent="0.3">
      <c r="A23" s="8">
        <v>19</v>
      </c>
      <c r="B23" s="10">
        <v>3661</v>
      </c>
    </row>
    <row r="24" spans="1:2" x14ac:dyDescent="0.3">
      <c r="A24" s="8">
        <v>20</v>
      </c>
      <c r="B24" s="10">
        <v>2656</v>
      </c>
    </row>
    <row r="25" spans="1:2" x14ac:dyDescent="0.3">
      <c r="A25" s="8">
        <v>21</v>
      </c>
      <c r="B25" s="10">
        <v>1996</v>
      </c>
    </row>
    <row r="26" spans="1:2" x14ac:dyDescent="0.3">
      <c r="A26" s="8">
        <v>22</v>
      </c>
      <c r="B26" s="10">
        <v>1508</v>
      </c>
    </row>
    <row r="27" spans="1:2" x14ac:dyDescent="0.3">
      <c r="A27" s="8">
        <v>23</v>
      </c>
      <c r="B27" s="10">
        <v>1083</v>
      </c>
    </row>
    <row r="28" spans="1:2" x14ac:dyDescent="0.3">
      <c r="A28" s="8" t="s">
        <v>69</v>
      </c>
      <c r="B28" s="10">
        <v>58304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236C-B693-4B08-878A-88C293FD89E7}">
  <dimension ref="A3:B6"/>
  <sheetViews>
    <sheetView workbookViewId="0">
      <selection activeCell="S20" sqref="S20"/>
    </sheetView>
  </sheetViews>
  <sheetFormatPr defaultRowHeight="14.4" x14ac:dyDescent="0.3"/>
  <cols>
    <col min="1" max="1" width="12.5546875" bestFit="1" customWidth="1"/>
    <col min="2" max="2" width="10.109375" bestFit="1" customWidth="1"/>
  </cols>
  <sheetData>
    <row r="3" spans="1:2" x14ac:dyDescent="0.3">
      <c r="A3" s="7" t="s">
        <v>68</v>
      </c>
      <c r="B3" t="s">
        <v>70</v>
      </c>
    </row>
    <row r="4" spans="1:2" x14ac:dyDescent="0.3">
      <c r="A4" s="8" t="s">
        <v>79</v>
      </c>
      <c r="B4" s="10">
        <v>46484</v>
      </c>
    </row>
    <row r="5" spans="1:2" x14ac:dyDescent="0.3">
      <c r="A5" s="8" t="s">
        <v>80</v>
      </c>
      <c r="B5" s="10">
        <v>11820</v>
      </c>
    </row>
    <row r="6" spans="1:2" x14ac:dyDescent="0.3">
      <c r="A6" s="8" t="s">
        <v>69</v>
      </c>
      <c r="B6" s="10">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zoomScale="75" workbookViewId="0">
      <selection activeCell="V9" sqref="V9"/>
    </sheetView>
  </sheetViews>
  <sheetFormatPr defaultRowHeight="14.4" x14ac:dyDescent="0.3"/>
  <cols>
    <col min="2" max="2" width="11.33203125" customWidth="1"/>
    <col min="7" max="7" width="9.109375" customWidth="1"/>
    <col min="8" max="8" width="10.44140625" customWidth="1"/>
    <col min="9" max="9" width="11.6640625" customWidth="1"/>
    <col min="13" max="13" width="12" customWidth="1"/>
    <col min="15" max="15" width="11.21875" customWidth="1"/>
    <col min="17" max="17" width="12.88671875" bestFit="1" customWidth="1"/>
    <col min="18" max="18" width="16.6640625" bestFit="1" customWidth="1"/>
    <col min="19" max="19" width="23" customWidth="1"/>
    <col min="20" max="20" width="26.33203125" customWidth="1"/>
  </cols>
  <sheetData>
    <row r="1" spans="1:2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71</v>
      </c>
      <c r="R1" s="2" t="s">
        <v>72</v>
      </c>
      <c r="S1" s="2" t="s">
        <v>73</v>
      </c>
      <c r="T1" s="2" t="s">
        <v>78</v>
      </c>
    </row>
    <row r="2" spans="1:22" x14ac:dyDescent="0.3">
      <c r="A2">
        <v>1</v>
      </c>
      <c r="B2" s="1">
        <v>40544</v>
      </c>
      <c r="C2">
        <v>1</v>
      </c>
      <c r="D2">
        <v>0</v>
      </c>
      <c r="E2">
        <v>1</v>
      </c>
      <c r="F2">
        <v>0</v>
      </c>
      <c r="G2" t="b">
        <v>0</v>
      </c>
      <c r="H2">
        <v>6</v>
      </c>
      <c r="I2">
        <v>1</v>
      </c>
      <c r="J2">
        <v>0.24</v>
      </c>
      <c r="K2">
        <v>0.28789999999999999</v>
      </c>
      <c r="L2">
        <v>0.81</v>
      </c>
      <c r="M2">
        <v>0</v>
      </c>
      <c r="N2">
        <v>3</v>
      </c>
      <c r="O2">
        <v>13</v>
      </c>
      <c r="P2">
        <v>16</v>
      </c>
      <c r="Q2" t="str">
        <f t="shared" ref="Q2:Q65" si="0">IF(G2=TRUE,"Holiday",IF(H2=0,"Weekend","Weekday"))</f>
        <v>Weekday</v>
      </c>
      <c r="R2" t="str">
        <f t="shared" ref="R2:R65" si="1">IF(P2&lt;50,"Low",IF(P2&lt;150,"Medium","High"))</f>
        <v>Low</v>
      </c>
      <c r="S2" s="10" t="str">
        <f>IF(I2=1,"Clear",IF(I2=2,"Mist/Cloudy",IF(I2=3,"Light Rain/Snow","Heavy Rain/Ice")))</f>
        <v>Clear</v>
      </c>
      <c r="T2" s="10" t="str">
        <f>IF(J2&lt;0.3,"Cold","Warm")</f>
        <v>Cold</v>
      </c>
    </row>
    <row r="3" spans="1:22" x14ac:dyDescent="0.3">
      <c r="A3">
        <v>2</v>
      </c>
      <c r="B3" t="s">
        <v>16</v>
      </c>
      <c r="C3">
        <v>1</v>
      </c>
      <c r="D3">
        <v>0</v>
      </c>
      <c r="E3">
        <v>1</v>
      </c>
      <c r="F3">
        <v>1</v>
      </c>
      <c r="G3" t="b">
        <v>0</v>
      </c>
      <c r="H3">
        <v>6</v>
      </c>
      <c r="I3">
        <v>1</v>
      </c>
      <c r="J3">
        <v>0.22</v>
      </c>
      <c r="K3">
        <v>0.2727</v>
      </c>
      <c r="L3">
        <v>0.8</v>
      </c>
      <c r="M3">
        <v>0</v>
      </c>
      <c r="N3">
        <v>8</v>
      </c>
      <c r="O3">
        <v>32</v>
      </c>
      <c r="P3">
        <v>40</v>
      </c>
      <c r="Q3" t="str">
        <f t="shared" si="0"/>
        <v>Weekday</v>
      </c>
      <c r="R3" t="str">
        <f t="shared" si="1"/>
        <v>Low</v>
      </c>
      <c r="S3" s="10" t="str">
        <f t="shared" ref="S3:S66" si="2">IF(I3=1,"Clear",IF(I3=2,"Mist/Cloudy",IF(I3=3,"Light Rain/Snow","Heavy Rain/Ice")))</f>
        <v>Clear</v>
      </c>
      <c r="T3" s="10" t="str">
        <f t="shared" ref="T3:T66" si="3">IF(J3&lt;0.3,"Cold","Warm")</f>
        <v>Cold</v>
      </c>
    </row>
    <row r="4" spans="1:22" x14ac:dyDescent="0.3">
      <c r="A4">
        <v>3</v>
      </c>
      <c r="B4" t="s">
        <v>16</v>
      </c>
      <c r="C4">
        <v>1</v>
      </c>
      <c r="D4">
        <v>0</v>
      </c>
      <c r="E4">
        <v>1</v>
      </c>
      <c r="F4">
        <v>2</v>
      </c>
      <c r="G4" t="b">
        <v>0</v>
      </c>
      <c r="H4">
        <v>6</v>
      </c>
      <c r="I4">
        <v>1</v>
      </c>
      <c r="J4">
        <v>0.22</v>
      </c>
      <c r="K4">
        <v>0.2727</v>
      </c>
      <c r="L4">
        <v>0.8</v>
      </c>
      <c r="M4">
        <v>0</v>
      </c>
      <c r="N4">
        <v>5</v>
      </c>
      <c r="O4">
        <v>27</v>
      </c>
      <c r="P4">
        <v>32</v>
      </c>
      <c r="Q4" t="str">
        <f t="shared" si="0"/>
        <v>Weekday</v>
      </c>
      <c r="R4" t="str">
        <f t="shared" si="1"/>
        <v>Low</v>
      </c>
      <c r="S4" s="10" t="str">
        <f t="shared" si="2"/>
        <v>Clear</v>
      </c>
      <c r="T4" s="10" t="str">
        <f t="shared" si="3"/>
        <v>Cold</v>
      </c>
    </row>
    <row r="5" spans="1:22" x14ac:dyDescent="0.3">
      <c r="A5">
        <v>4</v>
      </c>
      <c r="B5" t="s">
        <v>16</v>
      </c>
      <c r="C5">
        <v>1</v>
      </c>
      <c r="D5">
        <v>0</v>
      </c>
      <c r="E5">
        <v>1</v>
      </c>
      <c r="F5">
        <v>3</v>
      </c>
      <c r="G5" t="b">
        <v>0</v>
      </c>
      <c r="H5">
        <v>6</v>
      </c>
      <c r="I5">
        <v>1</v>
      </c>
      <c r="J5">
        <v>0.24</v>
      </c>
      <c r="K5">
        <v>0.28789999999999999</v>
      </c>
      <c r="L5">
        <v>0.75</v>
      </c>
      <c r="M5">
        <v>0</v>
      </c>
      <c r="N5">
        <v>3</v>
      </c>
      <c r="O5">
        <v>10</v>
      </c>
      <c r="P5">
        <v>13</v>
      </c>
      <c r="Q5" t="str">
        <f t="shared" si="0"/>
        <v>Weekday</v>
      </c>
      <c r="R5" t="str">
        <f t="shared" si="1"/>
        <v>Low</v>
      </c>
      <c r="S5" s="10" t="str">
        <f t="shared" si="2"/>
        <v>Clear</v>
      </c>
      <c r="T5" s="10" t="str">
        <f t="shared" si="3"/>
        <v>Cold</v>
      </c>
    </row>
    <row r="6" spans="1:22" x14ac:dyDescent="0.3">
      <c r="A6">
        <v>5</v>
      </c>
      <c r="B6" t="s">
        <v>16</v>
      </c>
      <c r="C6">
        <v>1</v>
      </c>
      <c r="D6">
        <v>0</v>
      </c>
      <c r="E6">
        <v>1</v>
      </c>
      <c r="F6">
        <v>4</v>
      </c>
      <c r="G6" t="b">
        <v>0</v>
      </c>
      <c r="H6">
        <v>6</v>
      </c>
      <c r="I6">
        <v>1</v>
      </c>
      <c r="J6">
        <v>0.24</v>
      </c>
      <c r="K6">
        <v>0.28789999999999999</v>
      </c>
      <c r="L6">
        <v>0.75</v>
      </c>
      <c r="M6">
        <v>0</v>
      </c>
      <c r="N6">
        <v>0</v>
      </c>
      <c r="O6">
        <v>1</v>
      </c>
      <c r="P6">
        <v>1</v>
      </c>
      <c r="Q6" t="str">
        <f t="shared" si="0"/>
        <v>Weekday</v>
      </c>
      <c r="R6" t="str">
        <f t="shared" si="1"/>
        <v>Low</v>
      </c>
      <c r="S6" s="10" t="str">
        <f t="shared" si="2"/>
        <v>Clear</v>
      </c>
      <c r="T6" s="10" t="str">
        <f t="shared" si="3"/>
        <v>Cold</v>
      </c>
    </row>
    <row r="7" spans="1:22" x14ac:dyDescent="0.3">
      <c r="A7">
        <v>6</v>
      </c>
      <c r="B7" t="s">
        <v>16</v>
      </c>
      <c r="C7">
        <v>1</v>
      </c>
      <c r="D7">
        <v>0</v>
      </c>
      <c r="E7">
        <v>1</v>
      </c>
      <c r="F7">
        <v>5</v>
      </c>
      <c r="G7" t="b">
        <v>0</v>
      </c>
      <c r="H7">
        <v>6</v>
      </c>
      <c r="I7">
        <v>2</v>
      </c>
      <c r="J7">
        <v>0.24</v>
      </c>
      <c r="K7">
        <v>0.2576</v>
      </c>
      <c r="L7">
        <v>0.75</v>
      </c>
      <c r="M7">
        <v>8.9599999999999999E-2</v>
      </c>
      <c r="N7">
        <v>0</v>
      </c>
      <c r="O7">
        <v>1</v>
      </c>
      <c r="P7">
        <v>1</v>
      </c>
      <c r="Q7" t="str">
        <f t="shared" si="0"/>
        <v>Weekday</v>
      </c>
      <c r="R7" t="str">
        <f t="shared" si="1"/>
        <v>Low</v>
      </c>
      <c r="S7" s="10" t="str">
        <f t="shared" si="2"/>
        <v>Mist/Cloudy</v>
      </c>
      <c r="T7" s="10" t="str">
        <f t="shared" si="3"/>
        <v>Cold</v>
      </c>
      <c r="V7" t="s">
        <v>82</v>
      </c>
    </row>
    <row r="8" spans="1:22" x14ac:dyDescent="0.3">
      <c r="A8">
        <v>7</v>
      </c>
      <c r="B8" t="s">
        <v>16</v>
      </c>
      <c r="C8">
        <v>1</v>
      </c>
      <c r="D8">
        <v>0</v>
      </c>
      <c r="E8">
        <v>1</v>
      </c>
      <c r="F8">
        <v>6</v>
      </c>
      <c r="G8" t="b">
        <v>0</v>
      </c>
      <c r="H8">
        <v>6</v>
      </c>
      <c r="I8">
        <v>1</v>
      </c>
      <c r="J8">
        <v>0.22</v>
      </c>
      <c r="K8">
        <v>0.2727</v>
      </c>
      <c r="L8">
        <v>0.8</v>
      </c>
      <c r="M8">
        <v>0</v>
      </c>
      <c r="N8">
        <v>2</v>
      </c>
      <c r="O8">
        <v>0</v>
      </c>
      <c r="P8">
        <v>2</v>
      </c>
      <c r="Q8" t="str">
        <f t="shared" si="0"/>
        <v>Weekday</v>
      </c>
      <c r="R8" t="str">
        <f t="shared" si="1"/>
        <v>Low</v>
      </c>
      <c r="S8" s="10" t="str">
        <f t="shared" si="2"/>
        <v>Clear</v>
      </c>
      <c r="T8" s="10" t="str">
        <f t="shared" si="3"/>
        <v>Cold</v>
      </c>
      <c r="V8">
        <f>MAX(P:P)</f>
        <v>249</v>
      </c>
    </row>
    <row r="9" spans="1:22" x14ac:dyDescent="0.3">
      <c r="A9">
        <v>8</v>
      </c>
      <c r="B9" t="s">
        <v>16</v>
      </c>
      <c r="C9">
        <v>1</v>
      </c>
      <c r="D9">
        <v>0</v>
      </c>
      <c r="E9">
        <v>1</v>
      </c>
      <c r="F9">
        <v>7</v>
      </c>
      <c r="G9" t="b">
        <v>0</v>
      </c>
      <c r="H9">
        <v>6</v>
      </c>
      <c r="I9">
        <v>1</v>
      </c>
      <c r="J9">
        <v>0.2</v>
      </c>
      <c r="K9">
        <v>0.2576</v>
      </c>
      <c r="L9">
        <v>0.86</v>
      </c>
      <c r="M9">
        <v>0</v>
      </c>
      <c r="N9">
        <v>1</v>
      </c>
      <c r="O9">
        <v>2</v>
      </c>
      <c r="P9">
        <v>3</v>
      </c>
      <c r="Q9" t="str">
        <f t="shared" si="0"/>
        <v>Weekday</v>
      </c>
      <c r="R9" t="str">
        <f t="shared" si="1"/>
        <v>Low</v>
      </c>
      <c r="S9" s="10" t="str">
        <f t="shared" si="2"/>
        <v>Clear</v>
      </c>
      <c r="T9" s="10" t="str">
        <f t="shared" si="3"/>
        <v>Cold</v>
      </c>
    </row>
    <row r="10" spans="1:22" x14ac:dyDescent="0.3">
      <c r="A10">
        <v>9</v>
      </c>
      <c r="B10" t="s">
        <v>16</v>
      </c>
      <c r="C10">
        <v>1</v>
      </c>
      <c r="D10">
        <v>0</v>
      </c>
      <c r="E10">
        <v>1</v>
      </c>
      <c r="F10">
        <v>8</v>
      </c>
      <c r="G10" t="b">
        <v>0</v>
      </c>
      <c r="H10">
        <v>6</v>
      </c>
      <c r="I10">
        <v>1</v>
      </c>
      <c r="J10">
        <v>0.24</v>
      </c>
      <c r="K10">
        <v>0.21195783619818001</v>
      </c>
      <c r="L10">
        <v>0.75</v>
      </c>
      <c r="M10">
        <v>0</v>
      </c>
      <c r="N10">
        <v>1</v>
      </c>
      <c r="O10">
        <v>7</v>
      </c>
      <c r="P10">
        <v>8</v>
      </c>
      <c r="Q10" t="str">
        <f t="shared" si="0"/>
        <v>Weekday</v>
      </c>
      <c r="R10" t="str">
        <f t="shared" si="1"/>
        <v>Low</v>
      </c>
      <c r="S10" s="10" t="str">
        <f t="shared" si="2"/>
        <v>Clear</v>
      </c>
      <c r="T10" s="10" t="str">
        <f t="shared" si="3"/>
        <v>Cold</v>
      </c>
    </row>
    <row r="11" spans="1:22" x14ac:dyDescent="0.3">
      <c r="A11">
        <v>10</v>
      </c>
      <c r="B11" t="s">
        <v>16</v>
      </c>
      <c r="C11">
        <v>1</v>
      </c>
      <c r="D11">
        <v>0</v>
      </c>
      <c r="E11">
        <v>1</v>
      </c>
      <c r="F11">
        <v>9</v>
      </c>
      <c r="G11" t="b">
        <v>0</v>
      </c>
      <c r="H11">
        <v>6</v>
      </c>
      <c r="I11">
        <v>1</v>
      </c>
      <c r="J11">
        <v>0.32</v>
      </c>
      <c r="K11">
        <v>0.34849999999999998</v>
      </c>
      <c r="L11">
        <v>0.76</v>
      </c>
      <c r="M11">
        <v>0</v>
      </c>
      <c r="N11">
        <v>8</v>
      </c>
      <c r="O11">
        <v>6</v>
      </c>
      <c r="P11">
        <v>14</v>
      </c>
      <c r="Q11" t="str">
        <f t="shared" si="0"/>
        <v>Weekday</v>
      </c>
      <c r="R11" t="str">
        <f t="shared" si="1"/>
        <v>Low</v>
      </c>
      <c r="S11" s="10" t="str">
        <f t="shared" si="2"/>
        <v>Clear</v>
      </c>
      <c r="T11" s="10" t="str">
        <f t="shared" si="3"/>
        <v>Warm</v>
      </c>
    </row>
    <row r="12" spans="1:22" x14ac:dyDescent="0.3">
      <c r="A12">
        <v>11</v>
      </c>
      <c r="B12" t="s">
        <v>16</v>
      </c>
      <c r="C12">
        <v>1</v>
      </c>
      <c r="D12">
        <v>0</v>
      </c>
      <c r="E12">
        <v>1</v>
      </c>
      <c r="F12">
        <v>10</v>
      </c>
      <c r="G12" t="b">
        <v>0</v>
      </c>
      <c r="H12">
        <v>6</v>
      </c>
      <c r="I12">
        <v>1</v>
      </c>
      <c r="J12">
        <v>0.38</v>
      </c>
      <c r="K12">
        <v>0.39389999999999997</v>
      </c>
      <c r="L12">
        <v>0.76</v>
      </c>
      <c r="M12">
        <v>0.25369999999999998</v>
      </c>
      <c r="N12">
        <v>12</v>
      </c>
      <c r="O12">
        <v>24</v>
      </c>
      <c r="P12">
        <v>36</v>
      </c>
      <c r="Q12" t="str">
        <f t="shared" si="0"/>
        <v>Weekday</v>
      </c>
      <c r="R12" t="str">
        <f t="shared" si="1"/>
        <v>Low</v>
      </c>
      <c r="S12" s="10" t="str">
        <f t="shared" si="2"/>
        <v>Clear</v>
      </c>
      <c r="T12" s="10" t="str">
        <f t="shared" si="3"/>
        <v>Warm</v>
      </c>
    </row>
    <row r="13" spans="1:22" x14ac:dyDescent="0.3">
      <c r="A13">
        <v>12</v>
      </c>
      <c r="B13" t="s">
        <v>16</v>
      </c>
      <c r="C13">
        <v>1</v>
      </c>
      <c r="D13">
        <v>0</v>
      </c>
      <c r="E13">
        <v>1</v>
      </c>
      <c r="F13">
        <v>11</v>
      </c>
      <c r="G13" t="b">
        <v>0</v>
      </c>
      <c r="H13">
        <v>6</v>
      </c>
      <c r="I13">
        <v>1</v>
      </c>
      <c r="J13">
        <v>0.36</v>
      </c>
      <c r="K13">
        <v>0.33329999999999999</v>
      </c>
      <c r="L13">
        <v>0.81</v>
      </c>
      <c r="M13">
        <v>0.28360000000000002</v>
      </c>
      <c r="N13">
        <v>26</v>
      </c>
      <c r="O13">
        <v>30</v>
      </c>
      <c r="P13">
        <v>56</v>
      </c>
      <c r="Q13" t="str">
        <f t="shared" si="0"/>
        <v>Weekday</v>
      </c>
      <c r="R13" t="str">
        <f t="shared" si="1"/>
        <v>Medium</v>
      </c>
      <c r="S13" s="10" t="str">
        <f t="shared" si="2"/>
        <v>Clear</v>
      </c>
      <c r="T13" s="10" t="str">
        <f t="shared" si="3"/>
        <v>Warm</v>
      </c>
    </row>
    <row r="14" spans="1:22" x14ac:dyDescent="0.3">
      <c r="A14">
        <v>13</v>
      </c>
      <c r="B14" t="s">
        <v>16</v>
      </c>
      <c r="C14">
        <v>1</v>
      </c>
      <c r="D14">
        <v>0</v>
      </c>
      <c r="E14">
        <v>1</v>
      </c>
      <c r="F14">
        <v>12</v>
      </c>
      <c r="G14" t="b">
        <v>0</v>
      </c>
      <c r="H14">
        <v>6</v>
      </c>
      <c r="I14">
        <v>1</v>
      </c>
      <c r="J14">
        <v>0.42</v>
      </c>
      <c r="K14">
        <v>0.42420000000000002</v>
      </c>
      <c r="L14">
        <v>0.77</v>
      </c>
      <c r="M14">
        <v>0.28360000000000002</v>
      </c>
      <c r="N14">
        <v>29</v>
      </c>
      <c r="O14">
        <v>55</v>
      </c>
      <c r="P14">
        <v>84</v>
      </c>
      <c r="Q14" t="str">
        <f t="shared" si="0"/>
        <v>Weekday</v>
      </c>
      <c r="R14" t="str">
        <f t="shared" si="1"/>
        <v>Medium</v>
      </c>
      <c r="S14" s="10" t="str">
        <f t="shared" si="2"/>
        <v>Clear</v>
      </c>
      <c r="T14" s="10" t="str">
        <f t="shared" si="3"/>
        <v>Warm</v>
      </c>
    </row>
    <row r="15" spans="1:22" x14ac:dyDescent="0.3">
      <c r="A15">
        <v>14</v>
      </c>
      <c r="B15" t="s">
        <v>16</v>
      </c>
      <c r="C15">
        <v>1</v>
      </c>
      <c r="D15">
        <v>0</v>
      </c>
      <c r="E15">
        <v>1</v>
      </c>
      <c r="F15">
        <v>13</v>
      </c>
      <c r="G15" t="b">
        <v>0</v>
      </c>
      <c r="H15">
        <v>6</v>
      </c>
      <c r="I15">
        <v>2</v>
      </c>
      <c r="J15">
        <v>0.46</v>
      </c>
      <c r="K15">
        <v>0.45450000000000002</v>
      </c>
      <c r="L15">
        <v>0.72</v>
      </c>
      <c r="M15">
        <v>0.29849999999999999</v>
      </c>
      <c r="N15">
        <v>47</v>
      </c>
      <c r="O15">
        <v>47</v>
      </c>
      <c r="P15">
        <v>94</v>
      </c>
      <c r="Q15" t="str">
        <f t="shared" si="0"/>
        <v>Weekday</v>
      </c>
      <c r="R15" t="str">
        <f t="shared" si="1"/>
        <v>Medium</v>
      </c>
      <c r="S15" s="10" t="str">
        <f t="shared" si="2"/>
        <v>Mist/Cloudy</v>
      </c>
      <c r="T15" s="10" t="str">
        <f t="shared" si="3"/>
        <v>Warm</v>
      </c>
    </row>
    <row r="16" spans="1:22" x14ac:dyDescent="0.3">
      <c r="A16">
        <v>15</v>
      </c>
      <c r="B16" t="s">
        <v>16</v>
      </c>
      <c r="C16">
        <v>1</v>
      </c>
      <c r="D16">
        <v>0</v>
      </c>
      <c r="E16">
        <v>1</v>
      </c>
      <c r="F16">
        <v>14</v>
      </c>
      <c r="G16" t="b">
        <v>0</v>
      </c>
      <c r="H16">
        <v>6</v>
      </c>
      <c r="I16">
        <v>2</v>
      </c>
      <c r="J16">
        <v>0.46</v>
      </c>
      <c r="K16">
        <v>0.45450000000000002</v>
      </c>
      <c r="L16">
        <v>0.72</v>
      </c>
      <c r="M16">
        <v>0.28360000000000002</v>
      </c>
      <c r="N16">
        <v>35</v>
      </c>
      <c r="O16">
        <v>71</v>
      </c>
      <c r="P16">
        <v>106</v>
      </c>
      <c r="Q16" t="str">
        <f t="shared" si="0"/>
        <v>Weekday</v>
      </c>
      <c r="R16" t="str">
        <f t="shared" si="1"/>
        <v>Medium</v>
      </c>
      <c r="S16" s="10" t="str">
        <f t="shared" si="2"/>
        <v>Mist/Cloudy</v>
      </c>
      <c r="T16" s="10" t="str">
        <f t="shared" si="3"/>
        <v>Warm</v>
      </c>
    </row>
    <row r="17" spans="1:20" x14ac:dyDescent="0.3">
      <c r="A17">
        <v>16</v>
      </c>
      <c r="B17" t="s">
        <v>16</v>
      </c>
      <c r="C17">
        <v>1</v>
      </c>
      <c r="D17">
        <v>0</v>
      </c>
      <c r="E17">
        <v>1</v>
      </c>
      <c r="F17">
        <v>15</v>
      </c>
      <c r="G17" t="b">
        <v>0</v>
      </c>
      <c r="H17">
        <v>6</v>
      </c>
      <c r="I17">
        <v>2</v>
      </c>
      <c r="J17">
        <v>0.44</v>
      </c>
      <c r="K17">
        <v>0.43940000000000001</v>
      </c>
      <c r="L17">
        <v>0.77</v>
      </c>
      <c r="M17">
        <v>0.29849999999999999</v>
      </c>
      <c r="N17">
        <v>40</v>
      </c>
      <c r="O17">
        <v>70</v>
      </c>
      <c r="P17">
        <v>110</v>
      </c>
      <c r="Q17" t="str">
        <f t="shared" si="0"/>
        <v>Weekday</v>
      </c>
      <c r="R17" t="str">
        <f t="shared" si="1"/>
        <v>Medium</v>
      </c>
      <c r="S17" s="10" t="str">
        <f t="shared" si="2"/>
        <v>Mist/Cloudy</v>
      </c>
      <c r="T17" s="10" t="str">
        <f t="shared" si="3"/>
        <v>Warm</v>
      </c>
    </row>
    <row r="18" spans="1:20" x14ac:dyDescent="0.3">
      <c r="A18">
        <v>17</v>
      </c>
      <c r="B18" t="s">
        <v>16</v>
      </c>
      <c r="C18">
        <v>1</v>
      </c>
      <c r="D18">
        <v>0</v>
      </c>
      <c r="E18">
        <v>1</v>
      </c>
      <c r="F18">
        <v>16</v>
      </c>
      <c r="G18" t="b">
        <v>0</v>
      </c>
      <c r="H18">
        <v>6</v>
      </c>
      <c r="I18">
        <v>2</v>
      </c>
      <c r="J18">
        <v>0.42</v>
      </c>
      <c r="K18">
        <v>0.42420000000000002</v>
      </c>
      <c r="L18">
        <v>0.82</v>
      </c>
      <c r="M18">
        <v>0.29849999999999999</v>
      </c>
      <c r="N18">
        <v>41</v>
      </c>
      <c r="O18">
        <v>52</v>
      </c>
      <c r="P18">
        <v>93</v>
      </c>
      <c r="Q18" t="str">
        <f t="shared" si="0"/>
        <v>Weekday</v>
      </c>
      <c r="R18" t="str">
        <f t="shared" si="1"/>
        <v>Medium</v>
      </c>
      <c r="S18" s="10" t="str">
        <f t="shared" si="2"/>
        <v>Mist/Cloudy</v>
      </c>
      <c r="T18" s="10" t="str">
        <f t="shared" si="3"/>
        <v>Warm</v>
      </c>
    </row>
    <row r="19" spans="1:20" x14ac:dyDescent="0.3">
      <c r="A19">
        <v>18</v>
      </c>
      <c r="B19" t="s">
        <v>16</v>
      </c>
      <c r="C19">
        <v>1</v>
      </c>
      <c r="D19">
        <v>0</v>
      </c>
      <c r="E19">
        <v>1</v>
      </c>
      <c r="F19">
        <v>17</v>
      </c>
      <c r="G19" t="b">
        <v>0</v>
      </c>
      <c r="H19">
        <v>6</v>
      </c>
      <c r="I19">
        <v>2</v>
      </c>
      <c r="J19">
        <v>0.44</v>
      </c>
      <c r="K19">
        <v>0.21195783619818001</v>
      </c>
      <c r="L19">
        <v>0.82</v>
      </c>
      <c r="M19">
        <v>0.28360000000000002</v>
      </c>
      <c r="N19">
        <v>15</v>
      </c>
      <c r="O19">
        <v>52</v>
      </c>
      <c r="P19">
        <v>67</v>
      </c>
      <c r="Q19" t="str">
        <f t="shared" si="0"/>
        <v>Weekday</v>
      </c>
      <c r="R19" t="str">
        <f t="shared" si="1"/>
        <v>Medium</v>
      </c>
      <c r="S19" s="10" t="str">
        <f t="shared" si="2"/>
        <v>Mist/Cloudy</v>
      </c>
      <c r="T19" s="10" t="str">
        <f t="shared" si="3"/>
        <v>Warm</v>
      </c>
    </row>
    <row r="20" spans="1:20" x14ac:dyDescent="0.3">
      <c r="A20">
        <v>19</v>
      </c>
      <c r="B20" t="s">
        <v>16</v>
      </c>
      <c r="C20">
        <v>1</v>
      </c>
      <c r="D20">
        <v>0</v>
      </c>
      <c r="E20">
        <v>1</v>
      </c>
      <c r="F20">
        <v>18</v>
      </c>
      <c r="G20" t="b">
        <v>0</v>
      </c>
      <c r="H20">
        <v>6</v>
      </c>
      <c r="I20">
        <v>3</v>
      </c>
      <c r="J20">
        <v>0.42</v>
      </c>
      <c r="K20">
        <v>0.42420000000000002</v>
      </c>
      <c r="L20">
        <v>0.88</v>
      </c>
      <c r="M20">
        <v>0.25369999999999998</v>
      </c>
      <c r="N20">
        <v>9</v>
      </c>
      <c r="O20">
        <v>26</v>
      </c>
      <c r="P20">
        <v>35</v>
      </c>
      <c r="Q20" t="str">
        <f t="shared" si="0"/>
        <v>Weekday</v>
      </c>
      <c r="R20" t="str">
        <f t="shared" si="1"/>
        <v>Low</v>
      </c>
      <c r="S20" s="10" t="str">
        <f t="shared" si="2"/>
        <v>Light Rain/Snow</v>
      </c>
      <c r="T20" s="10" t="str">
        <f t="shared" si="3"/>
        <v>Warm</v>
      </c>
    </row>
    <row r="21" spans="1:20" x14ac:dyDescent="0.3">
      <c r="A21">
        <v>20</v>
      </c>
      <c r="B21" t="s">
        <v>16</v>
      </c>
      <c r="C21">
        <v>1</v>
      </c>
      <c r="D21">
        <v>0</v>
      </c>
      <c r="E21">
        <v>1</v>
      </c>
      <c r="F21">
        <v>19</v>
      </c>
      <c r="G21" t="b">
        <v>0</v>
      </c>
      <c r="H21">
        <v>6</v>
      </c>
      <c r="I21">
        <v>3</v>
      </c>
      <c r="J21">
        <v>0.42</v>
      </c>
      <c r="K21">
        <v>0.42420000000000002</v>
      </c>
      <c r="L21">
        <v>0.88</v>
      </c>
      <c r="M21">
        <v>0.25369999999999998</v>
      </c>
      <c r="N21">
        <v>6</v>
      </c>
      <c r="O21">
        <v>31</v>
      </c>
      <c r="P21">
        <v>37</v>
      </c>
      <c r="Q21" t="str">
        <f t="shared" si="0"/>
        <v>Weekday</v>
      </c>
      <c r="R21" t="str">
        <f t="shared" si="1"/>
        <v>Low</v>
      </c>
      <c r="S21" s="10" t="str">
        <f t="shared" si="2"/>
        <v>Light Rain/Snow</v>
      </c>
      <c r="T21" s="10" t="str">
        <f t="shared" si="3"/>
        <v>Warm</v>
      </c>
    </row>
    <row r="22" spans="1:20" x14ac:dyDescent="0.3">
      <c r="A22">
        <v>21</v>
      </c>
      <c r="B22" t="s">
        <v>16</v>
      </c>
      <c r="C22">
        <v>1</v>
      </c>
      <c r="D22">
        <v>0</v>
      </c>
      <c r="E22">
        <v>1</v>
      </c>
      <c r="F22">
        <v>20</v>
      </c>
      <c r="G22" t="b">
        <v>0</v>
      </c>
      <c r="H22">
        <v>6</v>
      </c>
      <c r="I22">
        <v>2</v>
      </c>
      <c r="J22">
        <v>0.4</v>
      </c>
      <c r="K22">
        <v>0.40910000000000002</v>
      </c>
      <c r="L22">
        <v>0.87</v>
      </c>
      <c r="M22">
        <v>0.25369999999999998</v>
      </c>
      <c r="N22">
        <v>11</v>
      </c>
      <c r="O22">
        <v>25</v>
      </c>
      <c r="P22">
        <v>36</v>
      </c>
      <c r="Q22" t="str">
        <f t="shared" si="0"/>
        <v>Weekday</v>
      </c>
      <c r="R22" t="str">
        <f t="shared" si="1"/>
        <v>Low</v>
      </c>
      <c r="S22" s="10" t="str">
        <f t="shared" si="2"/>
        <v>Mist/Cloudy</v>
      </c>
      <c r="T22" s="10" t="str">
        <f t="shared" si="3"/>
        <v>Warm</v>
      </c>
    </row>
    <row r="23" spans="1:20" x14ac:dyDescent="0.3">
      <c r="A23">
        <v>22</v>
      </c>
      <c r="B23" t="s">
        <v>16</v>
      </c>
      <c r="C23">
        <v>1</v>
      </c>
      <c r="D23">
        <v>0</v>
      </c>
      <c r="E23">
        <v>1</v>
      </c>
      <c r="F23">
        <v>21</v>
      </c>
      <c r="G23" t="b">
        <v>0</v>
      </c>
      <c r="H23">
        <v>6</v>
      </c>
      <c r="I23">
        <v>2</v>
      </c>
      <c r="J23">
        <v>0.4</v>
      </c>
      <c r="K23">
        <v>0.40910000000000002</v>
      </c>
      <c r="L23">
        <v>0.87</v>
      </c>
      <c r="M23">
        <v>0.19400000000000001</v>
      </c>
      <c r="N23">
        <v>3</v>
      </c>
      <c r="O23">
        <v>31</v>
      </c>
      <c r="P23">
        <v>34</v>
      </c>
      <c r="Q23" t="str">
        <f t="shared" si="0"/>
        <v>Weekday</v>
      </c>
      <c r="R23" t="str">
        <f t="shared" si="1"/>
        <v>Low</v>
      </c>
      <c r="S23" s="10" t="str">
        <f t="shared" si="2"/>
        <v>Mist/Cloudy</v>
      </c>
      <c r="T23" s="10" t="str">
        <f t="shared" si="3"/>
        <v>Warm</v>
      </c>
    </row>
    <row r="24" spans="1:20" x14ac:dyDescent="0.3">
      <c r="A24">
        <v>23</v>
      </c>
      <c r="B24" t="s">
        <v>16</v>
      </c>
      <c r="C24">
        <v>1</v>
      </c>
      <c r="D24">
        <v>0</v>
      </c>
      <c r="E24">
        <v>1</v>
      </c>
      <c r="F24">
        <v>22</v>
      </c>
      <c r="G24" t="b">
        <v>0</v>
      </c>
      <c r="H24">
        <v>6</v>
      </c>
      <c r="I24">
        <v>2</v>
      </c>
      <c r="J24">
        <v>0.4</v>
      </c>
      <c r="K24">
        <v>0.40910000000000002</v>
      </c>
      <c r="L24">
        <v>0.94</v>
      </c>
      <c r="M24">
        <v>0.22389999999999999</v>
      </c>
      <c r="N24">
        <v>11</v>
      </c>
      <c r="O24">
        <v>17</v>
      </c>
      <c r="P24">
        <v>28</v>
      </c>
      <c r="Q24" t="str">
        <f t="shared" si="0"/>
        <v>Weekday</v>
      </c>
      <c r="R24" t="str">
        <f t="shared" si="1"/>
        <v>Low</v>
      </c>
      <c r="S24" s="10" t="str">
        <f t="shared" si="2"/>
        <v>Mist/Cloudy</v>
      </c>
      <c r="T24" s="10" t="str">
        <f t="shared" si="3"/>
        <v>Warm</v>
      </c>
    </row>
    <row r="25" spans="1:20" x14ac:dyDescent="0.3">
      <c r="A25">
        <v>24</v>
      </c>
      <c r="B25" t="s">
        <v>16</v>
      </c>
      <c r="C25">
        <v>1</v>
      </c>
      <c r="D25">
        <v>0</v>
      </c>
      <c r="E25">
        <v>1</v>
      </c>
      <c r="F25">
        <v>23</v>
      </c>
      <c r="G25" t="b">
        <v>0</v>
      </c>
      <c r="H25">
        <v>6</v>
      </c>
      <c r="I25">
        <v>2</v>
      </c>
      <c r="J25">
        <v>0.46</v>
      </c>
      <c r="K25">
        <v>0.21195783619818001</v>
      </c>
      <c r="L25">
        <v>0.88</v>
      </c>
      <c r="M25">
        <v>0.29849999999999999</v>
      </c>
      <c r="N25">
        <v>15</v>
      </c>
      <c r="O25">
        <v>24</v>
      </c>
      <c r="P25">
        <v>39</v>
      </c>
      <c r="Q25" t="str">
        <f t="shared" si="0"/>
        <v>Weekday</v>
      </c>
      <c r="R25" t="str">
        <f t="shared" si="1"/>
        <v>Low</v>
      </c>
      <c r="S25" s="10" t="str">
        <f t="shared" si="2"/>
        <v>Mist/Cloudy</v>
      </c>
      <c r="T25" s="10" t="str">
        <f t="shared" si="3"/>
        <v>Warm</v>
      </c>
    </row>
    <row r="26" spans="1:20" x14ac:dyDescent="0.3">
      <c r="A26">
        <v>25</v>
      </c>
      <c r="B26" t="s">
        <v>17</v>
      </c>
      <c r="C26">
        <v>1</v>
      </c>
      <c r="D26">
        <v>0</v>
      </c>
      <c r="E26">
        <v>1</v>
      </c>
      <c r="F26">
        <v>0</v>
      </c>
      <c r="G26" t="b">
        <v>0</v>
      </c>
      <c r="H26">
        <v>0</v>
      </c>
      <c r="I26">
        <v>2</v>
      </c>
      <c r="J26">
        <v>0.46</v>
      </c>
      <c r="K26">
        <v>0.45450000000000002</v>
      </c>
      <c r="L26">
        <v>0.88</v>
      </c>
      <c r="M26">
        <v>0.29849999999999999</v>
      </c>
      <c r="N26">
        <v>4</v>
      </c>
      <c r="O26">
        <v>13</v>
      </c>
      <c r="P26">
        <v>17</v>
      </c>
      <c r="Q26" t="str">
        <f t="shared" si="0"/>
        <v>Weekend</v>
      </c>
      <c r="R26" t="str">
        <f t="shared" si="1"/>
        <v>Low</v>
      </c>
      <c r="S26" s="10" t="str">
        <f t="shared" si="2"/>
        <v>Mist/Cloudy</v>
      </c>
      <c r="T26" s="10" t="str">
        <f t="shared" si="3"/>
        <v>Warm</v>
      </c>
    </row>
    <row r="27" spans="1:20" x14ac:dyDescent="0.3">
      <c r="A27">
        <v>26</v>
      </c>
      <c r="B27" t="s">
        <v>17</v>
      </c>
      <c r="C27">
        <v>1</v>
      </c>
      <c r="D27">
        <v>0</v>
      </c>
      <c r="E27">
        <v>1</v>
      </c>
      <c r="F27">
        <v>1</v>
      </c>
      <c r="G27" t="b">
        <v>0</v>
      </c>
      <c r="H27">
        <v>0</v>
      </c>
      <c r="I27">
        <v>2</v>
      </c>
      <c r="J27">
        <v>0.44</v>
      </c>
      <c r="K27">
        <v>0.43940000000000001</v>
      </c>
      <c r="L27">
        <v>0.94</v>
      </c>
      <c r="M27">
        <v>0.25369999999999998</v>
      </c>
      <c r="N27">
        <v>1</v>
      </c>
      <c r="O27">
        <v>16</v>
      </c>
      <c r="P27">
        <v>17</v>
      </c>
      <c r="Q27" t="str">
        <f t="shared" si="0"/>
        <v>Weekend</v>
      </c>
      <c r="R27" t="str">
        <f t="shared" si="1"/>
        <v>Low</v>
      </c>
      <c r="S27" s="10" t="str">
        <f t="shared" si="2"/>
        <v>Mist/Cloudy</v>
      </c>
      <c r="T27" s="10" t="str">
        <f t="shared" si="3"/>
        <v>Warm</v>
      </c>
    </row>
    <row r="28" spans="1:20" x14ac:dyDescent="0.3">
      <c r="A28">
        <v>27</v>
      </c>
      <c r="B28" t="s">
        <v>17</v>
      </c>
      <c r="C28">
        <v>1</v>
      </c>
      <c r="D28">
        <v>0</v>
      </c>
      <c r="E28">
        <v>1</v>
      </c>
      <c r="F28">
        <v>2</v>
      </c>
      <c r="G28" t="b">
        <v>0</v>
      </c>
      <c r="H28">
        <v>0</v>
      </c>
      <c r="I28">
        <v>2</v>
      </c>
      <c r="J28">
        <v>0.42</v>
      </c>
      <c r="K28">
        <v>0.42420000000000002</v>
      </c>
      <c r="L28">
        <v>1</v>
      </c>
      <c r="M28">
        <v>0.28360000000000002</v>
      </c>
      <c r="N28">
        <v>1</v>
      </c>
      <c r="O28">
        <v>8</v>
      </c>
      <c r="P28">
        <v>9</v>
      </c>
      <c r="Q28" t="str">
        <f t="shared" si="0"/>
        <v>Weekend</v>
      </c>
      <c r="R28" t="str">
        <f t="shared" si="1"/>
        <v>Low</v>
      </c>
      <c r="S28" s="10" t="str">
        <f t="shared" si="2"/>
        <v>Mist/Cloudy</v>
      </c>
      <c r="T28" s="10" t="str">
        <f t="shared" si="3"/>
        <v>Warm</v>
      </c>
    </row>
    <row r="29" spans="1:20" x14ac:dyDescent="0.3">
      <c r="A29">
        <v>28</v>
      </c>
      <c r="B29" t="s">
        <v>17</v>
      </c>
      <c r="C29">
        <v>1</v>
      </c>
      <c r="D29">
        <v>0</v>
      </c>
      <c r="E29">
        <v>1</v>
      </c>
      <c r="F29">
        <v>3</v>
      </c>
      <c r="G29" t="b">
        <v>0</v>
      </c>
      <c r="H29">
        <v>0</v>
      </c>
      <c r="I29">
        <v>2</v>
      </c>
      <c r="J29">
        <v>0.46</v>
      </c>
      <c r="K29">
        <v>0.45450000000000002</v>
      </c>
      <c r="L29">
        <v>0.94</v>
      </c>
      <c r="M29">
        <v>0.19400000000000001</v>
      </c>
      <c r="N29">
        <v>2</v>
      </c>
      <c r="O29">
        <v>4</v>
      </c>
      <c r="P29">
        <v>6</v>
      </c>
      <c r="Q29" t="str">
        <f t="shared" si="0"/>
        <v>Weekend</v>
      </c>
      <c r="R29" t="str">
        <f t="shared" si="1"/>
        <v>Low</v>
      </c>
      <c r="S29" s="10" t="str">
        <f t="shared" si="2"/>
        <v>Mist/Cloudy</v>
      </c>
      <c r="T29" s="10" t="str">
        <f t="shared" si="3"/>
        <v>Warm</v>
      </c>
    </row>
    <row r="30" spans="1:20" x14ac:dyDescent="0.3">
      <c r="A30">
        <v>29</v>
      </c>
      <c r="B30" t="s">
        <v>17</v>
      </c>
      <c r="C30">
        <v>1</v>
      </c>
      <c r="D30">
        <v>0</v>
      </c>
      <c r="E30">
        <v>1</v>
      </c>
      <c r="F30">
        <v>4</v>
      </c>
      <c r="G30" t="b">
        <v>0</v>
      </c>
      <c r="H30">
        <v>0</v>
      </c>
      <c r="I30">
        <v>2</v>
      </c>
      <c r="J30">
        <v>0.46</v>
      </c>
      <c r="K30">
        <v>0.21195783619818001</v>
      </c>
      <c r="L30">
        <v>0.94</v>
      </c>
      <c r="M30">
        <v>0.19400000000000001</v>
      </c>
      <c r="N30">
        <v>2</v>
      </c>
      <c r="O30">
        <v>1</v>
      </c>
      <c r="P30">
        <v>3</v>
      </c>
      <c r="Q30" t="str">
        <f t="shared" si="0"/>
        <v>Weekend</v>
      </c>
      <c r="R30" t="str">
        <f t="shared" si="1"/>
        <v>Low</v>
      </c>
      <c r="S30" s="10" t="str">
        <f t="shared" si="2"/>
        <v>Mist/Cloudy</v>
      </c>
      <c r="T30" s="10" t="str">
        <f t="shared" si="3"/>
        <v>Warm</v>
      </c>
    </row>
    <row r="31" spans="1:20" x14ac:dyDescent="0.3">
      <c r="A31">
        <v>30</v>
      </c>
      <c r="B31" t="s">
        <v>17</v>
      </c>
      <c r="C31">
        <v>1</v>
      </c>
      <c r="D31">
        <v>0</v>
      </c>
      <c r="E31">
        <v>1</v>
      </c>
      <c r="F31">
        <v>6</v>
      </c>
      <c r="G31" t="b">
        <v>0</v>
      </c>
      <c r="H31">
        <v>0</v>
      </c>
      <c r="I31">
        <v>3</v>
      </c>
      <c r="J31">
        <v>0.42</v>
      </c>
      <c r="K31">
        <v>0.42420000000000002</v>
      </c>
      <c r="L31">
        <v>0.77</v>
      </c>
      <c r="M31">
        <v>0.29849999999999999</v>
      </c>
      <c r="N31">
        <v>0</v>
      </c>
      <c r="O31">
        <v>2</v>
      </c>
      <c r="P31">
        <v>2</v>
      </c>
      <c r="Q31" t="str">
        <f t="shared" si="0"/>
        <v>Weekend</v>
      </c>
      <c r="R31" t="str">
        <f t="shared" si="1"/>
        <v>Low</v>
      </c>
      <c r="S31" s="10" t="str">
        <f t="shared" si="2"/>
        <v>Light Rain/Snow</v>
      </c>
      <c r="T31" s="10" t="str">
        <f t="shared" si="3"/>
        <v>Warm</v>
      </c>
    </row>
    <row r="32" spans="1:20" x14ac:dyDescent="0.3">
      <c r="A32">
        <v>31</v>
      </c>
      <c r="B32" t="s">
        <v>17</v>
      </c>
      <c r="C32">
        <v>1</v>
      </c>
      <c r="D32">
        <v>0</v>
      </c>
      <c r="E32">
        <v>1</v>
      </c>
      <c r="F32">
        <v>7</v>
      </c>
      <c r="G32" t="b">
        <v>0</v>
      </c>
      <c r="H32">
        <v>0</v>
      </c>
      <c r="I32">
        <v>2</v>
      </c>
      <c r="J32">
        <v>0.4</v>
      </c>
      <c r="K32">
        <v>0.40910000000000002</v>
      </c>
      <c r="L32">
        <v>0.76</v>
      </c>
      <c r="M32">
        <v>0.19400000000000001</v>
      </c>
      <c r="N32">
        <v>0</v>
      </c>
      <c r="O32">
        <v>1</v>
      </c>
      <c r="P32">
        <v>1</v>
      </c>
      <c r="Q32" t="str">
        <f t="shared" si="0"/>
        <v>Weekend</v>
      </c>
      <c r="R32" t="str">
        <f t="shared" si="1"/>
        <v>Low</v>
      </c>
      <c r="S32" s="10" t="str">
        <f t="shared" si="2"/>
        <v>Mist/Cloudy</v>
      </c>
      <c r="T32" s="10" t="str">
        <f t="shared" si="3"/>
        <v>Warm</v>
      </c>
    </row>
    <row r="33" spans="1:20" x14ac:dyDescent="0.3">
      <c r="A33">
        <v>32</v>
      </c>
      <c r="B33" t="s">
        <v>17</v>
      </c>
      <c r="C33">
        <v>1</v>
      </c>
      <c r="D33">
        <v>0</v>
      </c>
      <c r="E33">
        <v>1</v>
      </c>
      <c r="F33">
        <v>8</v>
      </c>
      <c r="G33" t="b">
        <v>0</v>
      </c>
      <c r="H33">
        <v>0</v>
      </c>
      <c r="I33">
        <v>3</v>
      </c>
      <c r="J33">
        <v>0.4</v>
      </c>
      <c r="K33">
        <v>0.40910000000000002</v>
      </c>
      <c r="L33">
        <v>0.71</v>
      </c>
      <c r="M33">
        <v>0.22389999999999999</v>
      </c>
      <c r="N33">
        <v>0</v>
      </c>
      <c r="O33">
        <v>8</v>
      </c>
      <c r="P33">
        <v>8</v>
      </c>
      <c r="Q33" t="str">
        <f t="shared" si="0"/>
        <v>Weekend</v>
      </c>
      <c r="R33" t="str">
        <f t="shared" si="1"/>
        <v>Low</v>
      </c>
      <c r="S33" s="10" t="str">
        <f t="shared" si="2"/>
        <v>Light Rain/Snow</v>
      </c>
      <c r="T33" s="10" t="str">
        <f t="shared" si="3"/>
        <v>Warm</v>
      </c>
    </row>
    <row r="34" spans="1:20" x14ac:dyDescent="0.3">
      <c r="A34">
        <v>33</v>
      </c>
      <c r="B34" t="s">
        <v>17</v>
      </c>
      <c r="C34">
        <v>1</v>
      </c>
      <c r="D34">
        <v>0</v>
      </c>
      <c r="E34">
        <v>1</v>
      </c>
      <c r="F34">
        <v>9</v>
      </c>
      <c r="G34" t="b">
        <v>0</v>
      </c>
      <c r="H34">
        <v>0</v>
      </c>
      <c r="I34">
        <v>2</v>
      </c>
      <c r="J34">
        <v>0.38</v>
      </c>
      <c r="K34">
        <v>0.21195783619818001</v>
      </c>
      <c r="L34">
        <v>0.76</v>
      </c>
      <c r="M34">
        <v>0.22389999999999999</v>
      </c>
      <c r="N34">
        <v>1</v>
      </c>
      <c r="O34">
        <v>19</v>
      </c>
      <c r="P34">
        <v>20</v>
      </c>
      <c r="Q34" t="str">
        <f t="shared" si="0"/>
        <v>Weekend</v>
      </c>
      <c r="R34" t="str">
        <f t="shared" si="1"/>
        <v>Low</v>
      </c>
      <c r="S34" s="10" t="str">
        <f t="shared" si="2"/>
        <v>Mist/Cloudy</v>
      </c>
      <c r="T34" s="10" t="str">
        <f t="shared" si="3"/>
        <v>Warm</v>
      </c>
    </row>
    <row r="35" spans="1:20" x14ac:dyDescent="0.3">
      <c r="A35">
        <v>34</v>
      </c>
      <c r="B35" t="s">
        <v>17</v>
      </c>
      <c r="C35">
        <v>1</v>
      </c>
      <c r="D35">
        <v>0</v>
      </c>
      <c r="E35">
        <v>1</v>
      </c>
      <c r="F35">
        <v>10</v>
      </c>
      <c r="G35" t="b">
        <v>0</v>
      </c>
      <c r="H35">
        <v>0</v>
      </c>
      <c r="I35">
        <v>2</v>
      </c>
      <c r="J35">
        <v>0.36</v>
      </c>
      <c r="K35">
        <v>0.34849999999999998</v>
      </c>
      <c r="L35">
        <v>0.81</v>
      </c>
      <c r="M35">
        <v>0.22389999999999999</v>
      </c>
      <c r="N35">
        <v>7</v>
      </c>
      <c r="O35">
        <v>46</v>
      </c>
      <c r="P35">
        <v>53</v>
      </c>
      <c r="Q35" t="str">
        <f t="shared" si="0"/>
        <v>Weekend</v>
      </c>
      <c r="R35" t="str">
        <f t="shared" si="1"/>
        <v>Medium</v>
      </c>
      <c r="S35" s="10" t="str">
        <f t="shared" si="2"/>
        <v>Mist/Cloudy</v>
      </c>
      <c r="T35" s="10" t="str">
        <f t="shared" si="3"/>
        <v>Warm</v>
      </c>
    </row>
    <row r="36" spans="1:20" x14ac:dyDescent="0.3">
      <c r="A36">
        <v>35</v>
      </c>
      <c r="B36" t="s">
        <v>17</v>
      </c>
      <c r="C36">
        <v>1</v>
      </c>
      <c r="D36">
        <v>0</v>
      </c>
      <c r="E36">
        <v>1</v>
      </c>
      <c r="F36">
        <v>11</v>
      </c>
      <c r="G36" t="b">
        <v>0</v>
      </c>
      <c r="H36">
        <v>0</v>
      </c>
      <c r="I36">
        <v>2</v>
      </c>
      <c r="J36">
        <v>0.36</v>
      </c>
      <c r="K36">
        <v>0.33329999999999999</v>
      </c>
      <c r="L36">
        <v>0.71</v>
      </c>
      <c r="M36">
        <v>0.25369999999999998</v>
      </c>
      <c r="N36">
        <v>16</v>
      </c>
      <c r="O36">
        <v>54</v>
      </c>
      <c r="P36">
        <v>70</v>
      </c>
      <c r="Q36" t="str">
        <f t="shared" si="0"/>
        <v>Weekend</v>
      </c>
      <c r="R36" t="str">
        <f t="shared" si="1"/>
        <v>Medium</v>
      </c>
      <c r="S36" s="10" t="str">
        <f t="shared" si="2"/>
        <v>Mist/Cloudy</v>
      </c>
      <c r="T36" s="10" t="str">
        <f t="shared" si="3"/>
        <v>Warm</v>
      </c>
    </row>
    <row r="37" spans="1:20" x14ac:dyDescent="0.3">
      <c r="A37">
        <v>36</v>
      </c>
      <c r="B37" t="s">
        <v>17</v>
      </c>
      <c r="C37">
        <v>1</v>
      </c>
      <c r="D37">
        <v>0</v>
      </c>
      <c r="E37">
        <v>1</v>
      </c>
      <c r="F37">
        <v>12</v>
      </c>
      <c r="G37" t="b">
        <v>0</v>
      </c>
      <c r="H37">
        <v>0</v>
      </c>
      <c r="I37">
        <v>2</v>
      </c>
      <c r="J37">
        <v>0.36</v>
      </c>
      <c r="K37">
        <v>0.33329999999999999</v>
      </c>
      <c r="L37">
        <v>0.66</v>
      </c>
      <c r="M37">
        <v>0.29849999999999999</v>
      </c>
      <c r="N37">
        <v>20</v>
      </c>
      <c r="O37">
        <v>73</v>
      </c>
      <c r="P37">
        <v>93</v>
      </c>
      <c r="Q37" t="str">
        <f t="shared" si="0"/>
        <v>Weekend</v>
      </c>
      <c r="R37" t="str">
        <f t="shared" si="1"/>
        <v>Medium</v>
      </c>
      <c r="S37" s="10" t="str">
        <f t="shared" si="2"/>
        <v>Mist/Cloudy</v>
      </c>
      <c r="T37" s="10" t="str">
        <f t="shared" si="3"/>
        <v>Warm</v>
      </c>
    </row>
    <row r="38" spans="1:20" x14ac:dyDescent="0.3">
      <c r="A38">
        <v>37</v>
      </c>
      <c r="B38" t="s">
        <v>17</v>
      </c>
      <c r="C38">
        <v>1</v>
      </c>
      <c r="D38">
        <v>0</v>
      </c>
      <c r="E38">
        <v>1</v>
      </c>
      <c r="F38">
        <v>13</v>
      </c>
      <c r="G38" t="b">
        <v>0</v>
      </c>
      <c r="H38">
        <v>0</v>
      </c>
      <c r="I38">
        <v>2</v>
      </c>
      <c r="J38">
        <v>0.36</v>
      </c>
      <c r="K38">
        <v>0.34849999999999998</v>
      </c>
      <c r="L38">
        <v>0.66</v>
      </c>
      <c r="M38">
        <v>0.1343</v>
      </c>
      <c r="N38">
        <v>11</v>
      </c>
      <c r="O38">
        <v>64</v>
      </c>
      <c r="P38">
        <v>75</v>
      </c>
      <c r="Q38" t="str">
        <f t="shared" si="0"/>
        <v>Weekend</v>
      </c>
      <c r="R38" t="str">
        <f t="shared" si="1"/>
        <v>Medium</v>
      </c>
      <c r="S38" s="10" t="str">
        <f t="shared" si="2"/>
        <v>Mist/Cloudy</v>
      </c>
      <c r="T38" s="10" t="str">
        <f t="shared" si="3"/>
        <v>Warm</v>
      </c>
    </row>
    <row r="39" spans="1:20" x14ac:dyDescent="0.3">
      <c r="A39">
        <v>38</v>
      </c>
      <c r="B39" t="s">
        <v>17</v>
      </c>
      <c r="C39">
        <v>1</v>
      </c>
      <c r="D39">
        <v>0</v>
      </c>
      <c r="E39">
        <v>1</v>
      </c>
      <c r="F39">
        <v>14</v>
      </c>
      <c r="G39" t="b">
        <v>0</v>
      </c>
      <c r="H39">
        <v>0</v>
      </c>
      <c r="I39">
        <v>3</v>
      </c>
      <c r="J39">
        <v>0.36</v>
      </c>
      <c r="K39">
        <v>0.21195783619818001</v>
      </c>
      <c r="L39">
        <v>0.76</v>
      </c>
      <c r="M39">
        <v>0.19400000000000001</v>
      </c>
      <c r="N39">
        <v>4</v>
      </c>
      <c r="O39">
        <v>55</v>
      </c>
      <c r="P39">
        <v>59</v>
      </c>
      <c r="Q39" t="str">
        <f t="shared" si="0"/>
        <v>Weekend</v>
      </c>
      <c r="R39" t="str">
        <f t="shared" si="1"/>
        <v>Medium</v>
      </c>
      <c r="S39" s="10" t="str">
        <f t="shared" si="2"/>
        <v>Light Rain/Snow</v>
      </c>
      <c r="T39" s="10" t="str">
        <f t="shared" si="3"/>
        <v>Warm</v>
      </c>
    </row>
    <row r="40" spans="1:20" x14ac:dyDescent="0.3">
      <c r="A40">
        <v>39</v>
      </c>
      <c r="B40" t="s">
        <v>17</v>
      </c>
      <c r="C40">
        <v>1</v>
      </c>
      <c r="D40">
        <v>0</v>
      </c>
      <c r="E40">
        <v>1</v>
      </c>
      <c r="F40">
        <v>15</v>
      </c>
      <c r="G40" t="b">
        <v>0</v>
      </c>
      <c r="H40">
        <v>0</v>
      </c>
      <c r="I40">
        <v>3</v>
      </c>
      <c r="J40">
        <v>0.34</v>
      </c>
      <c r="K40">
        <v>0.33329999999999999</v>
      </c>
      <c r="L40">
        <v>0.81</v>
      </c>
      <c r="M40">
        <v>0.16420000000000001</v>
      </c>
      <c r="N40">
        <v>19</v>
      </c>
      <c r="O40">
        <v>55</v>
      </c>
      <c r="P40">
        <v>74</v>
      </c>
      <c r="Q40" t="str">
        <f t="shared" si="0"/>
        <v>Weekend</v>
      </c>
      <c r="R40" t="str">
        <f t="shared" si="1"/>
        <v>Medium</v>
      </c>
      <c r="S40" s="10" t="str">
        <f t="shared" si="2"/>
        <v>Light Rain/Snow</v>
      </c>
      <c r="T40" s="10" t="str">
        <f t="shared" si="3"/>
        <v>Warm</v>
      </c>
    </row>
    <row r="41" spans="1:20" x14ac:dyDescent="0.3">
      <c r="A41">
        <v>40</v>
      </c>
      <c r="B41" t="s">
        <v>17</v>
      </c>
      <c r="C41">
        <v>1</v>
      </c>
      <c r="D41">
        <v>0</v>
      </c>
      <c r="E41">
        <v>1</v>
      </c>
      <c r="F41">
        <v>16</v>
      </c>
      <c r="G41" t="b">
        <v>0</v>
      </c>
      <c r="H41">
        <v>0</v>
      </c>
      <c r="I41">
        <v>3</v>
      </c>
      <c r="J41">
        <v>0.34</v>
      </c>
      <c r="K41">
        <v>0.33329999999999999</v>
      </c>
      <c r="L41">
        <v>0.71</v>
      </c>
      <c r="M41">
        <v>0.16420000000000001</v>
      </c>
      <c r="N41">
        <v>9</v>
      </c>
      <c r="O41">
        <v>67</v>
      </c>
      <c r="P41">
        <v>76</v>
      </c>
      <c r="Q41" t="str">
        <f t="shared" si="0"/>
        <v>Weekend</v>
      </c>
      <c r="R41" t="str">
        <f t="shared" si="1"/>
        <v>Medium</v>
      </c>
      <c r="S41" s="10" t="str">
        <f t="shared" si="2"/>
        <v>Light Rain/Snow</v>
      </c>
      <c r="T41" s="10" t="str">
        <f t="shared" si="3"/>
        <v>Warm</v>
      </c>
    </row>
    <row r="42" spans="1:20" x14ac:dyDescent="0.3">
      <c r="A42">
        <v>41</v>
      </c>
      <c r="B42" t="s">
        <v>17</v>
      </c>
      <c r="C42">
        <v>1</v>
      </c>
      <c r="D42">
        <v>0</v>
      </c>
      <c r="E42">
        <v>1</v>
      </c>
      <c r="F42">
        <v>17</v>
      </c>
      <c r="G42" t="b">
        <v>0</v>
      </c>
      <c r="H42">
        <v>0</v>
      </c>
      <c r="I42">
        <v>1</v>
      </c>
      <c r="J42">
        <v>0.34</v>
      </c>
      <c r="K42">
        <v>0.33329999999999999</v>
      </c>
      <c r="L42">
        <v>0.56999999999999995</v>
      </c>
      <c r="M42">
        <v>0.19400000000000001</v>
      </c>
      <c r="N42">
        <v>7</v>
      </c>
      <c r="O42">
        <v>58</v>
      </c>
      <c r="P42">
        <v>65</v>
      </c>
      <c r="Q42" t="str">
        <f t="shared" si="0"/>
        <v>Weekend</v>
      </c>
      <c r="R42" t="str">
        <f t="shared" si="1"/>
        <v>Medium</v>
      </c>
      <c r="S42" s="10" t="str">
        <f t="shared" si="2"/>
        <v>Clear</v>
      </c>
      <c r="T42" s="10" t="str">
        <f t="shared" si="3"/>
        <v>Warm</v>
      </c>
    </row>
    <row r="43" spans="1:20" x14ac:dyDescent="0.3">
      <c r="A43">
        <v>42</v>
      </c>
      <c r="B43" t="s">
        <v>17</v>
      </c>
      <c r="C43">
        <v>1</v>
      </c>
      <c r="D43">
        <v>0</v>
      </c>
      <c r="E43">
        <v>1</v>
      </c>
      <c r="F43">
        <v>18</v>
      </c>
      <c r="G43" t="b">
        <v>0</v>
      </c>
      <c r="H43">
        <v>0</v>
      </c>
      <c r="I43">
        <v>2</v>
      </c>
      <c r="J43">
        <v>0.36</v>
      </c>
      <c r="K43">
        <v>0.33329999999999999</v>
      </c>
      <c r="L43">
        <v>0.46</v>
      </c>
      <c r="M43">
        <v>0.32840000000000003</v>
      </c>
      <c r="N43">
        <v>10</v>
      </c>
      <c r="O43">
        <v>43</v>
      </c>
      <c r="P43">
        <v>53</v>
      </c>
      <c r="Q43" t="str">
        <f t="shared" si="0"/>
        <v>Weekend</v>
      </c>
      <c r="R43" t="str">
        <f t="shared" si="1"/>
        <v>Medium</v>
      </c>
      <c r="S43" s="10" t="str">
        <f t="shared" si="2"/>
        <v>Mist/Cloudy</v>
      </c>
      <c r="T43" s="10" t="str">
        <f t="shared" si="3"/>
        <v>Warm</v>
      </c>
    </row>
    <row r="44" spans="1:20" x14ac:dyDescent="0.3">
      <c r="A44">
        <v>43</v>
      </c>
      <c r="B44" t="s">
        <v>17</v>
      </c>
      <c r="C44">
        <v>1</v>
      </c>
      <c r="D44">
        <v>0</v>
      </c>
      <c r="E44">
        <v>1</v>
      </c>
      <c r="F44">
        <v>19</v>
      </c>
      <c r="G44" t="b">
        <v>0</v>
      </c>
      <c r="H44">
        <v>0</v>
      </c>
      <c r="I44">
        <v>1</v>
      </c>
      <c r="J44">
        <v>0.32</v>
      </c>
      <c r="K44">
        <v>0.28789999999999999</v>
      </c>
      <c r="L44">
        <v>0.42</v>
      </c>
      <c r="M44">
        <v>0.44779999999999998</v>
      </c>
      <c r="N44">
        <v>1</v>
      </c>
      <c r="O44">
        <v>29</v>
      </c>
      <c r="P44">
        <v>30</v>
      </c>
      <c r="Q44" t="str">
        <f t="shared" si="0"/>
        <v>Weekend</v>
      </c>
      <c r="R44" t="str">
        <f t="shared" si="1"/>
        <v>Low</v>
      </c>
      <c r="S44" s="10" t="str">
        <f t="shared" si="2"/>
        <v>Clear</v>
      </c>
      <c r="T44" s="10" t="str">
        <f t="shared" si="3"/>
        <v>Warm</v>
      </c>
    </row>
    <row r="45" spans="1:20" x14ac:dyDescent="0.3">
      <c r="A45">
        <v>44</v>
      </c>
      <c r="B45" t="s">
        <v>17</v>
      </c>
      <c r="C45">
        <v>1</v>
      </c>
      <c r="D45">
        <v>0</v>
      </c>
      <c r="E45">
        <v>1</v>
      </c>
      <c r="F45">
        <v>20</v>
      </c>
      <c r="G45" t="b">
        <v>0</v>
      </c>
      <c r="H45">
        <v>0</v>
      </c>
      <c r="I45">
        <v>1</v>
      </c>
      <c r="J45">
        <v>0.3</v>
      </c>
      <c r="K45">
        <v>0.21195783619818001</v>
      </c>
      <c r="L45">
        <v>0.39</v>
      </c>
      <c r="M45">
        <v>0.35820000000000002</v>
      </c>
      <c r="N45">
        <v>5</v>
      </c>
      <c r="O45">
        <v>17</v>
      </c>
      <c r="P45">
        <v>22</v>
      </c>
      <c r="Q45" t="str">
        <f t="shared" si="0"/>
        <v>Weekend</v>
      </c>
      <c r="R45" t="str">
        <f t="shared" si="1"/>
        <v>Low</v>
      </c>
      <c r="S45" s="10" t="str">
        <f t="shared" si="2"/>
        <v>Clear</v>
      </c>
      <c r="T45" s="10" t="str">
        <f t="shared" si="3"/>
        <v>Warm</v>
      </c>
    </row>
    <row r="46" spans="1:20" x14ac:dyDescent="0.3">
      <c r="A46">
        <v>45</v>
      </c>
      <c r="B46" t="s">
        <v>17</v>
      </c>
      <c r="C46">
        <v>1</v>
      </c>
      <c r="D46">
        <v>0</v>
      </c>
      <c r="E46">
        <v>1</v>
      </c>
      <c r="F46">
        <v>21</v>
      </c>
      <c r="G46" t="b">
        <v>0</v>
      </c>
      <c r="H46">
        <v>0</v>
      </c>
      <c r="I46">
        <v>1</v>
      </c>
      <c r="J46">
        <v>0.26</v>
      </c>
      <c r="K46">
        <v>0.2273</v>
      </c>
      <c r="L46">
        <v>0.44</v>
      </c>
      <c r="M46">
        <v>0.32840000000000003</v>
      </c>
      <c r="N46">
        <v>11</v>
      </c>
      <c r="O46">
        <v>20</v>
      </c>
      <c r="P46">
        <v>31</v>
      </c>
      <c r="Q46" t="str">
        <f t="shared" si="0"/>
        <v>Weekend</v>
      </c>
      <c r="R46" t="str">
        <f t="shared" si="1"/>
        <v>Low</v>
      </c>
      <c r="S46" s="10" t="str">
        <f t="shared" si="2"/>
        <v>Clear</v>
      </c>
      <c r="T46" s="10" t="str">
        <f t="shared" si="3"/>
        <v>Cold</v>
      </c>
    </row>
    <row r="47" spans="1:20" x14ac:dyDescent="0.3">
      <c r="A47">
        <v>46</v>
      </c>
      <c r="B47" t="s">
        <v>17</v>
      </c>
      <c r="C47">
        <v>1</v>
      </c>
      <c r="D47">
        <v>0</v>
      </c>
      <c r="E47">
        <v>1</v>
      </c>
      <c r="F47">
        <v>22</v>
      </c>
      <c r="G47" t="b">
        <v>0</v>
      </c>
      <c r="H47">
        <v>0</v>
      </c>
      <c r="I47">
        <v>1</v>
      </c>
      <c r="J47">
        <v>0.24</v>
      </c>
      <c r="K47">
        <v>0.21210000000000001</v>
      </c>
      <c r="L47">
        <v>0.44</v>
      </c>
      <c r="M47">
        <v>0.29849999999999999</v>
      </c>
      <c r="N47">
        <v>0</v>
      </c>
      <c r="O47">
        <v>9</v>
      </c>
      <c r="P47">
        <v>9</v>
      </c>
      <c r="Q47" t="str">
        <f t="shared" si="0"/>
        <v>Weekend</v>
      </c>
      <c r="R47" t="str">
        <f t="shared" si="1"/>
        <v>Low</v>
      </c>
      <c r="S47" s="10" t="str">
        <f t="shared" si="2"/>
        <v>Clear</v>
      </c>
      <c r="T47" s="10" t="str">
        <f t="shared" si="3"/>
        <v>Cold</v>
      </c>
    </row>
    <row r="48" spans="1:20" x14ac:dyDescent="0.3">
      <c r="A48">
        <v>47</v>
      </c>
      <c r="B48" t="s">
        <v>17</v>
      </c>
      <c r="C48">
        <v>1</v>
      </c>
      <c r="D48">
        <v>0</v>
      </c>
      <c r="E48">
        <v>1</v>
      </c>
      <c r="F48">
        <v>23</v>
      </c>
      <c r="G48" t="b">
        <v>0</v>
      </c>
      <c r="H48">
        <v>0</v>
      </c>
      <c r="I48">
        <v>1</v>
      </c>
      <c r="J48">
        <v>0.22</v>
      </c>
      <c r="K48">
        <v>0.2273</v>
      </c>
      <c r="L48">
        <v>0.47</v>
      </c>
      <c r="M48">
        <v>0.16420000000000001</v>
      </c>
      <c r="N48">
        <v>0</v>
      </c>
      <c r="O48">
        <v>8</v>
      </c>
      <c r="P48">
        <v>8</v>
      </c>
      <c r="Q48" t="str">
        <f t="shared" si="0"/>
        <v>Weekend</v>
      </c>
      <c r="R48" t="str">
        <f t="shared" si="1"/>
        <v>Low</v>
      </c>
      <c r="S48" s="10" t="str">
        <f t="shared" si="2"/>
        <v>Clear</v>
      </c>
      <c r="T48" s="10" t="str">
        <f t="shared" si="3"/>
        <v>Cold</v>
      </c>
    </row>
    <row r="49" spans="1:20" x14ac:dyDescent="0.3">
      <c r="A49">
        <v>48</v>
      </c>
      <c r="B49" t="s">
        <v>18</v>
      </c>
      <c r="C49">
        <v>1</v>
      </c>
      <c r="D49">
        <v>0</v>
      </c>
      <c r="E49">
        <v>1</v>
      </c>
      <c r="F49">
        <v>0</v>
      </c>
      <c r="G49" t="b">
        <v>0</v>
      </c>
      <c r="H49">
        <v>1</v>
      </c>
      <c r="I49">
        <v>1</v>
      </c>
      <c r="J49">
        <v>0.22</v>
      </c>
      <c r="K49">
        <v>0.19700000000000001</v>
      </c>
      <c r="L49">
        <v>0.44</v>
      </c>
      <c r="M49">
        <v>0.35820000000000002</v>
      </c>
      <c r="N49">
        <v>0</v>
      </c>
      <c r="O49">
        <v>5</v>
      </c>
      <c r="P49">
        <v>5</v>
      </c>
      <c r="Q49" t="str">
        <f t="shared" si="0"/>
        <v>Weekday</v>
      </c>
      <c r="R49" t="str">
        <f t="shared" si="1"/>
        <v>Low</v>
      </c>
      <c r="S49" s="10" t="str">
        <f t="shared" si="2"/>
        <v>Clear</v>
      </c>
      <c r="T49" s="10" t="str">
        <f t="shared" si="3"/>
        <v>Cold</v>
      </c>
    </row>
    <row r="50" spans="1:20" x14ac:dyDescent="0.3">
      <c r="A50">
        <v>49</v>
      </c>
      <c r="B50" t="s">
        <v>18</v>
      </c>
      <c r="C50">
        <v>1</v>
      </c>
      <c r="D50">
        <v>0</v>
      </c>
      <c r="E50">
        <v>1</v>
      </c>
      <c r="F50">
        <v>1</v>
      </c>
      <c r="G50" t="b">
        <v>0</v>
      </c>
      <c r="H50">
        <v>1</v>
      </c>
      <c r="I50">
        <v>1</v>
      </c>
      <c r="J50">
        <v>0.2</v>
      </c>
      <c r="K50">
        <v>0.21195783619818001</v>
      </c>
      <c r="L50">
        <v>0.44</v>
      </c>
      <c r="M50">
        <v>0.41789999999999999</v>
      </c>
      <c r="N50">
        <v>0</v>
      </c>
      <c r="O50">
        <v>2</v>
      </c>
      <c r="P50">
        <v>2</v>
      </c>
      <c r="Q50" t="str">
        <f t="shared" si="0"/>
        <v>Weekday</v>
      </c>
      <c r="R50" t="str">
        <f t="shared" si="1"/>
        <v>Low</v>
      </c>
      <c r="S50" s="10" t="str">
        <f t="shared" si="2"/>
        <v>Clear</v>
      </c>
      <c r="T50" s="10" t="str">
        <f t="shared" si="3"/>
        <v>Cold</v>
      </c>
    </row>
    <row r="51" spans="1:20" x14ac:dyDescent="0.3">
      <c r="A51">
        <v>50</v>
      </c>
      <c r="B51" t="s">
        <v>18</v>
      </c>
      <c r="C51">
        <v>1</v>
      </c>
      <c r="D51">
        <v>0</v>
      </c>
      <c r="E51">
        <v>1</v>
      </c>
      <c r="F51">
        <v>4</v>
      </c>
      <c r="G51" t="b">
        <v>0</v>
      </c>
      <c r="H51">
        <v>1</v>
      </c>
      <c r="I51">
        <v>1</v>
      </c>
      <c r="J51">
        <v>0.16</v>
      </c>
      <c r="K51">
        <v>0.13639999999999999</v>
      </c>
      <c r="L51">
        <v>0.47</v>
      </c>
      <c r="M51">
        <v>0.3881</v>
      </c>
      <c r="N51">
        <v>0</v>
      </c>
      <c r="O51">
        <v>1</v>
      </c>
      <c r="P51">
        <v>1</v>
      </c>
      <c r="Q51" t="str">
        <f t="shared" si="0"/>
        <v>Weekday</v>
      </c>
      <c r="R51" t="str">
        <f t="shared" si="1"/>
        <v>Low</v>
      </c>
      <c r="S51" s="10" t="str">
        <f t="shared" si="2"/>
        <v>Clear</v>
      </c>
      <c r="T51" s="10" t="str">
        <f t="shared" si="3"/>
        <v>Cold</v>
      </c>
    </row>
    <row r="52" spans="1:20" x14ac:dyDescent="0.3">
      <c r="A52">
        <v>51</v>
      </c>
      <c r="B52" t="s">
        <v>18</v>
      </c>
      <c r="C52">
        <v>1</v>
      </c>
      <c r="D52">
        <v>0</v>
      </c>
      <c r="E52">
        <v>1</v>
      </c>
      <c r="F52">
        <v>5</v>
      </c>
      <c r="G52" t="b">
        <v>0</v>
      </c>
      <c r="H52">
        <v>1</v>
      </c>
      <c r="I52">
        <v>1</v>
      </c>
      <c r="J52">
        <v>0.16</v>
      </c>
      <c r="K52">
        <v>0.13639999999999999</v>
      </c>
      <c r="L52">
        <v>0.47</v>
      </c>
      <c r="M52">
        <v>0.28360000000000002</v>
      </c>
      <c r="N52">
        <v>0</v>
      </c>
      <c r="O52">
        <v>3</v>
      </c>
      <c r="P52">
        <v>3</v>
      </c>
      <c r="Q52" t="str">
        <f t="shared" si="0"/>
        <v>Weekday</v>
      </c>
      <c r="R52" t="str">
        <f t="shared" si="1"/>
        <v>Low</v>
      </c>
      <c r="S52" s="10" t="str">
        <f t="shared" si="2"/>
        <v>Clear</v>
      </c>
      <c r="T52" s="10" t="str">
        <f t="shared" si="3"/>
        <v>Cold</v>
      </c>
    </row>
    <row r="53" spans="1:20" x14ac:dyDescent="0.3">
      <c r="A53">
        <v>52</v>
      </c>
      <c r="B53" t="s">
        <v>18</v>
      </c>
      <c r="C53">
        <v>1</v>
      </c>
      <c r="D53">
        <v>0</v>
      </c>
      <c r="E53">
        <v>1</v>
      </c>
      <c r="F53">
        <v>6</v>
      </c>
      <c r="G53" t="b">
        <v>0</v>
      </c>
      <c r="H53">
        <v>1</v>
      </c>
      <c r="I53">
        <v>1</v>
      </c>
      <c r="J53">
        <v>0.14000000000000001</v>
      </c>
      <c r="K53">
        <v>0.1061</v>
      </c>
      <c r="L53">
        <v>0.5</v>
      </c>
      <c r="M53">
        <v>0.3881</v>
      </c>
      <c r="N53">
        <v>0</v>
      </c>
      <c r="O53">
        <v>30</v>
      </c>
      <c r="P53">
        <v>30</v>
      </c>
      <c r="Q53" t="str">
        <f t="shared" si="0"/>
        <v>Weekday</v>
      </c>
      <c r="R53" t="str">
        <f t="shared" si="1"/>
        <v>Low</v>
      </c>
      <c r="S53" s="10" t="str">
        <f t="shared" si="2"/>
        <v>Clear</v>
      </c>
      <c r="T53" s="10" t="str">
        <f t="shared" si="3"/>
        <v>Cold</v>
      </c>
    </row>
    <row r="54" spans="1:20" x14ac:dyDescent="0.3">
      <c r="A54">
        <v>53</v>
      </c>
      <c r="B54" t="s">
        <v>18</v>
      </c>
      <c r="C54">
        <v>1</v>
      </c>
      <c r="D54">
        <v>0</v>
      </c>
      <c r="E54">
        <v>1</v>
      </c>
      <c r="F54">
        <v>7</v>
      </c>
      <c r="G54" t="b">
        <v>0</v>
      </c>
      <c r="H54">
        <v>1</v>
      </c>
      <c r="I54">
        <v>1</v>
      </c>
      <c r="J54">
        <v>0.14000000000000001</v>
      </c>
      <c r="K54">
        <v>0.13639999999999999</v>
      </c>
      <c r="L54">
        <v>0.5</v>
      </c>
      <c r="M54">
        <v>0.19400000000000001</v>
      </c>
      <c r="N54">
        <v>1</v>
      </c>
      <c r="O54">
        <v>63</v>
      </c>
      <c r="P54">
        <v>64</v>
      </c>
      <c r="Q54" t="str">
        <f t="shared" si="0"/>
        <v>Weekday</v>
      </c>
      <c r="R54" t="str">
        <f t="shared" si="1"/>
        <v>Medium</v>
      </c>
      <c r="S54" s="10" t="str">
        <f t="shared" si="2"/>
        <v>Clear</v>
      </c>
      <c r="T54" s="10" t="str">
        <f t="shared" si="3"/>
        <v>Cold</v>
      </c>
    </row>
    <row r="55" spans="1:20" x14ac:dyDescent="0.3">
      <c r="A55">
        <v>54</v>
      </c>
      <c r="B55" t="s">
        <v>18</v>
      </c>
      <c r="C55">
        <v>1</v>
      </c>
      <c r="D55">
        <v>0</v>
      </c>
      <c r="E55">
        <v>1</v>
      </c>
      <c r="F55">
        <v>8</v>
      </c>
      <c r="G55" t="b">
        <v>0</v>
      </c>
      <c r="H55">
        <v>1</v>
      </c>
      <c r="I55">
        <v>1</v>
      </c>
      <c r="J55">
        <v>0.14000000000000001</v>
      </c>
      <c r="K55">
        <v>0.1212</v>
      </c>
      <c r="L55">
        <v>0.5</v>
      </c>
      <c r="M55">
        <v>0.28360000000000002</v>
      </c>
      <c r="N55">
        <v>1</v>
      </c>
      <c r="O55">
        <v>153</v>
      </c>
      <c r="P55">
        <v>154</v>
      </c>
      <c r="Q55" t="str">
        <f t="shared" si="0"/>
        <v>Weekday</v>
      </c>
      <c r="R55" t="str">
        <f t="shared" si="1"/>
        <v>High</v>
      </c>
      <c r="S55" s="10" t="str">
        <f t="shared" si="2"/>
        <v>Clear</v>
      </c>
      <c r="T55" s="10" t="str">
        <f t="shared" si="3"/>
        <v>Cold</v>
      </c>
    </row>
    <row r="56" spans="1:20" x14ac:dyDescent="0.3">
      <c r="A56">
        <v>55</v>
      </c>
      <c r="B56" t="s">
        <v>18</v>
      </c>
      <c r="C56">
        <v>1</v>
      </c>
      <c r="D56">
        <v>0</v>
      </c>
      <c r="E56">
        <v>1</v>
      </c>
      <c r="F56">
        <v>9</v>
      </c>
      <c r="G56" t="b">
        <v>0</v>
      </c>
      <c r="H56">
        <v>1</v>
      </c>
      <c r="I56">
        <v>1</v>
      </c>
      <c r="J56">
        <v>0.16</v>
      </c>
      <c r="K56">
        <v>0.13639999999999999</v>
      </c>
      <c r="L56">
        <v>0.43</v>
      </c>
      <c r="M56">
        <v>0.3881</v>
      </c>
      <c r="N56">
        <v>7</v>
      </c>
      <c r="O56">
        <v>81</v>
      </c>
      <c r="P56">
        <v>88</v>
      </c>
      <c r="Q56" t="str">
        <f t="shared" si="0"/>
        <v>Weekday</v>
      </c>
      <c r="R56" t="str">
        <f t="shared" si="1"/>
        <v>Medium</v>
      </c>
      <c r="S56" s="10" t="str">
        <f t="shared" si="2"/>
        <v>Clear</v>
      </c>
      <c r="T56" s="10" t="str">
        <f t="shared" si="3"/>
        <v>Cold</v>
      </c>
    </row>
    <row r="57" spans="1:20" x14ac:dyDescent="0.3">
      <c r="A57">
        <v>56</v>
      </c>
      <c r="B57" t="s">
        <v>18</v>
      </c>
      <c r="C57">
        <v>1</v>
      </c>
      <c r="D57">
        <v>0</v>
      </c>
      <c r="E57">
        <v>1</v>
      </c>
      <c r="F57">
        <v>10</v>
      </c>
      <c r="G57" t="b">
        <v>0</v>
      </c>
      <c r="H57">
        <v>1</v>
      </c>
      <c r="I57">
        <v>1</v>
      </c>
      <c r="J57">
        <v>0.18</v>
      </c>
      <c r="K57">
        <v>0.16669999999999999</v>
      </c>
      <c r="L57">
        <v>0.43</v>
      </c>
      <c r="M57">
        <v>0.25369999999999998</v>
      </c>
      <c r="N57">
        <v>11</v>
      </c>
      <c r="O57">
        <v>33</v>
      </c>
      <c r="P57">
        <v>44</v>
      </c>
      <c r="Q57" t="str">
        <f t="shared" si="0"/>
        <v>Weekday</v>
      </c>
      <c r="R57" t="str">
        <f t="shared" si="1"/>
        <v>Low</v>
      </c>
      <c r="S57" s="10" t="str">
        <f t="shared" si="2"/>
        <v>Clear</v>
      </c>
      <c r="T57" s="10" t="str">
        <f t="shared" si="3"/>
        <v>Cold</v>
      </c>
    </row>
    <row r="58" spans="1:20" x14ac:dyDescent="0.3">
      <c r="A58">
        <v>57</v>
      </c>
      <c r="B58" t="s">
        <v>18</v>
      </c>
      <c r="C58">
        <v>1</v>
      </c>
      <c r="D58">
        <v>0</v>
      </c>
      <c r="E58">
        <v>1</v>
      </c>
      <c r="F58">
        <v>11</v>
      </c>
      <c r="G58" t="b">
        <v>0</v>
      </c>
      <c r="H58">
        <v>1</v>
      </c>
      <c r="I58">
        <v>1</v>
      </c>
      <c r="J58">
        <v>0.2</v>
      </c>
      <c r="K58">
        <v>0.18179999999999999</v>
      </c>
      <c r="L58">
        <v>0.4</v>
      </c>
      <c r="M58">
        <v>0.32840000000000003</v>
      </c>
      <c r="N58">
        <v>10</v>
      </c>
      <c r="O58">
        <v>41</v>
      </c>
      <c r="P58">
        <v>51</v>
      </c>
      <c r="Q58" t="str">
        <f t="shared" si="0"/>
        <v>Weekday</v>
      </c>
      <c r="R58" t="str">
        <f t="shared" si="1"/>
        <v>Medium</v>
      </c>
      <c r="S58" s="10" t="str">
        <f t="shared" si="2"/>
        <v>Clear</v>
      </c>
      <c r="T58" s="10" t="str">
        <f t="shared" si="3"/>
        <v>Cold</v>
      </c>
    </row>
    <row r="59" spans="1:20" x14ac:dyDescent="0.3">
      <c r="A59">
        <v>58</v>
      </c>
      <c r="B59" t="s">
        <v>18</v>
      </c>
      <c r="C59">
        <v>1</v>
      </c>
      <c r="D59">
        <v>0</v>
      </c>
      <c r="E59">
        <v>1</v>
      </c>
      <c r="F59">
        <v>12</v>
      </c>
      <c r="G59" t="b">
        <v>0</v>
      </c>
      <c r="H59">
        <v>1</v>
      </c>
      <c r="I59">
        <v>1</v>
      </c>
      <c r="J59">
        <v>0.22</v>
      </c>
      <c r="K59">
        <v>0.21210000000000001</v>
      </c>
      <c r="L59">
        <v>0.35</v>
      </c>
      <c r="M59">
        <v>0.29849999999999999</v>
      </c>
      <c r="N59">
        <v>13</v>
      </c>
      <c r="O59">
        <v>48</v>
      </c>
      <c r="P59">
        <v>61</v>
      </c>
      <c r="Q59" t="str">
        <f t="shared" si="0"/>
        <v>Weekday</v>
      </c>
      <c r="R59" t="str">
        <f t="shared" si="1"/>
        <v>Medium</v>
      </c>
      <c r="S59" s="10" t="str">
        <f t="shared" si="2"/>
        <v>Clear</v>
      </c>
      <c r="T59" s="10" t="str">
        <f t="shared" si="3"/>
        <v>Cold</v>
      </c>
    </row>
    <row r="60" spans="1:20" x14ac:dyDescent="0.3">
      <c r="A60">
        <v>59</v>
      </c>
      <c r="B60" t="s">
        <v>18</v>
      </c>
      <c r="C60">
        <v>1</v>
      </c>
      <c r="D60">
        <v>0</v>
      </c>
      <c r="E60">
        <v>1</v>
      </c>
      <c r="F60">
        <v>13</v>
      </c>
      <c r="G60" t="b">
        <v>0</v>
      </c>
      <c r="H60">
        <v>1</v>
      </c>
      <c r="I60">
        <v>1</v>
      </c>
      <c r="J60">
        <v>0.24</v>
      </c>
      <c r="K60">
        <v>0.21195783619818001</v>
      </c>
      <c r="L60">
        <v>0.35</v>
      </c>
      <c r="M60">
        <v>0.28360000000000002</v>
      </c>
      <c r="N60">
        <v>8</v>
      </c>
      <c r="O60">
        <v>53</v>
      </c>
      <c r="P60">
        <v>61</v>
      </c>
      <c r="Q60" t="str">
        <f t="shared" si="0"/>
        <v>Weekday</v>
      </c>
      <c r="R60" t="str">
        <f t="shared" si="1"/>
        <v>Medium</v>
      </c>
      <c r="S60" s="10" t="str">
        <f t="shared" si="2"/>
        <v>Clear</v>
      </c>
      <c r="T60" s="10" t="str">
        <f t="shared" si="3"/>
        <v>Cold</v>
      </c>
    </row>
    <row r="61" spans="1:20" x14ac:dyDescent="0.3">
      <c r="A61">
        <v>60</v>
      </c>
      <c r="B61" t="s">
        <v>18</v>
      </c>
      <c r="C61">
        <v>1</v>
      </c>
      <c r="D61">
        <v>0</v>
      </c>
      <c r="E61">
        <v>1</v>
      </c>
      <c r="F61">
        <v>14</v>
      </c>
      <c r="G61" t="b">
        <v>0</v>
      </c>
      <c r="H61">
        <v>1</v>
      </c>
      <c r="I61">
        <v>1</v>
      </c>
      <c r="J61">
        <v>0.26</v>
      </c>
      <c r="K61">
        <v>0.2424</v>
      </c>
      <c r="L61">
        <v>0.3</v>
      </c>
      <c r="M61">
        <v>0.28360000000000002</v>
      </c>
      <c r="N61">
        <v>11</v>
      </c>
      <c r="O61">
        <v>66</v>
      </c>
      <c r="P61">
        <v>77</v>
      </c>
      <c r="Q61" t="str">
        <f t="shared" si="0"/>
        <v>Weekday</v>
      </c>
      <c r="R61" t="str">
        <f t="shared" si="1"/>
        <v>Medium</v>
      </c>
      <c r="S61" s="10" t="str">
        <f t="shared" si="2"/>
        <v>Clear</v>
      </c>
      <c r="T61" s="10" t="str">
        <f t="shared" si="3"/>
        <v>Cold</v>
      </c>
    </row>
    <row r="62" spans="1:20" x14ac:dyDescent="0.3">
      <c r="A62">
        <v>61</v>
      </c>
      <c r="B62" t="s">
        <v>18</v>
      </c>
      <c r="C62">
        <v>1</v>
      </c>
      <c r="D62">
        <v>0</v>
      </c>
      <c r="E62">
        <v>1</v>
      </c>
      <c r="F62">
        <v>15</v>
      </c>
      <c r="G62" t="b">
        <v>0</v>
      </c>
      <c r="H62">
        <v>1</v>
      </c>
      <c r="I62">
        <v>1</v>
      </c>
      <c r="J62">
        <v>0.26</v>
      </c>
      <c r="K62">
        <v>0.2424</v>
      </c>
      <c r="L62">
        <v>0.3</v>
      </c>
      <c r="M62">
        <v>0.25369999999999998</v>
      </c>
      <c r="N62">
        <v>14</v>
      </c>
      <c r="O62">
        <v>58</v>
      </c>
      <c r="P62">
        <v>72</v>
      </c>
      <c r="Q62" t="str">
        <f t="shared" si="0"/>
        <v>Weekday</v>
      </c>
      <c r="R62" t="str">
        <f t="shared" si="1"/>
        <v>Medium</v>
      </c>
      <c r="S62" s="10" t="str">
        <f t="shared" si="2"/>
        <v>Clear</v>
      </c>
      <c r="T62" s="10" t="str">
        <f t="shared" si="3"/>
        <v>Cold</v>
      </c>
    </row>
    <row r="63" spans="1:20" x14ac:dyDescent="0.3">
      <c r="A63">
        <v>62</v>
      </c>
      <c r="B63" t="s">
        <v>18</v>
      </c>
      <c r="C63">
        <v>1</v>
      </c>
      <c r="D63">
        <v>0</v>
      </c>
      <c r="E63">
        <v>1</v>
      </c>
      <c r="F63">
        <v>16</v>
      </c>
      <c r="G63" t="b">
        <v>0</v>
      </c>
      <c r="H63">
        <v>1</v>
      </c>
      <c r="I63">
        <v>1</v>
      </c>
      <c r="J63">
        <v>0.26</v>
      </c>
      <c r="K63">
        <v>0.2424</v>
      </c>
      <c r="L63">
        <v>0.3</v>
      </c>
      <c r="M63">
        <v>0.25369999999999998</v>
      </c>
      <c r="N63">
        <v>9</v>
      </c>
      <c r="O63">
        <v>67</v>
      </c>
      <c r="P63">
        <v>76</v>
      </c>
      <c r="Q63" t="str">
        <f t="shared" si="0"/>
        <v>Weekday</v>
      </c>
      <c r="R63" t="str">
        <f t="shared" si="1"/>
        <v>Medium</v>
      </c>
      <c r="S63" s="10" t="str">
        <f t="shared" si="2"/>
        <v>Clear</v>
      </c>
      <c r="T63" s="10" t="str">
        <f t="shared" si="3"/>
        <v>Cold</v>
      </c>
    </row>
    <row r="64" spans="1:20" x14ac:dyDescent="0.3">
      <c r="A64">
        <v>63</v>
      </c>
      <c r="B64" t="s">
        <v>18</v>
      </c>
      <c r="C64">
        <v>1</v>
      </c>
      <c r="D64">
        <v>0</v>
      </c>
      <c r="E64">
        <v>1</v>
      </c>
      <c r="F64">
        <v>17</v>
      </c>
      <c r="G64" t="b">
        <v>0</v>
      </c>
      <c r="H64">
        <v>1</v>
      </c>
      <c r="I64">
        <v>1</v>
      </c>
      <c r="J64">
        <v>0.24</v>
      </c>
      <c r="K64">
        <v>0.2273</v>
      </c>
      <c r="L64">
        <v>0.3</v>
      </c>
      <c r="M64">
        <v>0.22389999999999999</v>
      </c>
      <c r="N64">
        <v>11</v>
      </c>
      <c r="O64">
        <v>146</v>
      </c>
      <c r="P64">
        <v>157</v>
      </c>
      <c r="Q64" t="str">
        <f t="shared" si="0"/>
        <v>Weekday</v>
      </c>
      <c r="R64" t="str">
        <f t="shared" si="1"/>
        <v>High</v>
      </c>
      <c r="S64" s="10" t="str">
        <f t="shared" si="2"/>
        <v>Clear</v>
      </c>
      <c r="T64" s="10" t="str">
        <f t="shared" si="3"/>
        <v>Cold</v>
      </c>
    </row>
    <row r="65" spans="1:20" x14ac:dyDescent="0.3">
      <c r="A65">
        <v>64</v>
      </c>
      <c r="B65" t="s">
        <v>18</v>
      </c>
      <c r="C65">
        <v>1</v>
      </c>
      <c r="D65">
        <v>0</v>
      </c>
      <c r="E65">
        <v>1</v>
      </c>
      <c r="F65">
        <v>18</v>
      </c>
      <c r="G65" t="b">
        <v>0</v>
      </c>
      <c r="H65">
        <v>1</v>
      </c>
      <c r="I65">
        <v>1</v>
      </c>
      <c r="J65">
        <v>0.24</v>
      </c>
      <c r="K65">
        <v>0.2576</v>
      </c>
      <c r="L65">
        <v>0.32</v>
      </c>
      <c r="M65">
        <v>0.1045</v>
      </c>
      <c r="N65">
        <v>9</v>
      </c>
      <c r="O65">
        <v>148</v>
      </c>
      <c r="P65">
        <v>157</v>
      </c>
      <c r="Q65" t="str">
        <f t="shared" si="0"/>
        <v>Weekday</v>
      </c>
      <c r="R65" t="str">
        <f t="shared" si="1"/>
        <v>High</v>
      </c>
      <c r="S65" s="10" t="str">
        <f t="shared" si="2"/>
        <v>Clear</v>
      </c>
      <c r="T65" s="10" t="str">
        <f t="shared" si="3"/>
        <v>Cold</v>
      </c>
    </row>
    <row r="66" spans="1:20" x14ac:dyDescent="0.3">
      <c r="A66">
        <v>65</v>
      </c>
      <c r="B66" t="s">
        <v>18</v>
      </c>
      <c r="C66">
        <v>1</v>
      </c>
      <c r="D66">
        <v>0</v>
      </c>
      <c r="E66">
        <v>1</v>
      </c>
      <c r="F66">
        <v>19</v>
      </c>
      <c r="G66" t="b">
        <v>0</v>
      </c>
      <c r="H66">
        <v>1</v>
      </c>
      <c r="I66">
        <v>1</v>
      </c>
      <c r="J66">
        <v>0.2</v>
      </c>
      <c r="K66">
        <v>0.2576</v>
      </c>
      <c r="L66">
        <v>0.47</v>
      </c>
      <c r="M66">
        <v>0</v>
      </c>
      <c r="N66">
        <v>8</v>
      </c>
      <c r="O66">
        <v>102</v>
      </c>
      <c r="P66">
        <v>110</v>
      </c>
      <c r="Q66" t="str">
        <f t="shared" ref="Q66:Q129" si="4">IF(G66=TRUE,"Holiday",IF(H66=0,"Weekend","Weekday"))</f>
        <v>Weekday</v>
      </c>
      <c r="R66" t="str">
        <f t="shared" ref="R66:R129" si="5">IF(P66&lt;50,"Low",IF(P66&lt;150,"Medium","High"))</f>
        <v>Medium</v>
      </c>
      <c r="S66" s="10" t="str">
        <f t="shared" si="2"/>
        <v>Clear</v>
      </c>
      <c r="T66" s="10" t="str">
        <f t="shared" si="3"/>
        <v>Cold</v>
      </c>
    </row>
    <row r="67" spans="1:20" x14ac:dyDescent="0.3">
      <c r="A67">
        <v>66</v>
      </c>
      <c r="B67" t="s">
        <v>18</v>
      </c>
      <c r="C67">
        <v>1</v>
      </c>
      <c r="D67">
        <v>0</v>
      </c>
      <c r="E67">
        <v>1</v>
      </c>
      <c r="F67">
        <v>20</v>
      </c>
      <c r="G67" t="b">
        <v>0</v>
      </c>
      <c r="H67">
        <v>1</v>
      </c>
      <c r="I67">
        <v>1</v>
      </c>
      <c r="J67">
        <v>0.2</v>
      </c>
      <c r="K67">
        <v>0.21195783619818001</v>
      </c>
      <c r="L67">
        <v>0.47</v>
      </c>
      <c r="M67">
        <v>0.1045</v>
      </c>
      <c r="N67">
        <v>3</v>
      </c>
      <c r="O67">
        <v>49</v>
      </c>
      <c r="P67">
        <v>52</v>
      </c>
      <c r="Q67" t="str">
        <f t="shared" si="4"/>
        <v>Weekday</v>
      </c>
      <c r="R67" t="str">
        <f t="shared" si="5"/>
        <v>Medium</v>
      </c>
      <c r="S67" s="10" t="str">
        <f t="shared" ref="S67:S130" si="6">IF(I67=1,"Clear",IF(I67=2,"Mist/Cloudy",IF(I67=3,"Light Rain/Snow","Heavy Rain/Ice")))</f>
        <v>Clear</v>
      </c>
      <c r="T67" s="10" t="str">
        <f t="shared" ref="T67:T130" si="7">IF(J67&lt;0.3,"Cold","Warm")</f>
        <v>Cold</v>
      </c>
    </row>
    <row r="68" spans="1:20" x14ac:dyDescent="0.3">
      <c r="A68">
        <v>67</v>
      </c>
      <c r="B68" t="s">
        <v>18</v>
      </c>
      <c r="C68">
        <v>1</v>
      </c>
      <c r="D68">
        <v>0</v>
      </c>
      <c r="E68">
        <v>1</v>
      </c>
      <c r="F68">
        <v>21</v>
      </c>
      <c r="G68" t="b">
        <v>0</v>
      </c>
      <c r="H68">
        <v>1</v>
      </c>
      <c r="I68">
        <v>1</v>
      </c>
      <c r="J68">
        <v>0.18</v>
      </c>
      <c r="K68">
        <v>0.19700000000000001</v>
      </c>
      <c r="L68">
        <v>0.64</v>
      </c>
      <c r="M68">
        <v>0.1343</v>
      </c>
      <c r="N68">
        <v>3</v>
      </c>
      <c r="O68">
        <v>49</v>
      </c>
      <c r="P68">
        <v>52</v>
      </c>
      <c r="Q68" t="str">
        <f t="shared" si="4"/>
        <v>Weekday</v>
      </c>
      <c r="R68" t="str">
        <f t="shared" si="5"/>
        <v>Medium</v>
      </c>
      <c r="S68" s="10" t="str">
        <f t="shared" si="6"/>
        <v>Clear</v>
      </c>
      <c r="T68" s="10" t="str">
        <f t="shared" si="7"/>
        <v>Cold</v>
      </c>
    </row>
    <row r="69" spans="1:20" x14ac:dyDescent="0.3">
      <c r="A69">
        <v>68</v>
      </c>
      <c r="B69" t="s">
        <v>18</v>
      </c>
      <c r="C69">
        <v>1</v>
      </c>
      <c r="D69">
        <v>0</v>
      </c>
      <c r="E69">
        <v>1</v>
      </c>
      <c r="F69">
        <v>22</v>
      </c>
      <c r="G69" t="b">
        <v>0</v>
      </c>
      <c r="H69">
        <v>1</v>
      </c>
      <c r="I69">
        <v>1</v>
      </c>
      <c r="J69">
        <v>0.14000000000000001</v>
      </c>
      <c r="K69">
        <v>0.1515</v>
      </c>
      <c r="L69">
        <v>0.69</v>
      </c>
      <c r="M69">
        <v>0.1343</v>
      </c>
      <c r="N69">
        <v>0</v>
      </c>
      <c r="O69">
        <v>20</v>
      </c>
      <c r="P69">
        <v>20</v>
      </c>
      <c r="Q69" t="str">
        <f t="shared" si="4"/>
        <v>Weekday</v>
      </c>
      <c r="R69" t="str">
        <f t="shared" si="5"/>
        <v>Low</v>
      </c>
      <c r="S69" s="10" t="str">
        <f t="shared" si="6"/>
        <v>Clear</v>
      </c>
      <c r="T69" s="10" t="str">
        <f t="shared" si="7"/>
        <v>Cold</v>
      </c>
    </row>
    <row r="70" spans="1:20" x14ac:dyDescent="0.3">
      <c r="A70">
        <v>69</v>
      </c>
      <c r="B70" t="s">
        <v>18</v>
      </c>
      <c r="C70">
        <v>1</v>
      </c>
      <c r="D70">
        <v>0</v>
      </c>
      <c r="E70">
        <v>1</v>
      </c>
      <c r="F70">
        <v>23</v>
      </c>
      <c r="G70" t="b">
        <v>0</v>
      </c>
      <c r="H70">
        <v>1</v>
      </c>
      <c r="I70">
        <v>1</v>
      </c>
      <c r="J70">
        <v>0.18</v>
      </c>
      <c r="K70">
        <v>0.21210000000000001</v>
      </c>
      <c r="L70">
        <v>0.55000000000000004</v>
      </c>
      <c r="M70">
        <v>0.1045</v>
      </c>
      <c r="N70">
        <v>1</v>
      </c>
      <c r="O70">
        <v>11</v>
      </c>
      <c r="P70">
        <v>12</v>
      </c>
      <c r="Q70" t="str">
        <f t="shared" si="4"/>
        <v>Weekday</v>
      </c>
      <c r="R70" t="str">
        <f t="shared" si="5"/>
        <v>Low</v>
      </c>
      <c r="S70" s="10" t="str">
        <f t="shared" si="6"/>
        <v>Clear</v>
      </c>
      <c r="T70" s="10" t="str">
        <f t="shared" si="7"/>
        <v>Cold</v>
      </c>
    </row>
    <row r="71" spans="1:20" x14ac:dyDescent="0.3">
      <c r="A71">
        <v>70</v>
      </c>
      <c r="B71" t="s">
        <v>19</v>
      </c>
      <c r="C71">
        <v>1</v>
      </c>
      <c r="D71">
        <v>0</v>
      </c>
      <c r="E71">
        <v>1</v>
      </c>
      <c r="F71">
        <v>0</v>
      </c>
      <c r="G71" t="b">
        <v>0</v>
      </c>
      <c r="H71">
        <v>2</v>
      </c>
      <c r="I71">
        <v>1</v>
      </c>
      <c r="J71">
        <v>0.16</v>
      </c>
      <c r="K71">
        <v>0.21195783619818001</v>
      </c>
      <c r="L71">
        <v>0.55000000000000004</v>
      </c>
      <c r="M71">
        <v>0.1045</v>
      </c>
      <c r="N71">
        <v>0</v>
      </c>
      <c r="O71">
        <v>5</v>
      </c>
      <c r="P71">
        <v>5</v>
      </c>
      <c r="Q71" t="str">
        <f t="shared" si="4"/>
        <v>Weekday</v>
      </c>
      <c r="R71" t="str">
        <f t="shared" si="5"/>
        <v>Low</v>
      </c>
      <c r="S71" s="10" t="str">
        <f t="shared" si="6"/>
        <v>Clear</v>
      </c>
      <c r="T71" s="10" t="str">
        <f t="shared" si="7"/>
        <v>Cold</v>
      </c>
    </row>
    <row r="72" spans="1:20" x14ac:dyDescent="0.3">
      <c r="A72">
        <v>71</v>
      </c>
      <c r="B72" t="s">
        <v>19</v>
      </c>
      <c r="C72">
        <v>1</v>
      </c>
      <c r="D72">
        <v>0</v>
      </c>
      <c r="E72">
        <v>1</v>
      </c>
      <c r="F72">
        <v>1</v>
      </c>
      <c r="G72" t="b">
        <v>0</v>
      </c>
      <c r="H72">
        <v>2</v>
      </c>
      <c r="I72">
        <v>1</v>
      </c>
      <c r="J72">
        <v>0.16</v>
      </c>
      <c r="K72">
        <v>0.18179999999999999</v>
      </c>
      <c r="L72">
        <v>0.59</v>
      </c>
      <c r="M72">
        <v>0.1045</v>
      </c>
      <c r="N72">
        <v>0</v>
      </c>
      <c r="O72">
        <v>2</v>
      </c>
      <c r="P72">
        <v>2</v>
      </c>
      <c r="Q72" t="str">
        <f t="shared" si="4"/>
        <v>Weekday</v>
      </c>
      <c r="R72" t="str">
        <f t="shared" si="5"/>
        <v>Low</v>
      </c>
      <c r="S72" s="10" t="str">
        <f t="shared" si="6"/>
        <v>Clear</v>
      </c>
      <c r="T72" s="10" t="str">
        <f t="shared" si="7"/>
        <v>Cold</v>
      </c>
    </row>
    <row r="73" spans="1:20" x14ac:dyDescent="0.3">
      <c r="A73">
        <v>72</v>
      </c>
      <c r="B73" t="s">
        <v>19</v>
      </c>
      <c r="C73">
        <v>1</v>
      </c>
      <c r="D73">
        <v>0</v>
      </c>
      <c r="E73">
        <v>1</v>
      </c>
      <c r="F73">
        <v>2</v>
      </c>
      <c r="G73" t="b">
        <v>0</v>
      </c>
      <c r="H73">
        <v>2</v>
      </c>
      <c r="I73">
        <v>1</v>
      </c>
      <c r="J73">
        <v>0.14000000000000001</v>
      </c>
      <c r="K73">
        <v>0.1515</v>
      </c>
      <c r="L73">
        <v>0.63</v>
      </c>
      <c r="M73">
        <v>0.1343</v>
      </c>
      <c r="N73">
        <v>0</v>
      </c>
      <c r="O73">
        <v>1</v>
      </c>
      <c r="P73">
        <v>1</v>
      </c>
      <c r="Q73" t="str">
        <f t="shared" si="4"/>
        <v>Weekday</v>
      </c>
      <c r="R73" t="str">
        <f t="shared" si="5"/>
        <v>Low</v>
      </c>
      <c r="S73" s="10" t="str">
        <f t="shared" si="6"/>
        <v>Clear</v>
      </c>
      <c r="T73" s="10" t="str">
        <f t="shared" si="7"/>
        <v>Cold</v>
      </c>
    </row>
    <row r="74" spans="1:20" x14ac:dyDescent="0.3">
      <c r="A74">
        <v>73</v>
      </c>
      <c r="B74" t="s">
        <v>19</v>
      </c>
      <c r="C74">
        <v>1</v>
      </c>
      <c r="D74">
        <v>0</v>
      </c>
      <c r="E74">
        <v>1</v>
      </c>
      <c r="F74">
        <v>4</v>
      </c>
      <c r="G74" t="b">
        <v>0</v>
      </c>
      <c r="H74">
        <v>2</v>
      </c>
      <c r="I74">
        <v>1</v>
      </c>
      <c r="J74">
        <v>0.14000000000000001</v>
      </c>
      <c r="K74">
        <v>0.18179999999999999</v>
      </c>
      <c r="L74">
        <v>0.63</v>
      </c>
      <c r="M74">
        <v>8.9599999999999999E-2</v>
      </c>
      <c r="N74">
        <v>0</v>
      </c>
      <c r="O74">
        <v>2</v>
      </c>
      <c r="P74">
        <v>2</v>
      </c>
      <c r="Q74" t="str">
        <f t="shared" si="4"/>
        <v>Weekday</v>
      </c>
      <c r="R74" t="str">
        <f t="shared" si="5"/>
        <v>Low</v>
      </c>
      <c r="S74" s="10" t="str">
        <f t="shared" si="6"/>
        <v>Clear</v>
      </c>
      <c r="T74" s="10" t="str">
        <f t="shared" si="7"/>
        <v>Cold</v>
      </c>
    </row>
    <row r="75" spans="1:20" x14ac:dyDescent="0.3">
      <c r="A75">
        <v>74</v>
      </c>
      <c r="B75" t="s">
        <v>19</v>
      </c>
      <c r="C75">
        <v>1</v>
      </c>
      <c r="D75">
        <v>0</v>
      </c>
      <c r="E75">
        <v>1</v>
      </c>
      <c r="F75">
        <v>5</v>
      </c>
      <c r="G75" t="b">
        <v>0</v>
      </c>
      <c r="H75">
        <v>2</v>
      </c>
      <c r="I75">
        <v>1</v>
      </c>
      <c r="J75">
        <v>0.12</v>
      </c>
      <c r="K75">
        <v>0.1515</v>
      </c>
      <c r="L75">
        <v>0.68</v>
      </c>
      <c r="M75">
        <v>0.1045</v>
      </c>
      <c r="N75">
        <v>0</v>
      </c>
      <c r="O75">
        <v>4</v>
      </c>
      <c r="P75">
        <v>4</v>
      </c>
      <c r="Q75" t="str">
        <f t="shared" si="4"/>
        <v>Weekday</v>
      </c>
      <c r="R75" t="str">
        <f t="shared" si="5"/>
        <v>Low</v>
      </c>
      <c r="S75" s="10" t="str">
        <f t="shared" si="6"/>
        <v>Clear</v>
      </c>
      <c r="T75" s="10" t="str">
        <f t="shared" si="7"/>
        <v>Cold</v>
      </c>
    </row>
    <row r="76" spans="1:20" x14ac:dyDescent="0.3">
      <c r="A76">
        <v>75</v>
      </c>
      <c r="B76" t="s">
        <v>19</v>
      </c>
      <c r="C76">
        <v>1</v>
      </c>
      <c r="D76">
        <v>0</v>
      </c>
      <c r="E76">
        <v>1</v>
      </c>
      <c r="F76">
        <v>6</v>
      </c>
      <c r="G76" t="b">
        <v>0</v>
      </c>
      <c r="H76">
        <v>2</v>
      </c>
      <c r="I76">
        <v>1</v>
      </c>
      <c r="J76">
        <v>0.12</v>
      </c>
      <c r="K76">
        <v>0.1515</v>
      </c>
      <c r="L76">
        <v>0.74</v>
      </c>
      <c r="M76">
        <v>0.1045</v>
      </c>
      <c r="N76">
        <v>0</v>
      </c>
      <c r="O76">
        <v>36</v>
      </c>
      <c r="P76">
        <v>36</v>
      </c>
      <c r="Q76" t="str">
        <f t="shared" si="4"/>
        <v>Weekday</v>
      </c>
      <c r="R76" t="str">
        <f t="shared" si="5"/>
        <v>Low</v>
      </c>
      <c r="S76" s="10" t="str">
        <f t="shared" si="6"/>
        <v>Clear</v>
      </c>
      <c r="T76" s="10" t="str">
        <f t="shared" si="7"/>
        <v>Cold</v>
      </c>
    </row>
    <row r="77" spans="1:20" x14ac:dyDescent="0.3">
      <c r="A77">
        <v>76</v>
      </c>
      <c r="B77" t="s">
        <v>19</v>
      </c>
      <c r="C77">
        <v>1</v>
      </c>
      <c r="D77">
        <v>0</v>
      </c>
      <c r="E77">
        <v>1</v>
      </c>
      <c r="F77">
        <v>7</v>
      </c>
      <c r="G77" t="b">
        <v>0</v>
      </c>
      <c r="H77">
        <v>2</v>
      </c>
      <c r="I77">
        <v>1</v>
      </c>
      <c r="J77">
        <v>0.12</v>
      </c>
      <c r="K77">
        <v>0.1515</v>
      </c>
      <c r="L77">
        <v>0.74</v>
      </c>
      <c r="M77">
        <v>0.1343</v>
      </c>
      <c r="N77">
        <v>2</v>
      </c>
      <c r="O77">
        <v>92</v>
      </c>
      <c r="P77">
        <v>94</v>
      </c>
      <c r="Q77" t="str">
        <f t="shared" si="4"/>
        <v>Weekday</v>
      </c>
      <c r="R77" t="str">
        <f t="shared" si="5"/>
        <v>Medium</v>
      </c>
      <c r="S77" s="10" t="str">
        <f t="shared" si="6"/>
        <v>Clear</v>
      </c>
      <c r="T77" s="10" t="str">
        <f t="shared" si="7"/>
        <v>Cold</v>
      </c>
    </row>
    <row r="78" spans="1:20" x14ac:dyDescent="0.3">
      <c r="A78">
        <v>77</v>
      </c>
      <c r="B78" t="s">
        <v>19</v>
      </c>
      <c r="C78">
        <v>1</v>
      </c>
      <c r="D78">
        <v>0</v>
      </c>
      <c r="E78">
        <v>1</v>
      </c>
      <c r="F78">
        <v>8</v>
      </c>
      <c r="G78" t="b">
        <v>0</v>
      </c>
      <c r="H78">
        <v>2</v>
      </c>
      <c r="I78">
        <v>1</v>
      </c>
      <c r="J78">
        <v>0.14000000000000001</v>
      </c>
      <c r="K78">
        <v>0.1515</v>
      </c>
      <c r="L78">
        <v>0.69</v>
      </c>
      <c r="M78">
        <v>0.16420000000000001</v>
      </c>
      <c r="N78">
        <v>2</v>
      </c>
      <c r="O78">
        <v>177</v>
      </c>
      <c r="P78">
        <v>179</v>
      </c>
      <c r="Q78" t="str">
        <f t="shared" si="4"/>
        <v>Weekday</v>
      </c>
      <c r="R78" t="str">
        <f t="shared" si="5"/>
        <v>High</v>
      </c>
      <c r="S78" s="10" t="str">
        <f t="shared" si="6"/>
        <v>Clear</v>
      </c>
      <c r="T78" s="10" t="str">
        <f t="shared" si="7"/>
        <v>Cold</v>
      </c>
    </row>
    <row r="79" spans="1:20" x14ac:dyDescent="0.3">
      <c r="A79">
        <v>78</v>
      </c>
      <c r="B79" t="s">
        <v>19</v>
      </c>
      <c r="C79">
        <v>1</v>
      </c>
      <c r="D79">
        <v>0</v>
      </c>
      <c r="E79">
        <v>1</v>
      </c>
      <c r="F79">
        <v>9</v>
      </c>
      <c r="G79" t="b">
        <v>0</v>
      </c>
      <c r="H79">
        <v>2</v>
      </c>
      <c r="I79">
        <v>1</v>
      </c>
      <c r="J79">
        <v>0.16</v>
      </c>
      <c r="K79">
        <v>0.1515</v>
      </c>
      <c r="L79">
        <v>0.64</v>
      </c>
      <c r="M79">
        <v>0.22389999999999999</v>
      </c>
      <c r="N79">
        <v>2</v>
      </c>
      <c r="O79">
        <v>98</v>
      </c>
      <c r="P79">
        <v>100</v>
      </c>
      <c r="Q79" t="str">
        <f t="shared" si="4"/>
        <v>Weekday</v>
      </c>
      <c r="R79" t="str">
        <f t="shared" si="5"/>
        <v>Medium</v>
      </c>
      <c r="S79" s="10" t="str">
        <f t="shared" si="6"/>
        <v>Clear</v>
      </c>
      <c r="T79" s="10" t="str">
        <f t="shared" si="7"/>
        <v>Cold</v>
      </c>
    </row>
    <row r="80" spans="1:20" x14ac:dyDescent="0.3">
      <c r="A80">
        <v>79</v>
      </c>
      <c r="B80" t="s">
        <v>19</v>
      </c>
      <c r="C80">
        <v>1</v>
      </c>
      <c r="D80">
        <v>0</v>
      </c>
      <c r="E80">
        <v>1</v>
      </c>
      <c r="F80">
        <v>10</v>
      </c>
      <c r="G80" t="b">
        <v>0</v>
      </c>
      <c r="H80">
        <v>2</v>
      </c>
      <c r="I80">
        <v>2</v>
      </c>
      <c r="J80">
        <v>0.16</v>
      </c>
      <c r="K80">
        <v>0.13639999999999999</v>
      </c>
      <c r="L80">
        <v>0.69</v>
      </c>
      <c r="M80">
        <v>0.32840000000000003</v>
      </c>
      <c r="N80">
        <v>5</v>
      </c>
      <c r="O80">
        <v>37</v>
      </c>
      <c r="P80">
        <v>42</v>
      </c>
      <c r="Q80" t="str">
        <f t="shared" si="4"/>
        <v>Weekday</v>
      </c>
      <c r="R80" t="str">
        <f t="shared" si="5"/>
        <v>Low</v>
      </c>
      <c r="S80" s="10" t="str">
        <f t="shared" si="6"/>
        <v>Mist/Cloudy</v>
      </c>
      <c r="T80" s="10" t="str">
        <f t="shared" si="7"/>
        <v>Cold</v>
      </c>
    </row>
    <row r="81" spans="1:20" x14ac:dyDescent="0.3">
      <c r="A81">
        <v>80</v>
      </c>
      <c r="B81" t="s">
        <v>19</v>
      </c>
      <c r="C81">
        <v>1</v>
      </c>
      <c r="D81">
        <v>0</v>
      </c>
      <c r="E81">
        <v>1</v>
      </c>
      <c r="F81">
        <v>11</v>
      </c>
      <c r="G81" t="b">
        <v>0</v>
      </c>
      <c r="H81">
        <v>2</v>
      </c>
      <c r="I81">
        <v>1</v>
      </c>
      <c r="J81">
        <v>0.22</v>
      </c>
      <c r="K81">
        <v>0.21210000000000001</v>
      </c>
      <c r="L81">
        <v>0.51</v>
      </c>
      <c r="M81">
        <v>0.29849999999999999</v>
      </c>
      <c r="N81">
        <v>7</v>
      </c>
      <c r="O81">
        <v>50</v>
      </c>
      <c r="P81">
        <v>57</v>
      </c>
      <c r="Q81" t="str">
        <f t="shared" si="4"/>
        <v>Weekday</v>
      </c>
      <c r="R81" t="str">
        <f t="shared" si="5"/>
        <v>Medium</v>
      </c>
      <c r="S81" s="10" t="str">
        <f t="shared" si="6"/>
        <v>Clear</v>
      </c>
      <c r="T81" s="10" t="str">
        <f t="shared" si="7"/>
        <v>Cold</v>
      </c>
    </row>
    <row r="82" spans="1:20" x14ac:dyDescent="0.3">
      <c r="A82">
        <v>81</v>
      </c>
      <c r="B82" t="s">
        <v>19</v>
      </c>
      <c r="C82">
        <v>1</v>
      </c>
      <c r="D82">
        <v>0</v>
      </c>
      <c r="E82">
        <v>1</v>
      </c>
      <c r="F82">
        <v>12</v>
      </c>
      <c r="G82" t="b">
        <v>0</v>
      </c>
      <c r="H82">
        <v>2</v>
      </c>
      <c r="I82">
        <v>1</v>
      </c>
      <c r="J82">
        <v>0.22</v>
      </c>
      <c r="K82">
        <v>0.2273</v>
      </c>
      <c r="L82">
        <v>0.51</v>
      </c>
      <c r="M82">
        <v>0.16420000000000001</v>
      </c>
      <c r="N82">
        <v>12</v>
      </c>
      <c r="O82">
        <v>66</v>
      </c>
      <c r="P82">
        <v>78</v>
      </c>
      <c r="Q82" t="str">
        <f t="shared" si="4"/>
        <v>Weekday</v>
      </c>
      <c r="R82" t="str">
        <f t="shared" si="5"/>
        <v>Medium</v>
      </c>
      <c r="S82" s="10" t="str">
        <f t="shared" si="6"/>
        <v>Clear</v>
      </c>
      <c r="T82" s="10" t="str">
        <f t="shared" si="7"/>
        <v>Cold</v>
      </c>
    </row>
    <row r="83" spans="1:20" x14ac:dyDescent="0.3">
      <c r="A83">
        <v>82</v>
      </c>
      <c r="B83" t="s">
        <v>19</v>
      </c>
      <c r="C83">
        <v>1</v>
      </c>
      <c r="D83">
        <v>0</v>
      </c>
      <c r="E83">
        <v>1</v>
      </c>
      <c r="F83">
        <v>13</v>
      </c>
      <c r="G83" t="b">
        <v>0</v>
      </c>
      <c r="H83">
        <v>2</v>
      </c>
      <c r="I83">
        <v>1</v>
      </c>
      <c r="J83">
        <v>0.24</v>
      </c>
      <c r="K83">
        <v>0.2273</v>
      </c>
      <c r="L83">
        <v>0.56000000000000005</v>
      </c>
      <c r="M83">
        <v>0.19400000000000001</v>
      </c>
      <c r="N83">
        <v>18</v>
      </c>
      <c r="O83">
        <v>79</v>
      </c>
      <c r="P83">
        <v>97</v>
      </c>
      <c r="Q83" t="str">
        <f t="shared" si="4"/>
        <v>Weekday</v>
      </c>
      <c r="R83" t="str">
        <f t="shared" si="5"/>
        <v>Medium</v>
      </c>
      <c r="S83" s="10" t="str">
        <f t="shared" si="6"/>
        <v>Clear</v>
      </c>
      <c r="T83" s="10" t="str">
        <f t="shared" si="7"/>
        <v>Cold</v>
      </c>
    </row>
    <row r="84" spans="1:20" x14ac:dyDescent="0.3">
      <c r="A84">
        <v>83</v>
      </c>
      <c r="B84" t="s">
        <v>19</v>
      </c>
      <c r="C84">
        <v>1</v>
      </c>
      <c r="D84">
        <v>0</v>
      </c>
      <c r="E84">
        <v>1</v>
      </c>
      <c r="F84">
        <v>14</v>
      </c>
      <c r="G84" t="b">
        <v>0</v>
      </c>
      <c r="H84">
        <v>2</v>
      </c>
      <c r="I84">
        <v>1</v>
      </c>
      <c r="J84">
        <v>0.26</v>
      </c>
      <c r="K84">
        <v>0.2576</v>
      </c>
      <c r="L84">
        <v>0.52</v>
      </c>
      <c r="M84">
        <v>0.22389999999999999</v>
      </c>
      <c r="N84">
        <v>9</v>
      </c>
      <c r="O84">
        <v>54</v>
      </c>
      <c r="P84">
        <v>63</v>
      </c>
      <c r="Q84" t="str">
        <f t="shared" si="4"/>
        <v>Weekday</v>
      </c>
      <c r="R84" t="str">
        <f t="shared" si="5"/>
        <v>Medium</v>
      </c>
      <c r="S84" s="10" t="str">
        <f t="shared" si="6"/>
        <v>Clear</v>
      </c>
      <c r="T84" s="10" t="str">
        <f t="shared" si="7"/>
        <v>Cold</v>
      </c>
    </row>
    <row r="85" spans="1:20" x14ac:dyDescent="0.3">
      <c r="A85">
        <v>84</v>
      </c>
      <c r="B85" t="s">
        <v>19</v>
      </c>
      <c r="C85">
        <v>1</v>
      </c>
      <c r="D85">
        <v>0</v>
      </c>
      <c r="E85">
        <v>1</v>
      </c>
      <c r="F85">
        <v>15</v>
      </c>
      <c r="G85" t="b">
        <v>0</v>
      </c>
      <c r="H85">
        <v>2</v>
      </c>
      <c r="I85">
        <v>1</v>
      </c>
      <c r="J85">
        <v>0.28000000000000003</v>
      </c>
      <c r="K85">
        <v>0.2727</v>
      </c>
      <c r="L85">
        <v>0.52</v>
      </c>
      <c r="M85">
        <v>0.25369999999999998</v>
      </c>
      <c r="N85">
        <v>17</v>
      </c>
      <c r="O85">
        <v>48</v>
      </c>
      <c r="P85">
        <v>65</v>
      </c>
      <c r="Q85" t="str">
        <f t="shared" si="4"/>
        <v>Weekday</v>
      </c>
      <c r="R85" t="str">
        <f t="shared" si="5"/>
        <v>Medium</v>
      </c>
      <c r="S85" s="10" t="str">
        <f t="shared" si="6"/>
        <v>Clear</v>
      </c>
      <c r="T85" s="10" t="str">
        <f t="shared" si="7"/>
        <v>Cold</v>
      </c>
    </row>
    <row r="86" spans="1:20" x14ac:dyDescent="0.3">
      <c r="A86">
        <v>85</v>
      </c>
      <c r="B86" t="s">
        <v>19</v>
      </c>
      <c r="C86">
        <v>1</v>
      </c>
      <c r="D86">
        <v>0</v>
      </c>
      <c r="E86">
        <v>1</v>
      </c>
      <c r="F86">
        <v>16</v>
      </c>
      <c r="G86" t="b">
        <v>0</v>
      </c>
      <c r="H86">
        <v>2</v>
      </c>
      <c r="I86">
        <v>1</v>
      </c>
      <c r="J86">
        <v>0.3</v>
      </c>
      <c r="K86">
        <v>0.28789999999999999</v>
      </c>
      <c r="L86">
        <v>0.49</v>
      </c>
      <c r="M86">
        <v>0.25369999999999998</v>
      </c>
      <c r="N86">
        <v>15</v>
      </c>
      <c r="O86">
        <v>68</v>
      </c>
      <c r="P86">
        <v>83</v>
      </c>
      <c r="Q86" t="str">
        <f t="shared" si="4"/>
        <v>Weekday</v>
      </c>
      <c r="R86" t="str">
        <f t="shared" si="5"/>
        <v>Medium</v>
      </c>
      <c r="S86" s="10" t="str">
        <f t="shared" si="6"/>
        <v>Clear</v>
      </c>
      <c r="T86" s="10" t="str">
        <f t="shared" si="7"/>
        <v>Warm</v>
      </c>
    </row>
    <row r="87" spans="1:20" x14ac:dyDescent="0.3">
      <c r="A87">
        <v>86</v>
      </c>
      <c r="B87" t="s">
        <v>19</v>
      </c>
      <c r="C87">
        <v>1</v>
      </c>
      <c r="D87">
        <v>0</v>
      </c>
      <c r="E87">
        <v>1</v>
      </c>
      <c r="F87">
        <v>17</v>
      </c>
      <c r="G87" t="b">
        <v>0</v>
      </c>
      <c r="H87">
        <v>2</v>
      </c>
      <c r="I87">
        <v>1</v>
      </c>
      <c r="J87">
        <v>0.28000000000000003</v>
      </c>
      <c r="K87">
        <v>0.2727</v>
      </c>
      <c r="L87">
        <v>0.48</v>
      </c>
      <c r="M87">
        <v>0.22389999999999999</v>
      </c>
      <c r="N87">
        <v>10</v>
      </c>
      <c r="O87">
        <v>202</v>
      </c>
      <c r="P87">
        <v>212</v>
      </c>
      <c r="Q87" t="str">
        <f t="shared" si="4"/>
        <v>Weekday</v>
      </c>
      <c r="R87" t="str">
        <f t="shared" si="5"/>
        <v>High</v>
      </c>
      <c r="S87" s="10" t="str">
        <f t="shared" si="6"/>
        <v>Clear</v>
      </c>
      <c r="T87" s="10" t="str">
        <f t="shared" si="7"/>
        <v>Cold</v>
      </c>
    </row>
    <row r="88" spans="1:20" x14ac:dyDescent="0.3">
      <c r="A88">
        <v>87</v>
      </c>
      <c r="B88" t="s">
        <v>19</v>
      </c>
      <c r="C88">
        <v>1</v>
      </c>
      <c r="D88">
        <v>0</v>
      </c>
      <c r="E88">
        <v>1</v>
      </c>
      <c r="F88">
        <v>18</v>
      </c>
      <c r="G88" t="b">
        <v>0</v>
      </c>
      <c r="H88">
        <v>2</v>
      </c>
      <c r="I88">
        <v>1</v>
      </c>
      <c r="J88">
        <v>0.26</v>
      </c>
      <c r="K88">
        <v>0.2576</v>
      </c>
      <c r="L88">
        <v>0.48</v>
      </c>
      <c r="M88">
        <v>0.19400000000000001</v>
      </c>
      <c r="N88">
        <v>3</v>
      </c>
      <c r="O88">
        <v>179</v>
      </c>
      <c r="P88">
        <v>182</v>
      </c>
      <c r="Q88" t="str">
        <f t="shared" si="4"/>
        <v>Weekday</v>
      </c>
      <c r="R88" t="str">
        <f t="shared" si="5"/>
        <v>High</v>
      </c>
      <c r="S88" s="10" t="str">
        <f t="shared" si="6"/>
        <v>Clear</v>
      </c>
      <c r="T88" s="10" t="str">
        <f t="shared" si="7"/>
        <v>Cold</v>
      </c>
    </row>
    <row r="89" spans="1:20" x14ac:dyDescent="0.3">
      <c r="A89">
        <v>88</v>
      </c>
      <c r="B89" t="s">
        <v>19</v>
      </c>
      <c r="C89">
        <v>1</v>
      </c>
      <c r="D89">
        <v>0</v>
      </c>
      <c r="E89">
        <v>1</v>
      </c>
      <c r="F89">
        <v>19</v>
      </c>
      <c r="G89" t="b">
        <v>0</v>
      </c>
      <c r="H89">
        <v>2</v>
      </c>
      <c r="I89">
        <v>1</v>
      </c>
      <c r="J89">
        <v>0.24</v>
      </c>
      <c r="K89">
        <v>0.2576</v>
      </c>
      <c r="L89">
        <v>0.48</v>
      </c>
      <c r="M89">
        <v>0.1045</v>
      </c>
      <c r="N89">
        <v>2</v>
      </c>
      <c r="O89">
        <v>110</v>
      </c>
      <c r="P89">
        <v>112</v>
      </c>
      <c r="Q89" t="str">
        <f t="shared" si="4"/>
        <v>Weekday</v>
      </c>
      <c r="R89" t="str">
        <f t="shared" si="5"/>
        <v>Medium</v>
      </c>
      <c r="S89" s="10" t="str">
        <f t="shared" si="6"/>
        <v>Clear</v>
      </c>
      <c r="T89" s="10" t="str">
        <f t="shared" si="7"/>
        <v>Cold</v>
      </c>
    </row>
    <row r="90" spans="1:20" x14ac:dyDescent="0.3">
      <c r="A90">
        <v>89</v>
      </c>
      <c r="B90" t="s">
        <v>19</v>
      </c>
      <c r="C90">
        <v>1</v>
      </c>
      <c r="D90">
        <v>0</v>
      </c>
      <c r="E90">
        <v>1</v>
      </c>
      <c r="F90">
        <v>20</v>
      </c>
      <c r="G90" t="b">
        <v>0</v>
      </c>
      <c r="H90">
        <v>2</v>
      </c>
      <c r="I90">
        <v>1</v>
      </c>
      <c r="J90">
        <v>0.24</v>
      </c>
      <c r="K90">
        <v>0.2576</v>
      </c>
      <c r="L90">
        <v>0.48</v>
      </c>
      <c r="M90">
        <v>0.1045</v>
      </c>
      <c r="N90">
        <v>1</v>
      </c>
      <c r="O90">
        <v>53</v>
      </c>
      <c r="P90">
        <v>54</v>
      </c>
      <c r="Q90" t="str">
        <f t="shared" si="4"/>
        <v>Weekday</v>
      </c>
      <c r="R90" t="str">
        <f t="shared" si="5"/>
        <v>Medium</v>
      </c>
      <c r="S90" s="10" t="str">
        <f t="shared" si="6"/>
        <v>Clear</v>
      </c>
      <c r="T90" s="10" t="str">
        <f t="shared" si="7"/>
        <v>Cold</v>
      </c>
    </row>
    <row r="91" spans="1:20" x14ac:dyDescent="0.3">
      <c r="A91">
        <v>90</v>
      </c>
      <c r="B91" t="s">
        <v>19</v>
      </c>
      <c r="C91">
        <v>1</v>
      </c>
      <c r="D91">
        <v>0</v>
      </c>
      <c r="E91">
        <v>1</v>
      </c>
      <c r="F91">
        <v>21</v>
      </c>
      <c r="G91" t="b">
        <v>0</v>
      </c>
      <c r="H91">
        <v>2</v>
      </c>
      <c r="I91">
        <v>1</v>
      </c>
      <c r="J91">
        <v>0.22</v>
      </c>
      <c r="K91">
        <v>0.2727</v>
      </c>
      <c r="L91">
        <v>0.64</v>
      </c>
      <c r="M91">
        <v>0</v>
      </c>
      <c r="N91">
        <v>0</v>
      </c>
      <c r="O91">
        <v>48</v>
      </c>
      <c r="P91">
        <v>48</v>
      </c>
      <c r="Q91" t="str">
        <f t="shared" si="4"/>
        <v>Weekday</v>
      </c>
      <c r="R91" t="str">
        <f t="shared" si="5"/>
        <v>Low</v>
      </c>
      <c r="S91" s="10" t="str">
        <f t="shared" si="6"/>
        <v>Clear</v>
      </c>
      <c r="T91" s="10" t="str">
        <f t="shared" si="7"/>
        <v>Cold</v>
      </c>
    </row>
    <row r="92" spans="1:20" x14ac:dyDescent="0.3">
      <c r="A92">
        <v>91</v>
      </c>
      <c r="B92" t="s">
        <v>19</v>
      </c>
      <c r="C92">
        <v>1</v>
      </c>
      <c r="D92">
        <v>0</v>
      </c>
      <c r="E92">
        <v>1</v>
      </c>
      <c r="F92">
        <v>22</v>
      </c>
      <c r="G92" t="b">
        <v>0</v>
      </c>
      <c r="H92">
        <v>2</v>
      </c>
      <c r="I92">
        <v>1</v>
      </c>
      <c r="J92">
        <v>0.22</v>
      </c>
      <c r="K92">
        <v>0.2576</v>
      </c>
      <c r="L92">
        <v>0.64</v>
      </c>
      <c r="M92">
        <v>8.9599999999999999E-2</v>
      </c>
      <c r="N92">
        <v>1</v>
      </c>
      <c r="O92">
        <v>34</v>
      </c>
      <c r="P92">
        <v>35</v>
      </c>
      <c r="Q92" t="str">
        <f t="shared" si="4"/>
        <v>Weekday</v>
      </c>
      <c r="R92" t="str">
        <f t="shared" si="5"/>
        <v>Low</v>
      </c>
      <c r="S92" s="10" t="str">
        <f t="shared" si="6"/>
        <v>Clear</v>
      </c>
      <c r="T92" s="10" t="str">
        <f t="shared" si="7"/>
        <v>Cold</v>
      </c>
    </row>
    <row r="93" spans="1:20" x14ac:dyDescent="0.3">
      <c r="A93">
        <v>92</v>
      </c>
      <c r="B93" t="s">
        <v>19</v>
      </c>
      <c r="C93">
        <v>1</v>
      </c>
      <c r="D93">
        <v>0</v>
      </c>
      <c r="E93">
        <v>1</v>
      </c>
      <c r="F93">
        <v>23</v>
      </c>
      <c r="G93" t="b">
        <v>0</v>
      </c>
      <c r="H93">
        <v>2</v>
      </c>
      <c r="I93">
        <v>1</v>
      </c>
      <c r="J93">
        <v>0.2</v>
      </c>
      <c r="K93">
        <v>0.2273</v>
      </c>
      <c r="L93">
        <v>0.69</v>
      </c>
      <c r="M93">
        <v>8.9599999999999999E-2</v>
      </c>
      <c r="N93">
        <v>2</v>
      </c>
      <c r="O93">
        <v>9</v>
      </c>
      <c r="P93">
        <v>11</v>
      </c>
      <c r="Q93" t="str">
        <f t="shared" si="4"/>
        <v>Weekday</v>
      </c>
      <c r="R93" t="str">
        <f t="shared" si="5"/>
        <v>Low</v>
      </c>
      <c r="S93" s="10" t="str">
        <f t="shared" si="6"/>
        <v>Clear</v>
      </c>
      <c r="T93" s="10" t="str">
        <f t="shared" si="7"/>
        <v>Cold</v>
      </c>
    </row>
    <row r="94" spans="1:20" x14ac:dyDescent="0.3">
      <c r="A94">
        <v>93</v>
      </c>
      <c r="B94" t="s">
        <v>20</v>
      </c>
      <c r="C94">
        <v>1</v>
      </c>
      <c r="D94">
        <v>0</v>
      </c>
      <c r="E94">
        <v>1</v>
      </c>
      <c r="F94">
        <v>0</v>
      </c>
      <c r="G94" t="b">
        <v>0</v>
      </c>
      <c r="H94">
        <v>3</v>
      </c>
      <c r="I94">
        <v>1</v>
      </c>
      <c r="J94">
        <v>0.2</v>
      </c>
      <c r="K94">
        <v>0.2576</v>
      </c>
      <c r="L94">
        <v>0.64</v>
      </c>
      <c r="M94">
        <v>0</v>
      </c>
      <c r="N94">
        <v>0</v>
      </c>
      <c r="O94">
        <v>6</v>
      </c>
      <c r="P94">
        <v>6</v>
      </c>
      <c r="Q94" t="str">
        <f t="shared" si="4"/>
        <v>Weekday</v>
      </c>
      <c r="R94" t="str">
        <f t="shared" si="5"/>
        <v>Low</v>
      </c>
      <c r="S94" s="10" t="str">
        <f t="shared" si="6"/>
        <v>Clear</v>
      </c>
      <c r="T94" s="10" t="str">
        <f t="shared" si="7"/>
        <v>Cold</v>
      </c>
    </row>
    <row r="95" spans="1:20" x14ac:dyDescent="0.3">
      <c r="A95">
        <v>94</v>
      </c>
      <c r="B95" t="s">
        <v>20</v>
      </c>
      <c r="C95">
        <v>1</v>
      </c>
      <c r="D95">
        <v>0</v>
      </c>
      <c r="E95">
        <v>1</v>
      </c>
      <c r="F95">
        <v>1</v>
      </c>
      <c r="G95" t="b">
        <v>0</v>
      </c>
      <c r="H95">
        <v>3</v>
      </c>
      <c r="I95">
        <v>1</v>
      </c>
      <c r="J95">
        <v>0.16</v>
      </c>
      <c r="K95">
        <v>0.19700000000000001</v>
      </c>
      <c r="L95">
        <v>0.74</v>
      </c>
      <c r="M95">
        <v>8.9599999999999999E-2</v>
      </c>
      <c r="N95">
        <v>0</v>
      </c>
      <c r="O95">
        <v>6</v>
      </c>
      <c r="P95">
        <v>6</v>
      </c>
      <c r="Q95" t="str">
        <f t="shared" si="4"/>
        <v>Weekday</v>
      </c>
      <c r="R95" t="str">
        <f t="shared" si="5"/>
        <v>Low</v>
      </c>
      <c r="S95" s="10" t="str">
        <f t="shared" si="6"/>
        <v>Clear</v>
      </c>
      <c r="T95" s="10" t="str">
        <f t="shared" si="7"/>
        <v>Cold</v>
      </c>
    </row>
    <row r="96" spans="1:20" x14ac:dyDescent="0.3">
      <c r="A96">
        <v>95</v>
      </c>
      <c r="B96" t="s">
        <v>20</v>
      </c>
      <c r="C96">
        <v>1</v>
      </c>
      <c r="D96">
        <v>0</v>
      </c>
      <c r="E96">
        <v>1</v>
      </c>
      <c r="F96">
        <v>2</v>
      </c>
      <c r="G96" t="b">
        <v>0</v>
      </c>
      <c r="H96">
        <v>3</v>
      </c>
      <c r="I96">
        <v>1</v>
      </c>
      <c r="J96">
        <v>0.16</v>
      </c>
      <c r="K96">
        <v>0.19700000000000001</v>
      </c>
      <c r="L96">
        <v>0.74</v>
      </c>
      <c r="M96">
        <v>8.9599999999999999E-2</v>
      </c>
      <c r="N96">
        <v>0</v>
      </c>
      <c r="O96">
        <v>2</v>
      </c>
      <c r="P96">
        <v>2</v>
      </c>
      <c r="Q96" t="str">
        <f t="shared" si="4"/>
        <v>Weekday</v>
      </c>
      <c r="R96" t="str">
        <f t="shared" si="5"/>
        <v>Low</v>
      </c>
      <c r="S96" s="10" t="str">
        <f t="shared" si="6"/>
        <v>Clear</v>
      </c>
      <c r="T96" s="10" t="str">
        <f t="shared" si="7"/>
        <v>Cold</v>
      </c>
    </row>
    <row r="97" spans="1:20" x14ac:dyDescent="0.3">
      <c r="A97">
        <v>96</v>
      </c>
      <c r="B97" t="s">
        <v>20</v>
      </c>
      <c r="C97">
        <v>1</v>
      </c>
      <c r="D97">
        <v>0</v>
      </c>
      <c r="E97">
        <v>1</v>
      </c>
      <c r="F97">
        <v>4</v>
      </c>
      <c r="G97" t="b">
        <v>0</v>
      </c>
      <c r="H97">
        <v>3</v>
      </c>
      <c r="I97">
        <v>1</v>
      </c>
      <c r="J97">
        <v>0.24</v>
      </c>
      <c r="K97">
        <v>0.2273</v>
      </c>
      <c r="L97">
        <v>0.48</v>
      </c>
      <c r="M97">
        <v>0.22389999999999999</v>
      </c>
      <c r="N97">
        <v>0</v>
      </c>
      <c r="O97">
        <v>2</v>
      </c>
      <c r="P97">
        <v>2</v>
      </c>
      <c r="Q97" t="str">
        <f t="shared" si="4"/>
        <v>Weekday</v>
      </c>
      <c r="R97" t="str">
        <f t="shared" si="5"/>
        <v>Low</v>
      </c>
      <c r="S97" s="10" t="str">
        <f t="shared" si="6"/>
        <v>Clear</v>
      </c>
      <c r="T97" s="10" t="str">
        <f t="shared" si="7"/>
        <v>Cold</v>
      </c>
    </row>
    <row r="98" spans="1:20" x14ac:dyDescent="0.3">
      <c r="A98">
        <v>97</v>
      </c>
      <c r="B98" t="s">
        <v>20</v>
      </c>
      <c r="C98">
        <v>1</v>
      </c>
      <c r="D98">
        <v>0</v>
      </c>
      <c r="E98">
        <v>1</v>
      </c>
      <c r="F98">
        <v>5</v>
      </c>
      <c r="G98" t="b">
        <v>0</v>
      </c>
      <c r="H98">
        <v>3</v>
      </c>
      <c r="I98">
        <v>1</v>
      </c>
      <c r="J98">
        <v>0.22</v>
      </c>
      <c r="K98">
        <v>0.2273</v>
      </c>
      <c r="L98">
        <v>0.47</v>
      </c>
      <c r="M98">
        <v>0.16420000000000001</v>
      </c>
      <c r="N98">
        <v>0</v>
      </c>
      <c r="O98">
        <v>3</v>
      </c>
      <c r="P98">
        <v>3</v>
      </c>
      <c r="Q98" t="str">
        <f t="shared" si="4"/>
        <v>Weekday</v>
      </c>
      <c r="R98" t="str">
        <f t="shared" si="5"/>
        <v>Low</v>
      </c>
      <c r="S98" s="10" t="str">
        <f t="shared" si="6"/>
        <v>Clear</v>
      </c>
      <c r="T98" s="10" t="str">
        <f t="shared" si="7"/>
        <v>Cold</v>
      </c>
    </row>
    <row r="99" spans="1:20" x14ac:dyDescent="0.3">
      <c r="A99">
        <v>98</v>
      </c>
      <c r="B99" t="s">
        <v>20</v>
      </c>
      <c r="C99">
        <v>1</v>
      </c>
      <c r="D99">
        <v>0</v>
      </c>
      <c r="E99">
        <v>1</v>
      </c>
      <c r="F99">
        <v>6</v>
      </c>
      <c r="G99" t="b">
        <v>0</v>
      </c>
      <c r="H99">
        <v>3</v>
      </c>
      <c r="I99">
        <v>1</v>
      </c>
      <c r="J99">
        <v>0.2</v>
      </c>
      <c r="K99">
        <v>0.19700000000000001</v>
      </c>
      <c r="L99">
        <v>0.47</v>
      </c>
      <c r="M99">
        <v>0.22389999999999999</v>
      </c>
      <c r="N99">
        <v>0</v>
      </c>
      <c r="O99">
        <v>33</v>
      </c>
      <c r="P99">
        <v>33</v>
      </c>
      <c r="Q99" t="str">
        <f t="shared" si="4"/>
        <v>Weekday</v>
      </c>
      <c r="R99" t="str">
        <f t="shared" si="5"/>
        <v>Low</v>
      </c>
      <c r="S99" s="10" t="str">
        <f t="shared" si="6"/>
        <v>Clear</v>
      </c>
      <c r="T99" s="10" t="str">
        <f t="shared" si="7"/>
        <v>Cold</v>
      </c>
    </row>
    <row r="100" spans="1:20" x14ac:dyDescent="0.3">
      <c r="A100">
        <v>99</v>
      </c>
      <c r="B100" t="s">
        <v>20</v>
      </c>
      <c r="C100">
        <v>1</v>
      </c>
      <c r="D100">
        <v>0</v>
      </c>
      <c r="E100">
        <v>1</v>
      </c>
      <c r="F100">
        <v>7</v>
      </c>
      <c r="G100" t="b">
        <v>0</v>
      </c>
      <c r="H100">
        <v>3</v>
      </c>
      <c r="I100">
        <v>1</v>
      </c>
      <c r="J100">
        <v>0.18</v>
      </c>
      <c r="K100">
        <v>0.18179999999999999</v>
      </c>
      <c r="L100">
        <v>0.43</v>
      </c>
      <c r="M100">
        <v>0.19400000000000001</v>
      </c>
      <c r="N100">
        <v>1</v>
      </c>
      <c r="O100">
        <v>87</v>
      </c>
      <c r="P100">
        <v>88</v>
      </c>
      <c r="Q100" t="str">
        <f t="shared" si="4"/>
        <v>Weekday</v>
      </c>
      <c r="R100" t="str">
        <f t="shared" si="5"/>
        <v>Medium</v>
      </c>
      <c r="S100" s="10" t="str">
        <f t="shared" si="6"/>
        <v>Clear</v>
      </c>
      <c r="T100" s="10" t="str">
        <f t="shared" si="7"/>
        <v>Cold</v>
      </c>
    </row>
    <row r="101" spans="1:20" x14ac:dyDescent="0.3">
      <c r="A101">
        <v>100</v>
      </c>
      <c r="B101" t="s">
        <v>20</v>
      </c>
      <c r="C101">
        <v>1</v>
      </c>
      <c r="D101">
        <v>0</v>
      </c>
      <c r="E101">
        <v>1</v>
      </c>
      <c r="F101">
        <v>8</v>
      </c>
      <c r="G101" t="b">
        <v>0</v>
      </c>
      <c r="H101">
        <v>3</v>
      </c>
      <c r="I101">
        <v>1</v>
      </c>
      <c r="J101">
        <v>0.2</v>
      </c>
      <c r="K101">
        <v>0.18179999999999999</v>
      </c>
      <c r="L101">
        <v>0.4</v>
      </c>
      <c r="M101">
        <v>0.29849999999999999</v>
      </c>
      <c r="N101">
        <v>3</v>
      </c>
      <c r="O101">
        <v>192</v>
      </c>
      <c r="P101">
        <v>195</v>
      </c>
      <c r="Q101" t="str">
        <f t="shared" si="4"/>
        <v>Weekday</v>
      </c>
      <c r="R101" t="str">
        <f t="shared" si="5"/>
        <v>High</v>
      </c>
      <c r="S101" s="10" t="str">
        <f t="shared" si="6"/>
        <v>Clear</v>
      </c>
      <c r="T101" s="10" t="str">
        <f t="shared" si="7"/>
        <v>Cold</v>
      </c>
    </row>
    <row r="102" spans="1:20" x14ac:dyDescent="0.3">
      <c r="A102">
        <v>101</v>
      </c>
      <c r="B102" t="s">
        <v>20</v>
      </c>
      <c r="C102">
        <v>1</v>
      </c>
      <c r="D102">
        <v>0</v>
      </c>
      <c r="E102">
        <v>1</v>
      </c>
      <c r="F102">
        <v>9</v>
      </c>
      <c r="G102" t="b">
        <v>0</v>
      </c>
      <c r="H102">
        <v>3</v>
      </c>
      <c r="I102">
        <v>1</v>
      </c>
      <c r="J102">
        <v>0.22</v>
      </c>
      <c r="K102">
        <v>0.19700000000000001</v>
      </c>
      <c r="L102">
        <v>0.37</v>
      </c>
      <c r="M102">
        <v>0.32840000000000003</v>
      </c>
      <c r="N102">
        <v>6</v>
      </c>
      <c r="O102">
        <v>109</v>
      </c>
      <c r="P102">
        <v>115</v>
      </c>
      <c r="Q102" t="str">
        <f t="shared" si="4"/>
        <v>Weekday</v>
      </c>
      <c r="R102" t="str">
        <f t="shared" si="5"/>
        <v>Medium</v>
      </c>
      <c r="S102" s="10" t="str">
        <f t="shared" si="6"/>
        <v>Clear</v>
      </c>
      <c r="T102" s="10" t="str">
        <f t="shared" si="7"/>
        <v>Cold</v>
      </c>
    </row>
    <row r="103" spans="1:20" x14ac:dyDescent="0.3">
      <c r="A103">
        <v>102</v>
      </c>
      <c r="B103" t="s">
        <v>20</v>
      </c>
      <c r="C103">
        <v>1</v>
      </c>
      <c r="D103">
        <v>0</v>
      </c>
      <c r="E103">
        <v>1</v>
      </c>
      <c r="F103">
        <v>10</v>
      </c>
      <c r="G103" t="b">
        <v>0</v>
      </c>
      <c r="H103">
        <v>3</v>
      </c>
      <c r="I103">
        <v>1</v>
      </c>
      <c r="J103">
        <v>0.22</v>
      </c>
      <c r="K103">
        <v>0.19700000000000001</v>
      </c>
      <c r="L103">
        <v>0.37</v>
      </c>
      <c r="M103">
        <v>0.32840000000000003</v>
      </c>
      <c r="N103">
        <v>4</v>
      </c>
      <c r="O103">
        <v>53</v>
      </c>
      <c r="P103">
        <v>57</v>
      </c>
      <c r="Q103" t="str">
        <f t="shared" si="4"/>
        <v>Weekday</v>
      </c>
      <c r="R103" t="str">
        <f t="shared" si="5"/>
        <v>Medium</v>
      </c>
      <c r="S103" s="10" t="str">
        <f t="shared" si="6"/>
        <v>Clear</v>
      </c>
      <c r="T103" s="10" t="str">
        <f t="shared" si="7"/>
        <v>Cold</v>
      </c>
    </row>
    <row r="104" spans="1:20" x14ac:dyDescent="0.3">
      <c r="A104">
        <v>103</v>
      </c>
      <c r="B104" t="s">
        <v>20</v>
      </c>
      <c r="C104">
        <v>1</v>
      </c>
      <c r="D104">
        <v>0</v>
      </c>
      <c r="E104">
        <v>1</v>
      </c>
      <c r="F104">
        <v>11</v>
      </c>
      <c r="G104" t="b">
        <v>0</v>
      </c>
      <c r="H104">
        <v>3</v>
      </c>
      <c r="I104">
        <v>1</v>
      </c>
      <c r="J104">
        <v>0.26</v>
      </c>
      <c r="K104">
        <v>0.2273</v>
      </c>
      <c r="L104">
        <v>0.33</v>
      </c>
      <c r="M104">
        <v>0.32840000000000003</v>
      </c>
      <c r="N104">
        <v>12</v>
      </c>
      <c r="O104">
        <v>34</v>
      </c>
      <c r="P104">
        <v>46</v>
      </c>
      <c r="Q104" t="str">
        <f t="shared" si="4"/>
        <v>Weekday</v>
      </c>
      <c r="R104" t="str">
        <f t="shared" si="5"/>
        <v>Low</v>
      </c>
      <c r="S104" s="10" t="str">
        <f t="shared" si="6"/>
        <v>Clear</v>
      </c>
      <c r="T104" s="10" t="str">
        <f t="shared" si="7"/>
        <v>Cold</v>
      </c>
    </row>
    <row r="105" spans="1:20" x14ac:dyDescent="0.3">
      <c r="A105">
        <v>104</v>
      </c>
      <c r="B105" t="s">
        <v>20</v>
      </c>
      <c r="C105">
        <v>1</v>
      </c>
      <c r="D105">
        <v>0</v>
      </c>
      <c r="E105">
        <v>1</v>
      </c>
      <c r="F105">
        <v>12</v>
      </c>
      <c r="G105" t="b">
        <v>0</v>
      </c>
      <c r="H105">
        <v>3</v>
      </c>
      <c r="I105">
        <v>1</v>
      </c>
      <c r="J105">
        <v>0.26</v>
      </c>
      <c r="K105">
        <v>0.2273</v>
      </c>
      <c r="L105">
        <v>0.33</v>
      </c>
      <c r="M105">
        <v>0.32840000000000003</v>
      </c>
      <c r="N105">
        <v>5</v>
      </c>
      <c r="O105">
        <v>74</v>
      </c>
      <c r="P105">
        <v>79</v>
      </c>
      <c r="Q105" t="str">
        <f t="shared" si="4"/>
        <v>Weekday</v>
      </c>
      <c r="R105" t="str">
        <f t="shared" si="5"/>
        <v>Medium</v>
      </c>
      <c r="S105" s="10" t="str">
        <f t="shared" si="6"/>
        <v>Clear</v>
      </c>
      <c r="T105" s="10" t="str">
        <f t="shared" si="7"/>
        <v>Cold</v>
      </c>
    </row>
    <row r="106" spans="1:20" x14ac:dyDescent="0.3">
      <c r="A106">
        <v>105</v>
      </c>
      <c r="B106" t="s">
        <v>20</v>
      </c>
      <c r="C106">
        <v>1</v>
      </c>
      <c r="D106">
        <v>0</v>
      </c>
      <c r="E106">
        <v>1</v>
      </c>
      <c r="F106">
        <v>13</v>
      </c>
      <c r="G106" t="b">
        <v>0</v>
      </c>
      <c r="H106">
        <v>3</v>
      </c>
      <c r="I106">
        <v>1</v>
      </c>
      <c r="J106">
        <v>0.28000000000000003</v>
      </c>
      <c r="K106">
        <v>0.2576</v>
      </c>
      <c r="L106">
        <v>0.3</v>
      </c>
      <c r="M106">
        <v>0.29849999999999999</v>
      </c>
      <c r="N106">
        <v>6</v>
      </c>
      <c r="O106">
        <v>65</v>
      </c>
      <c r="P106">
        <v>71</v>
      </c>
      <c r="Q106" t="str">
        <f t="shared" si="4"/>
        <v>Weekday</v>
      </c>
      <c r="R106" t="str">
        <f t="shared" si="5"/>
        <v>Medium</v>
      </c>
      <c r="S106" s="10" t="str">
        <f t="shared" si="6"/>
        <v>Clear</v>
      </c>
      <c r="T106" s="10" t="str">
        <f t="shared" si="7"/>
        <v>Cold</v>
      </c>
    </row>
    <row r="107" spans="1:20" x14ac:dyDescent="0.3">
      <c r="A107">
        <v>106</v>
      </c>
      <c r="B107" t="s">
        <v>20</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4"/>
        <v>Weekday</v>
      </c>
      <c r="R107" t="str">
        <f t="shared" si="5"/>
        <v>Medium</v>
      </c>
      <c r="S107" s="10" t="str">
        <f t="shared" si="6"/>
        <v>Clear</v>
      </c>
      <c r="T107" s="10" t="str">
        <f t="shared" si="7"/>
        <v>Warm</v>
      </c>
    </row>
    <row r="108" spans="1:20" x14ac:dyDescent="0.3">
      <c r="A108">
        <v>107</v>
      </c>
      <c r="B108" t="s">
        <v>20</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4"/>
        <v>Weekday</v>
      </c>
      <c r="R108" t="str">
        <f t="shared" si="5"/>
        <v>Medium</v>
      </c>
      <c r="S108" s="10" t="str">
        <f t="shared" si="6"/>
        <v>Clear</v>
      </c>
      <c r="T108" s="10" t="str">
        <f t="shared" si="7"/>
        <v>Warm</v>
      </c>
    </row>
    <row r="109" spans="1:20" x14ac:dyDescent="0.3">
      <c r="A109">
        <v>108</v>
      </c>
      <c r="B109" t="s">
        <v>20</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4"/>
        <v>Weekday</v>
      </c>
      <c r="R109" t="str">
        <f t="shared" si="5"/>
        <v>Medium</v>
      </c>
      <c r="S109" s="10" t="str">
        <f t="shared" si="6"/>
        <v>Clear</v>
      </c>
      <c r="T109" s="10" t="str">
        <f t="shared" si="7"/>
        <v>Warm</v>
      </c>
    </row>
    <row r="110" spans="1:20" x14ac:dyDescent="0.3">
      <c r="A110">
        <v>109</v>
      </c>
      <c r="B110" t="s">
        <v>20</v>
      </c>
      <c r="C110">
        <v>1</v>
      </c>
      <c r="D110">
        <v>0</v>
      </c>
      <c r="E110">
        <v>1</v>
      </c>
      <c r="F110">
        <v>17</v>
      </c>
      <c r="G110" t="b">
        <v>0</v>
      </c>
      <c r="H110">
        <v>3</v>
      </c>
      <c r="I110">
        <v>1</v>
      </c>
      <c r="J110">
        <v>0.24</v>
      </c>
      <c r="K110">
        <v>0.2273</v>
      </c>
      <c r="L110">
        <v>0.38</v>
      </c>
      <c r="M110">
        <v>0.19400000000000001</v>
      </c>
      <c r="N110">
        <v>4</v>
      </c>
      <c r="O110">
        <v>186</v>
      </c>
      <c r="P110">
        <v>190</v>
      </c>
      <c r="Q110" t="str">
        <f t="shared" si="4"/>
        <v>Weekday</v>
      </c>
      <c r="R110" t="str">
        <f t="shared" si="5"/>
        <v>High</v>
      </c>
      <c r="S110" s="10" t="str">
        <f t="shared" si="6"/>
        <v>Clear</v>
      </c>
      <c r="T110" s="10" t="str">
        <f t="shared" si="7"/>
        <v>Cold</v>
      </c>
    </row>
    <row r="111" spans="1:20" x14ac:dyDescent="0.3">
      <c r="A111">
        <v>110</v>
      </c>
      <c r="B111" t="s">
        <v>20</v>
      </c>
      <c r="C111">
        <v>1</v>
      </c>
      <c r="D111">
        <v>0</v>
      </c>
      <c r="E111">
        <v>1</v>
      </c>
      <c r="F111">
        <v>18</v>
      </c>
      <c r="G111" t="b">
        <v>0</v>
      </c>
      <c r="H111">
        <v>3</v>
      </c>
      <c r="I111">
        <v>1</v>
      </c>
      <c r="J111">
        <v>0.24</v>
      </c>
      <c r="K111">
        <v>0.2424</v>
      </c>
      <c r="L111">
        <v>0.38</v>
      </c>
      <c r="M111">
        <v>0.1343</v>
      </c>
      <c r="N111">
        <v>3</v>
      </c>
      <c r="O111">
        <v>166</v>
      </c>
      <c r="P111">
        <v>169</v>
      </c>
      <c r="Q111" t="str">
        <f t="shared" si="4"/>
        <v>Weekday</v>
      </c>
      <c r="R111" t="str">
        <f t="shared" si="5"/>
        <v>High</v>
      </c>
      <c r="S111" s="10" t="str">
        <f t="shared" si="6"/>
        <v>Clear</v>
      </c>
      <c r="T111" s="10" t="str">
        <f t="shared" si="7"/>
        <v>Cold</v>
      </c>
    </row>
    <row r="112" spans="1:20" x14ac:dyDescent="0.3">
      <c r="A112">
        <v>111</v>
      </c>
      <c r="B112" t="s">
        <v>20</v>
      </c>
      <c r="C112">
        <v>1</v>
      </c>
      <c r="D112">
        <v>0</v>
      </c>
      <c r="E112">
        <v>1</v>
      </c>
      <c r="F112">
        <v>19</v>
      </c>
      <c r="G112" t="b">
        <v>0</v>
      </c>
      <c r="H112">
        <v>3</v>
      </c>
      <c r="I112">
        <v>1</v>
      </c>
      <c r="J112">
        <v>0.24</v>
      </c>
      <c r="K112">
        <v>0.2576</v>
      </c>
      <c r="L112">
        <v>0.38</v>
      </c>
      <c r="M112">
        <v>0.1045</v>
      </c>
      <c r="N112">
        <v>5</v>
      </c>
      <c r="O112">
        <v>127</v>
      </c>
      <c r="P112">
        <v>132</v>
      </c>
      <c r="Q112" t="str">
        <f t="shared" si="4"/>
        <v>Weekday</v>
      </c>
      <c r="R112" t="str">
        <f t="shared" si="5"/>
        <v>Medium</v>
      </c>
      <c r="S112" s="10" t="str">
        <f t="shared" si="6"/>
        <v>Clear</v>
      </c>
      <c r="T112" s="10" t="str">
        <f t="shared" si="7"/>
        <v>Cold</v>
      </c>
    </row>
    <row r="113" spans="1:20" x14ac:dyDescent="0.3">
      <c r="A113">
        <v>112</v>
      </c>
      <c r="B113" t="s">
        <v>20</v>
      </c>
      <c r="C113">
        <v>1</v>
      </c>
      <c r="D113">
        <v>0</v>
      </c>
      <c r="E113">
        <v>1</v>
      </c>
      <c r="F113">
        <v>20</v>
      </c>
      <c r="G113" t="b">
        <v>0</v>
      </c>
      <c r="H113">
        <v>3</v>
      </c>
      <c r="I113">
        <v>1</v>
      </c>
      <c r="J113">
        <v>0.22</v>
      </c>
      <c r="K113">
        <v>0.2273</v>
      </c>
      <c r="L113">
        <v>0.47</v>
      </c>
      <c r="M113">
        <v>0.16420000000000001</v>
      </c>
      <c r="N113">
        <v>7</v>
      </c>
      <c r="O113">
        <v>82</v>
      </c>
      <c r="P113">
        <v>89</v>
      </c>
      <c r="Q113" t="str">
        <f t="shared" si="4"/>
        <v>Weekday</v>
      </c>
      <c r="R113" t="str">
        <f t="shared" si="5"/>
        <v>Medium</v>
      </c>
      <c r="S113" s="10" t="str">
        <f t="shared" si="6"/>
        <v>Clear</v>
      </c>
      <c r="T113" s="10" t="str">
        <f t="shared" si="7"/>
        <v>Cold</v>
      </c>
    </row>
    <row r="114" spans="1:20" x14ac:dyDescent="0.3">
      <c r="A114">
        <v>113</v>
      </c>
      <c r="B114" t="s">
        <v>20</v>
      </c>
      <c r="C114">
        <v>1</v>
      </c>
      <c r="D114">
        <v>0</v>
      </c>
      <c r="E114">
        <v>1</v>
      </c>
      <c r="F114">
        <v>21</v>
      </c>
      <c r="G114" t="b">
        <v>0</v>
      </c>
      <c r="H114">
        <v>3</v>
      </c>
      <c r="I114">
        <v>1</v>
      </c>
      <c r="J114">
        <v>0.2</v>
      </c>
      <c r="K114">
        <v>0.19700000000000001</v>
      </c>
      <c r="L114">
        <v>0.51</v>
      </c>
      <c r="M114">
        <v>0.19400000000000001</v>
      </c>
      <c r="N114">
        <v>3</v>
      </c>
      <c r="O114">
        <v>40</v>
      </c>
      <c r="P114">
        <v>43</v>
      </c>
      <c r="Q114" t="str">
        <f t="shared" si="4"/>
        <v>Weekday</v>
      </c>
      <c r="R114" t="str">
        <f t="shared" si="5"/>
        <v>Low</v>
      </c>
      <c r="S114" s="10" t="str">
        <f t="shared" si="6"/>
        <v>Clear</v>
      </c>
      <c r="T114" s="10" t="str">
        <f t="shared" si="7"/>
        <v>Cold</v>
      </c>
    </row>
    <row r="115" spans="1:20" x14ac:dyDescent="0.3">
      <c r="A115">
        <v>114</v>
      </c>
      <c r="B115" t="s">
        <v>20</v>
      </c>
      <c r="C115">
        <v>1</v>
      </c>
      <c r="D115">
        <v>0</v>
      </c>
      <c r="E115">
        <v>1</v>
      </c>
      <c r="F115">
        <v>22</v>
      </c>
      <c r="G115" t="b">
        <v>0</v>
      </c>
      <c r="H115">
        <v>3</v>
      </c>
      <c r="I115">
        <v>1</v>
      </c>
      <c r="J115">
        <v>0.18</v>
      </c>
      <c r="K115">
        <v>0.19700000000000001</v>
      </c>
      <c r="L115">
        <v>0.55000000000000004</v>
      </c>
      <c r="M115">
        <v>0.1343</v>
      </c>
      <c r="N115">
        <v>1</v>
      </c>
      <c r="O115">
        <v>41</v>
      </c>
      <c r="P115">
        <v>42</v>
      </c>
      <c r="Q115" t="str">
        <f t="shared" si="4"/>
        <v>Weekday</v>
      </c>
      <c r="R115" t="str">
        <f t="shared" si="5"/>
        <v>Low</v>
      </c>
      <c r="S115" s="10" t="str">
        <f t="shared" si="6"/>
        <v>Clear</v>
      </c>
      <c r="T115" s="10" t="str">
        <f t="shared" si="7"/>
        <v>Cold</v>
      </c>
    </row>
    <row r="116" spans="1:20" x14ac:dyDescent="0.3">
      <c r="A116">
        <v>115</v>
      </c>
      <c r="B116" t="s">
        <v>20</v>
      </c>
      <c r="C116">
        <v>1</v>
      </c>
      <c r="D116">
        <v>0</v>
      </c>
      <c r="E116">
        <v>1</v>
      </c>
      <c r="F116">
        <v>23</v>
      </c>
      <c r="G116" t="b">
        <v>0</v>
      </c>
      <c r="H116">
        <v>3</v>
      </c>
      <c r="I116">
        <v>1</v>
      </c>
      <c r="J116">
        <v>0.2</v>
      </c>
      <c r="K116">
        <v>0.2576</v>
      </c>
      <c r="L116">
        <v>0.47</v>
      </c>
      <c r="M116">
        <v>0</v>
      </c>
      <c r="N116">
        <v>1</v>
      </c>
      <c r="O116">
        <v>18</v>
      </c>
      <c r="P116">
        <v>19</v>
      </c>
      <c r="Q116" t="str">
        <f t="shared" si="4"/>
        <v>Weekday</v>
      </c>
      <c r="R116" t="str">
        <f t="shared" si="5"/>
        <v>Low</v>
      </c>
      <c r="S116" s="10" t="str">
        <f t="shared" si="6"/>
        <v>Clear</v>
      </c>
      <c r="T116" s="10" t="str">
        <f t="shared" si="7"/>
        <v>Cold</v>
      </c>
    </row>
    <row r="117" spans="1:20" x14ac:dyDescent="0.3">
      <c r="A117">
        <v>116</v>
      </c>
      <c r="B117" t="s">
        <v>21</v>
      </c>
      <c r="C117">
        <v>1</v>
      </c>
      <c r="D117">
        <v>0</v>
      </c>
      <c r="E117">
        <v>1</v>
      </c>
      <c r="F117">
        <v>0</v>
      </c>
      <c r="G117" t="b">
        <v>0</v>
      </c>
      <c r="H117">
        <v>4</v>
      </c>
      <c r="I117">
        <v>1</v>
      </c>
      <c r="J117">
        <v>0.18</v>
      </c>
      <c r="K117">
        <v>0.2424</v>
      </c>
      <c r="L117">
        <v>0.55000000000000004</v>
      </c>
      <c r="M117">
        <v>0</v>
      </c>
      <c r="N117">
        <v>0</v>
      </c>
      <c r="O117">
        <v>11</v>
      </c>
      <c r="P117">
        <v>11</v>
      </c>
      <c r="Q117" t="str">
        <f t="shared" si="4"/>
        <v>Weekday</v>
      </c>
      <c r="R117" t="str">
        <f t="shared" si="5"/>
        <v>Low</v>
      </c>
      <c r="S117" s="10" t="str">
        <f t="shared" si="6"/>
        <v>Clear</v>
      </c>
      <c r="T117" s="10" t="str">
        <f t="shared" si="7"/>
        <v>Cold</v>
      </c>
    </row>
    <row r="118" spans="1:20" x14ac:dyDescent="0.3">
      <c r="A118">
        <v>117</v>
      </c>
      <c r="B118" t="s">
        <v>21</v>
      </c>
      <c r="C118">
        <v>1</v>
      </c>
      <c r="D118">
        <v>0</v>
      </c>
      <c r="E118">
        <v>1</v>
      </c>
      <c r="F118">
        <v>1</v>
      </c>
      <c r="G118" t="b">
        <v>0</v>
      </c>
      <c r="H118">
        <v>4</v>
      </c>
      <c r="I118">
        <v>1</v>
      </c>
      <c r="J118">
        <v>0.16</v>
      </c>
      <c r="K118">
        <v>0.2273</v>
      </c>
      <c r="L118">
        <v>0.64</v>
      </c>
      <c r="M118">
        <v>0</v>
      </c>
      <c r="N118">
        <v>0</v>
      </c>
      <c r="O118">
        <v>4</v>
      </c>
      <c r="P118">
        <v>4</v>
      </c>
      <c r="Q118" t="str">
        <f t="shared" si="4"/>
        <v>Weekday</v>
      </c>
      <c r="R118" t="str">
        <f t="shared" si="5"/>
        <v>Low</v>
      </c>
      <c r="S118" s="10" t="str">
        <f t="shared" si="6"/>
        <v>Clear</v>
      </c>
      <c r="T118" s="10" t="str">
        <f t="shared" si="7"/>
        <v>Cold</v>
      </c>
    </row>
    <row r="119" spans="1:20" x14ac:dyDescent="0.3">
      <c r="A119">
        <v>118</v>
      </c>
      <c r="B119" t="s">
        <v>21</v>
      </c>
      <c r="C119">
        <v>1</v>
      </c>
      <c r="D119">
        <v>0</v>
      </c>
      <c r="E119">
        <v>1</v>
      </c>
      <c r="F119">
        <v>2</v>
      </c>
      <c r="G119" t="b">
        <v>0</v>
      </c>
      <c r="H119">
        <v>4</v>
      </c>
      <c r="I119">
        <v>1</v>
      </c>
      <c r="J119">
        <v>0.16</v>
      </c>
      <c r="K119">
        <v>0.2273</v>
      </c>
      <c r="L119">
        <v>0.64</v>
      </c>
      <c r="M119">
        <v>0</v>
      </c>
      <c r="N119">
        <v>0</v>
      </c>
      <c r="O119">
        <v>2</v>
      </c>
      <c r="P119">
        <v>2</v>
      </c>
      <c r="Q119" t="str">
        <f t="shared" si="4"/>
        <v>Weekday</v>
      </c>
      <c r="R119" t="str">
        <f t="shared" si="5"/>
        <v>Low</v>
      </c>
      <c r="S119" s="10" t="str">
        <f t="shared" si="6"/>
        <v>Clear</v>
      </c>
      <c r="T119" s="10" t="str">
        <f t="shared" si="7"/>
        <v>Cold</v>
      </c>
    </row>
    <row r="120" spans="1:20" x14ac:dyDescent="0.3">
      <c r="A120">
        <v>119</v>
      </c>
      <c r="B120" t="s">
        <v>21</v>
      </c>
      <c r="C120">
        <v>1</v>
      </c>
      <c r="D120">
        <v>0</v>
      </c>
      <c r="E120">
        <v>1</v>
      </c>
      <c r="F120">
        <v>4</v>
      </c>
      <c r="G120" t="b">
        <v>0</v>
      </c>
      <c r="H120">
        <v>4</v>
      </c>
      <c r="I120">
        <v>2</v>
      </c>
      <c r="J120">
        <v>0.16</v>
      </c>
      <c r="K120">
        <v>0.19700000000000001</v>
      </c>
      <c r="L120">
        <v>0.64</v>
      </c>
      <c r="M120">
        <v>8.9599999999999999E-2</v>
      </c>
      <c r="N120">
        <v>0</v>
      </c>
      <c r="O120">
        <v>1</v>
      </c>
      <c r="P120">
        <v>1</v>
      </c>
      <c r="Q120" t="str">
        <f t="shared" si="4"/>
        <v>Weekday</v>
      </c>
      <c r="R120" t="str">
        <f t="shared" si="5"/>
        <v>Low</v>
      </c>
      <c r="S120" s="10" t="str">
        <f t="shared" si="6"/>
        <v>Mist/Cloudy</v>
      </c>
      <c r="T120" s="10" t="str">
        <f t="shared" si="7"/>
        <v>Cold</v>
      </c>
    </row>
    <row r="121" spans="1:20" x14ac:dyDescent="0.3">
      <c r="A121">
        <v>120</v>
      </c>
      <c r="B121" t="s">
        <v>21</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4"/>
        <v>Weekday</v>
      </c>
      <c r="R121" t="str">
        <f t="shared" si="5"/>
        <v>Low</v>
      </c>
      <c r="S121" s="10" t="str">
        <f t="shared" si="6"/>
        <v>Mist/Cloudy</v>
      </c>
      <c r="T121" s="10" t="str">
        <f t="shared" si="7"/>
        <v>Cold</v>
      </c>
    </row>
    <row r="122" spans="1:20" x14ac:dyDescent="0.3">
      <c r="A122">
        <v>121</v>
      </c>
      <c r="B122" t="s">
        <v>21</v>
      </c>
      <c r="C122">
        <v>1</v>
      </c>
      <c r="D122">
        <v>0</v>
      </c>
      <c r="E122">
        <v>1</v>
      </c>
      <c r="F122">
        <v>6</v>
      </c>
      <c r="G122" t="b">
        <v>0</v>
      </c>
      <c r="H122">
        <v>4</v>
      </c>
      <c r="I122">
        <v>2</v>
      </c>
      <c r="J122">
        <v>0.14000000000000001</v>
      </c>
      <c r="K122">
        <v>0.16669999999999999</v>
      </c>
      <c r="L122">
        <v>0.63</v>
      </c>
      <c r="M122">
        <v>0.1045</v>
      </c>
      <c r="N122">
        <v>0</v>
      </c>
      <c r="O122">
        <v>36</v>
      </c>
      <c r="P122">
        <v>36</v>
      </c>
      <c r="Q122" t="str">
        <f t="shared" si="4"/>
        <v>Weekday</v>
      </c>
      <c r="R122" t="str">
        <f t="shared" si="5"/>
        <v>Low</v>
      </c>
      <c r="S122" s="10" t="str">
        <f t="shared" si="6"/>
        <v>Mist/Cloudy</v>
      </c>
      <c r="T122" s="10" t="str">
        <f t="shared" si="7"/>
        <v>Cold</v>
      </c>
    </row>
    <row r="123" spans="1:20" x14ac:dyDescent="0.3">
      <c r="A123">
        <v>122</v>
      </c>
      <c r="B123" t="s">
        <v>21</v>
      </c>
      <c r="C123">
        <v>1</v>
      </c>
      <c r="D123">
        <v>0</v>
      </c>
      <c r="E123">
        <v>1</v>
      </c>
      <c r="F123">
        <v>7</v>
      </c>
      <c r="G123" t="b">
        <v>0</v>
      </c>
      <c r="H123">
        <v>4</v>
      </c>
      <c r="I123">
        <v>2</v>
      </c>
      <c r="J123">
        <v>0.16</v>
      </c>
      <c r="K123">
        <v>0.2273</v>
      </c>
      <c r="L123">
        <v>0.59</v>
      </c>
      <c r="M123">
        <v>0</v>
      </c>
      <c r="N123">
        <v>0</v>
      </c>
      <c r="O123">
        <v>95</v>
      </c>
      <c r="P123">
        <v>95</v>
      </c>
      <c r="Q123" t="str">
        <f t="shared" si="4"/>
        <v>Weekday</v>
      </c>
      <c r="R123" t="str">
        <f t="shared" si="5"/>
        <v>Medium</v>
      </c>
      <c r="S123" s="10" t="str">
        <f t="shared" si="6"/>
        <v>Mist/Cloudy</v>
      </c>
      <c r="T123" s="10" t="str">
        <f t="shared" si="7"/>
        <v>Cold</v>
      </c>
    </row>
    <row r="124" spans="1:20" x14ac:dyDescent="0.3">
      <c r="A124">
        <v>123</v>
      </c>
      <c r="B124" t="s">
        <v>21</v>
      </c>
      <c r="C124">
        <v>1</v>
      </c>
      <c r="D124">
        <v>0</v>
      </c>
      <c r="E124">
        <v>1</v>
      </c>
      <c r="F124">
        <v>8</v>
      </c>
      <c r="G124" t="b">
        <v>0</v>
      </c>
      <c r="H124">
        <v>4</v>
      </c>
      <c r="I124">
        <v>1</v>
      </c>
      <c r="J124">
        <v>0.16</v>
      </c>
      <c r="K124">
        <v>0.2273</v>
      </c>
      <c r="L124">
        <v>0.59</v>
      </c>
      <c r="M124">
        <v>0</v>
      </c>
      <c r="N124">
        <v>3</v>
      </c>
      <c r="O124">
        <v>216</v>
      </c>
      <c r="P124">
        <v>219</v>
      </c>
      <c r="Q124" t="str">
        <f t="shared" si="4"/>
        <v>Weekday</v>
      </c>
      <c r="R124" t="str">
        <f t="shared" si="5"/>
        <v>High</v>
      </c>
      <c r="S124" s="10" t="str">
        <f t="shared" si="6"/>
        <v>Clear</v>
      </c>
      <c r="T124" s="10" t="str">
        <f t="shared" si="7"/>
        <v>Cold</v>
      </c>
    </row>
    <row r="125" spans="1:20" x14ac:dyDescent="0.3">
      <c r="A125">
        <v>124</v>
      </c>
      <c r="B125" t="s">
        <v>21</v>
      </c>
      <c r="C125">
        <v>1</v>
      </c>
      <c r="D125">
        <v>0</v>
      </c>
      <c r="E125">
        <v>1</v>
      </c>
      <c r="F125">
        <v>9</v>
      </c>
      <c r="G125" t="b">
        <v>0</v>
      </c>
      <c r="H125">
        <v>4</v>
      </c>
      <c r="I125">
        <v>2</v>
      </c>
      <c r="J125">
        <v>0.18</v>
      </c>
      <c r="K125">
        <v>0.2424</v>
      </c>
      <c r="L125">
        <v>0.51</v>
      </c>
      <c r="M125">
        <v>0</v>
      </c>
      <c r="N125">
        <v>6</v>
      </c>
      <c r="O125">
        <v>116</v>
      </c>
      <c r="P125">
        <v>122</v>
      </c>
      <c r="Q125" t="str">
        <f t="shared" si="4"/>
        <v>Weekday</v>
      </c>
      <c r="R125" t="str">
        <f t="shared" si="5"/>
        <v>Medium</v>
      </c>
      <c r="S125" s="10" t="str">
        <f t="shared" si="6"/>
        <v>Mist/Cloudy</v>
      </c>
      <c r="T125" s="10" t="str">
        <f t="shared" si="7"/>
        <v>Cold</v>
      </c>
    </row>
    <row r="126" spans="1:20" x14ac:dyDescent="0.3">
      <c r="A126">
        <v>125</v>
      </c>
      <c r="B126" t="s">
        <v>21</v>
      </c>
      <c r="C126">
        <v>1</v>
      </c>
      <c r="D126">
        <v>0</v>
      </c>
      <c r="E126">
        <v>1</v>
      </c>
      <c r="F126">
        <v>10</v>
      </c>
      <c r="G126" t="b">
        <v>0</v>
      </c>
      <c r="H126">
        <v>4</v>
      </c>
      <c r="I126">
        <v>1</v>
      </c>
      <c r="J126">
        <v>0.2</v>
      </c>
      <c r="K126">
        <v>0.2576</v>
      </c>
      <c r="L126">
        <v>0.47</v>
      </c>
      <c r="M126">
        <v>0</v>
      </c>
      <c r="N126">
        <v>3</v>
      </c>
      <c r="O126">
        <v>42</v>
      </c>
      <c r="P126">
        <v>45</v>
      </c>
      <c r="Q126" t="str">
        <f t="shared" si="4"/>
        <v>Weekday</v>
      </c>
      <c r="R126" t="str">
        <f t="shared" si="5"/>
        <v>Low</v>
      </c>
      <c r="S126" s="10" t="str">
        <f t="shared" si="6"/>
        <v>Clear</v>
      </c>
      <c r="T126" s="10" t="str">
        <f t="shared" si="7"/>
        <v>Cold</v>
      </c>
    </row>
    <row r="127" spans="1:20" x14ac:dyDescent="0.3">
      <c r="A127">
        <v>126</v>
      </c>
      <c r="B127" t="s">
        <v>21</v>
      </c>
      <c r="C127">
        <v>1</v>
      </c>
      <c r="D127">
        <v>0</v>
      </c>
      <c r="E127">
        <v>1</v>
      </c>
      <c r="F127">
        <v>11</v>
      </c>
      <c r="G127" t="b">
        <v>0</v>
      </c>
      <c r="H127">
        <v>4</v>
      </c>
      <c r="I127">
        <v>1</v>
      </c>
      <c r="J127">
        <v>0.22</v>
      </c>
      <c r="K127">
        <v>0.2576</v>
      </c>
      <c r="L127">
        <v>0.44</v>
      </c>
      <c r="M127">
        <v>8.9599999999999999E-2</v>
      </c>
      <c r="N127">
        <v>2</v>
      </c>
      <c r="O127">
        <v>57</v>
      </c>
      <c r="P127">
        <v>59</v>
      </c>
      <c r="Q127" t="str">
        <f t="shared" si="4"/>
        <v>Weekday</v>
      </c>
      <c r="R127" t="str">
        <f t="shared" si="5"/>
        <v>Medium</v>
      </c>
      <c r="S127" s="10" t="str">
        <f t="shared" si="6"/>
        <v>Clear</v>
      </c>
      <c r="T127" s="10" t="str">
        <f t="shared" si="7"/>
        <v>Cold</v>
      </c>
    </row>
    <row r="128" spans="1:20" x14ac:dyDescent="0.3">
      <c r="A128">
        <v>127</v>
      </c>
      <c r="B128" t="s">
        <v>21</v>
      </c>
      <c r="C128">
        <v>1</v>
      </c>
      <c r="D128">
        <v>0</v>
      </c>
      <c r="E128">
        <v>1</v>
      </c>
      <c r="F128">
        <v>12</v>
      </c>
      <c r="G128" t="b">
        <v>0</v>
      </c>
      <c r="H128">
        <v>4</v>
      </c>
      <c r="I128">
        <v>1</v>
      </c>
      <c r="J128">
        <v>0.26</v>
      </c>
      <c r="K128">
        <v>0.28789999999999999</v>
      </c>
      <c r="L128">
        <v>0.35</v>
      </c>
      <c r="M128">
        <v>0</v>
      </c>
      <c r="N128">
        <v>6</v>
      </c>
      <c r="O128">
        <v>78</v>
      </c>
      <c r="P128">
        <v>84</v>
      </c>
      <c r="Q128" t="str">
        <f t="shared" si="4"/>
        <v>Weekday</v>
      </c>
      <c r="R128" t="str">
        <f t="shared" si="5"/>
        <v>Medium</v>
      </c>
      <c r="S128" s="10" t="str">
        <f t="shared" si="6"/>
        <v>Clear</v>
      </c>
      <c r="T128" s="10" t="str">
        <f t="shared" si="7"/>
        <v>Cold</v>
      </c>
    </row>
    <row r="129" spans="1:20" x14ac:dyDescent="0.3">
      <c r="A129">
        <v>128</v>
      </c>
      <c r="B129" t="s">
        <v>21</v>
      </c>
      <c r="C129">
        <v>1</v>
      </c>
      <c r="D129">
        <v>0</v>
      </c>
      <c r="E129">
        <v>1</v>
      </c>
      <c r="F129">
        <v>13</v>
      </c>
      <c r="G129" t="b">
        <v>0</v>
      </c>
      <c r="H129">
        <v>4</v>
      </c>
      <c r="I129">
        <v>1</v>
      </c>
      <c r="J129">
        <v>0.26</v>
      </c>
      <c r="K129">
        <v>0.2727</v>
      </c>
      <c r="L129">
        <v>0.35</v>
      </c>
      <c r="M129">
        <v>0.1045</v>
      </c>
      <c r="N129">
        <v>12</v>
      </c>
      <c r="O129">
        <v>55</v>
      </c>
      <c r="P129">
        <v>67</v>
      </c>
      <c r="Q129" t="str">
        <f t="shared" si="4"/>
        <v>Weekday</v>
      </c>
      <c r="R129" t="str">
        <f t="shared" si="5"/>
        <v>Medium</v>
      </c>
      <c r="S129" s="10" t="str">
        <f t="shared" si="6"/>
        <v>Clear</v>
      </c>
      <c r="T129" s="10" t="str">
        <f t="shared" si="7"/>
        <v>Cold</v>
      </c>
    </row>
    <row r="130" spans="1:20" x14ac:dyDescent="0.3">
      <c r="A130">
        <v>129</v>
      </c>
      <c r="B130" t="s">
        <v>21</v>
      </c>
      <c r="C130">
        <v>1</v>
      </c>
      <c r="D130">
        <v>0</v>
      </c>
      <c r="E130">
        <v>1</v>
      </c>
      <c r="F130">
        <v>14</v>
      </c>
      <c r="G130" t="b">
        <v>0</v>
      </c>
      <c r="H130">
        <v>4</v>
      </c>
      <c r="I130">
        <v>1</v>
      </c>
      <c r="J130">
        <v>0.28000000000000003</v>
      </c>
      <c r="K130">
        <v>0.2727</v>
      </c>
      <c r="L130">
        <v>0.36</v>
      </c>
      <c r="M130">
        <v>0.16420000000000001</v>
      </c>
      <c r="N130">
        <v>11</v>
      </c>
      <c r="O130">
        <v>59</v>
      </c>
      <c r="P130">
        <v>70</v>
      </c>
      <c r="Q130" t="str">
        <f t="shared" ref="Q130:Q193" si="8">IF(G130=TRUE,"Holiday",IF(H130=0,"Weekend","Weekday"))</f>
        <v>Weekday</v>
      </c>
      <c r="R130" t="str">
        <f t="shared" ref="R130:R193" si="9">IF(P130&lt;50,"Low",IF(P130&lt;150,"Medium","High"))</f>
        <v>Medium</v>
      </c>
      <c r="S130" s="10" t="str">
        <f t="shared" si="6"/>
        <v>Clear</v>
      </c>
      <c r="T130" s="10" t="str">
        <f t="shared" si="7"/>
        <v>Cold</v>
      </c>
    </row>
    <row r="131" spans="1:20" x14ac:dyDescent="0.3">
      <c r="A131">
        <v>130</v>
      </c>
      <c r="B131" t="s">
        <v>21</v>
      </c>
      <c r="C131">
        <v>1</v>
      </c>
      <c r="D131">
        <v>0</v>
      </c>
      <c r="E131">
        <v>1</v>
      </c>
      <c r="F131">
        <v>15</v>
      </c>
      <c r="G131" t="b">
        <v>0</v>
      </c>
      <c r="H131">
        <v>4</v>
      </c>
      <c r="I131">
        <v>1</v>
      </c>
      <c r="J131">
        <v>0.28000000000000003</v>
      </c>
      <c r="K131">
        <v>0.2727</v>
      </c>
      <c r="L131">
        <v>0.36</v>
      </c>
      <c r="M131">
        <v>0</v>
      </c>
      <c r="N131">
        <v>8</v>
      </c>
      <c r="O131">
        <v>54</v>
      </c>
      <c r="P131">
        <v>62</v>
      </c>
      <c r="Q131" t="str">
        <f t="shared" si="8"/>
        <v>Weekday</v>
      </c>
      <c r="R131" t="str">
        <f t="shared" si="9"/>
        <v>Medium</v>
      </c>
      <c r="S131" s="10" t="str">
        <f t="shared" ref="S131:S194" si="10">IF(I131=1,"Clear",IF(I131=2,"Mist/Cloudy",IF(I131=3,"Light Rain/Snow","Heavy Rain/Ice")))</f>
        <v>Clear</v>
      </c>
      <c r="T131" s="10" t="str">
        <f t="shared" ref="T131:T194" si="11">IF(J131&lt;0.3,"Cold","Warm")</f>
        <v>Cold</v>
      </c>
    </row>
    <row r="132" spans="1:20" x14ac:dyDescent="0.3">
      <c r="A132">
        <v>131</v>
      </c>
      <c r="B132" t="s">
        <v>21</v>
      </c>
      <c r="C132">
        <v>1</v>
      </c>
      <c r="D132">
        <v>0</v>
      </c>
      <c r="E132">
        <v>1</v>
      </c>
      <c r="F132">
        <v>16</v>
      </c>
      <c r="G132" t="b">
        <v>0</v>
      </c>
      <c r="H132">
        <v>4</v>
      </c>
      <c r="I132">
        <v>1</v>
      </c>
      <c r="J132">
        <v>0.26</v>
      </c>
      <c r="K132">
        <v>0.2576</v>
      </c>
      <c r="L132">
        <v>0.38</v>
      </c>
      <c r="M132">
        <v>0.16420000000000001</v>
      </c>
      <c r="N132">
        <v>12</v>
      </c>
      <c r="O132">
        <v>74</v>
      </c>
      <c r="P132">
        <v>86</v>
      </c>
      <c r="Q132" t="str">
        <f t="shared" si="8"/>
        <v>Weekday</v>
      </c>
      <c r="R132" t="str">
        <f t="shared" si="9"/>
        <v>Medium</v>
      </c>
      <c r="S132" s="10" t="str">
        <f t="shared" si="10"/>
        <v>Clear</v>
      </c>
      <c r="T132" s="10" t="str">
        <f t="shared" si="11"/>
        <v>Cold</v>
      </c>
    </row>
    <row r="133" spans="1:20" x14ac:dyDescent="0.3">
      <c r="A133">
        <v>132</v>
      </c>
      <c r="B133" t="s">
        <v>21</v>
      </c>
      <c r="C133">
        <v>1</v>
      </c>
      <c r="D133">
        <v>0</v>
      </c>
      <c r="E133">
        <v>1</v>
      </c>
      <c r="F133">
        <v>17</v>
      </c>
      <c r="G133" t="b">
        <v>0</v>
      </c>
      <c r="H133">
        <v>4</v>
      </c>
      <c r="I133">
        <v>1</v>
      </c>
      <c r="J133">
        <v>0.22</v>
      </c>
      <c r="K133">
        <v>0.2273</v>
      </c>
      <c r="L133">
        <v>0.51</v>
      </c>
      <c r="M133">
        <v>0.16420000000000001</v>
      </c>
      <c r="N133">
        <v>9</v>
      </c>
      <c r="O133">
        <v>163</v>
      </c>
      <c r="P133">
        <v>172</v>
      </c>
      <c r="Q133" t="str">
        <f t="shared" si="8"/>
        <v>Weekday</v>
      </c>
      <c r="R133" t="str">
        <f t="shared" si="9"/>
        <v>High</v>
      </c>
      <c r="S133" s="10" t="str">
        <f t="shared" si="10"/>
        <v>Clear</v>
      </c>
      <c r="T133" s="10" t="str">
        <f t="shared" si="11"/>
        <v>Cold</v>
      </c>
    </row>
    <row r="134" spans="1:20" x14ac:dyDescent="0.3">
      <c r="A134">
        <v>133</v>
      </c>
      <c r="B134" t="s">
        <v>21</v>
      </c>
      <c r="C134">
        <v>1</v>
      </c>
      <c r="D134">
        <v>0</v>
      </c>
      <c r="E134">
        <v>1</v>
      </c>
      <c r="F134">
        <v>18</v>
      </c>
      <c r="G134" t="b">
        <v>0</v>
      </c>
      <c r="H134">
        <v>4</v>
      </c>
      <c r="I134">
        <v>1</v>
      </c>
      <c r="J134">
        <v>0.22</v>
      </c>
      <c r="K134">
        <v>0.2273</v>
      </c>
      <c r="L134">
        <v>0.51</v>
      </c>
      <c r="M134">
        <v>0.1343</v>
      </c>
      <c r="N134">
        <v>5</v>
      </c>
      <c r="O134">
        <v>158</v>
      </c>
      <c r="P134">
        <v>163</v>
      </c>
      <c r="Q134" t="str">
        <f t="shared" si="8"/>
        <v>Weekday</v>
      </c>
      <c r="R134" t="str">
        <f t="shared" si="9"/>
        <v>High</v>
      </c>
      <c r="S134" s="10" t="str">
        <f t="shared" si="10"/>
        <v>Clear</v>
      </c>
      <c r="T134" s="10" t="str">
        <f t="shared" si="11"/>
        <v>Cold</v>
      </c>
    </row>
    <row r="135" spans="1:20" x14ac:dyDescent="0.3">
      <c r="A135">
        <v>134</v>
      </c>
      <c r="B135" t="s">
        <v>21</v>
      </c>
      <c r="C135">
        <v>1</v>
      </c>
      <c r="D135">
        <v>0</v>
      </c>
      <c r="E135">
        <v>1</v>
      </c>
      <c r="F135">
        <v>19</v>
      </c>
      <c r="G135" t="b">
        <v>0</v>
      </c>
      <c r="H135">
        <v>4</v>
      </c>
      <c r="I135">
        <v>1</v>
      </c>
      <c r="J135">
        <v>0.22</v>
      </c>
      <c r="K135">
        <v>0.2576</v>
      </c>
      <c r="L135">
        <v>0.55000000000000004</v>
      </c>
      <c r="M135">
        <v>8.9599999999999999E-2</v>
      </c>
      <c r="N135">
        <v>3</v>
      </c>
      <c r="O135">
        <v>109</v>
      </c>
      <c r="P135">
        <v>112</v>
      </c>
      <c r="Q135" t="str">
        <f t="shared" si="8"/>
        <v>Weekday</v>
      </c>
      <c r="R135" t="str">
        <f t="shared" si="9"/>
        <v>Medium</v>
      </c>
      <c r="S135" s="10" t="str">
        <f t="shared" si="10"/>
        <v>Clear</v>
      </c>
      <c r="T135" s="10" t="str">
        <f t="shared" si="11"/>
        <v>Cold</v>
      </c>
    </row>
    <row r="136" spans="1:20" x14ac:dyDescent="0.3">
      <c r="A136">
        <v>135</v>
      </c>
      <c r="B136" t="s">
        <v>21</v>
      </c>
      <c r="C136">
        <v>1</v>
      </c>
      <c r="D136">
        <v>0</v>
      </c>
      <c r="E136">
        <v>1</v>
      </c>
      <c r="F136">
        <v>20</v>
      </c>
      <c r="G136" t="b">
        <v>0</v>
      </c>
      <c r="H136">
        <v>4</v>
      </c>
      <c r="I136">
        <v>1</v>
      </c>
      <c r="J136">
        <v>0.2</v>
      </c>
      <c r="K136">
        <v>0.21210000000000001</v>
      </c>
      <c r="L136">
        <v>0.51</v>
      </c>
      <c r="M136">
        <v>0.16420000000000001</v>
      </c>
      <c r="N136">
        <v>3</v>
      </c>
      <c r="O136">
        <v>66</v>
      </c>
      <c r="P136">
        <v>69</v>
      </c>
      <c r="Q136" t="str">
        <f t="shared" si="8"/>
        <v>Weekday</v>
      </c>
      <c r="R136" t="str">
        <f t="shared" si="9"/>
        <v>Medium</v>
      </c>
      <c r="S136" s="10" t="str">
        <f t="shared" si="10"/>
        <v>Clear</v>
      </c>
      <c r="T136" s="10" t="str">
        <f t="shared" si="11"/>
        <v>Cold</v>
      </c>
    </row>
    <row r="137" spans="1:20" x14ac:dyDescent="0.3">
      <c r="A137">
        <v>136</v>
      </c>
      <c r="B137" t="s">
        <v>21</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8"/>
        <v>Weekday</v>
      </c>
      <c r="R137" t="str">
        <f t="shared" si="9"/>
        <v>Low</v>
      </c>
      <c r="S137" s="10" t="str">
        <f t="shared" si="10"/>
        <v>Mist/Cloudy</v>
      </c>
      <c r="T137" s="10" t="str">
        <f t="shared" si="11"/>
        <v>Cold</v>
      </c>
    </row>
    <row r="138" spans="1:20" x14ac:dyDescent="0.3">
      <c r="A138">
        <v>137</v>
      </c>
      <c r="B138" t="s">
        <v>21</v>
      </c>
      <c r="C138">
        <v>1</v>
      </c>
      <c r="D138">
        <v>0</v>
      </c>
      <c r="E138">
        <v>1</v>
      </c>
      <c r="F138">
        <v>22</v>
      </c>
      <c r="G138" t="b">
        <v>0</v>
      </c>
      <c r="H138">
        <v>4</v>
      </c>
      <c r="I138">
        <v>2</v>
      </c>
      <c r="J138">
        <v>0.22</v>
      </c>
      <c r="K138">
        <v>0.21210000000000001</v>
      </c>
      <c r="L138">
        <v>0.51</v>
      </c>
      <c r="M138">
        <v>0.28360000000000002</v>
      </c>
      <c r="N138">
        <v>1</v>
      </c>
      <c r="O138">
        <v>51</v>
      </c>
      <c r="P138">
        <v>52</v>
      </c>
      <c r="Q138" t="str">
        <f t="shared" si="8"/>
        <v>Weekday</v>
      </c>
      <c r="R138" t="str">
        <f t="shared" si="9"/>
        <v>Medium</v>
      </c>
      <c r="S138" s="10" t="str">
        <f t="shared" si="10"/>
        <v>Mist/Cloudy</v>
      </c>
      <c r="T138" s="10" t="str">
        <f t="shared" si="11"/>
        <v>Cold</v>
      </c>
    </row>
    <row r="139" spans="1:20" x14ac:dyDescent="0.3">
      <c r="A139">
        <v>138</v>
      </c>
      <c r="B139" t="s">
        <v>21</v>
      </c>
      <c r="C139">
        <v>1</v>
      </c>
      <c r="D139">
        <v>0</v>
      </c>
      <c r="E139">
        <v>1</v>
      </c>
      <c r="F139">
        <v>23</v>
      </c>
      <c r="G139" t="b">
        <v>0</v>
      </c>
      <c r="H139">
        <v>4</v>
      </c>
      <c r="I139">
        <v>2</v>
      </c>
      <c r="J139">
        <v>0.2</v>
      </c>
      <c r="K139">
        <v>0.19700000000000001</v>
      </c>
      <c r="L139">
        <v>0.59</v>
      </c>
      <c r="M139">
        <v>0.19400000000000001</v>
      </c>
      <c r="N139">
        <v>4</v>
      </c>
      <c r="O139">
        <v>19</v>
      </c>
      <c r="P139">
        <v>23</v>
      </c>
      <c r="Q139" t="str">
        <f t="shared" si="8"/>
        <v>Weekday</v>
      </c>
      <c r="R139" t="str">
        <f t="shared" si="9"/>
        <v>Low</v>
      </c>
      <c r="S139" s="10" t="str">
        <f t="shared" si="10"/>
        <v>Mist/Cloudy</v>
      </c>
      <c r="T139" s="10" t="str">
        <f t="shared" si="11"/>
        <v>Cold</v>
      </c>
    </row>
    <row r="140" spans="1:20" x14ac:dyDescent="0.3">
      <c r="A140">
        <v>139</v>
      </c>
      <c r="B140" t="s">
        <v>22</v>
      </c>
      <c r="C140">
        <v>1</v>
      </c>
      <c r="D140">
        <v>0</v>
      </c>
      <c r="E140">
        <v>1</v>
      </c>
      <c r="F140">
        <v>0</v>
      </c>
      <c r="G140" t="b">
        <v>0</v>
      </c>
      <c r="H140">
        <v>5</v>
      </c>
      <c r="I140">
        <v>2</v>
      </c>
      <c r="J140">
        <v>0.2</v>
      </c>
      <c r="K140">
        <v>0.19700000000000001</v>
      </c>
      <c r="L140">
        <v>0.64</v>
      </c>
      <c r="M140">
        <v>0.19400000000000001</v>
      </c>
      <c r="N140">
        <v>4</v>
      </c>
      <c r="O140">
        <v>13</v>
      </c>
      <c r="P140">
        <v>17</v>
      </c>
      <c r="Q140" t="str">
        <f t="shared" si="8"/>
        <v>Weekday</v>
      </c>
      <c r="R140" t="str">
        <f t="shared" si="9"/>
        <v>Low</v>
      </c>
      <c r="S140" s="10" t="str">
        <f t="shared" si="10"/>
        <v>Mist/Cloudy</v>
      </c>
      <c r="T140" s="10" t="str">
        <f t="shared" si="11"/>
        <v>Cold</v>
      </c>
    </row>
    <row r="141" spans="1:20" x14ac:dyDescent="0.3">
      <c r="A141">
        <v>140</v>
      </c>
      <c r="B141" t="s">
        <v>22</v>
      </c>
      <c r="C141">
        <v>1</v>
      </c>
      <c r="D141">
        <v>0</v>
      </c>
      <c r="E141">
        <v>1</v>
      </c>
      <c r="F141">
        <v>1</v>
      </c>
      <c r="G141" t="b">
        <v>0</v>
      </c>
      <c r="H141">
        <v>5</v>
      </c>
      <c r="I141">
        <v>2</v>
      </c>
      <c r="J141">
        <v>0.2</v>
      </c>
      <c r="K141">
        <v>0.19700000000000001</v>
      </c>
      <c r="L141">
        <v>0.69</v>
      </c>
      <c r="M141">
        <v>0.22389999999999999</v>
      </c>
      <c r="N141">
        <v>2</v>
      </c>
      <c r="O141">
        <v>5</v>
      </c>
      <c r="P141">
        <v>7</v>
      </c>
      <c r="Q141" t="str">
        <f t="shared" si="8"/>
        <v>Weekday</v>
      </c>
      <c r="R141" t="str">
        <f t="shared" si="9"/>
        <v>Low</v>
      </c>
      <c r="S141" s="10" t="str">
        <f t="shared" si="10"/>
        <v>Mist/Cloudy</v>
      </c>
      <c r="T141" s="10" t="str">
        <f t="shared" si="11"/>
        <v>Cold</v>
      </c>
    </row>
    <row r="142" spans="1:20" x14ac:dyDescent="0.3">
      <c r="A142">
        <v>141</v>
      </c>
      <c r="B142" t="s">
        <v>22</v>
      </c>
      <c r="C142">
        <v>1</v>
      </c>
      <c r="D142">
        <v>0</v>
      </c>
      <c r="E142">
        <v>1</v>
      </c>
      <c r="F142">
        <v>2</v>
      </c>
      <c r="G142" t="b">
        <v>0</v>
      </c>
      <c r="H142">
        <v>5</v>
      </c>
      <c r="I142">
        <v>2</v>
      </c>
      <c r="J142">
        <v>0.2</v>
      </c>
      <c r="K142">
        <v>0.19700000000000001</v>
      </c>
      <c r="L142">
        <v>0.69</v>
      </c>
      <c r="M142">
        <v>0.22389999999999999</v>
      </c>
      <c r="N142">
        <v>0</v>
      </c>
      <c r="O142">
        <v>1</v>
      </c>
      <c r="P142">
        <v>1</v>
      </c>
      <c r="Q142" t="str">
        <f t="shared" si="8"/>
        <v>Weekday</v>
      </c>
      <c r="R142" t="str">
        <f t="shared" si="9"/>
        <v>Low</v>
      </c>
      <c r="S142" s="10" t="str">
        <f t="shared" si="10"/>
        <v>Mist/Cloudy</v>
      </c>
      <c r="T142" s="10" t="str">
        <f t="shared" si="11"/>
        <v>Cold</v>
      </c>
    </row>
    <row r="143" spans="1:20" x14ac:dyDescent="0.3">
      <c r="A143">
        <v>142</v>
      </c>
      <c r="B143" t="s">
        <v>22</v>
      </c>
      <c r="C143">
        <v>1</v>
      </c>
      <c r="D143">
        <v>0</v>
      </c>
      <c r="E143">
        <v>1</v>
      </c>
      <c r="F143">
        <v>4</v>
      </c>
      <c r="G143" t="b">
        <v>0</v>
      </c>
      <c r="H143">
        <v>5</v>
      </c>
      <c r="I143">
        <v>2</v>
      </c>
      <c r="J143">
        <v>0.2</v>
      </c>
      <c r="K143">
        <v>0.21210000000000001</v>
      </c>
      <c r="L143">
        <v>0.69</v>
      </c>
      <c r="M143">
        <v>0.1343</v>
      </c>
      <c r="N143">
        <v>0</v>
      </c>
      <c r="O143">
        <v>1</v>
      </c>
      <c r="P143">
        <v>1</v>
      </c>
      <c r="Q143" t="str">
        <f t="shared" si="8"/>
        <v>Weekday</v>
      </c>
      <c r="R143" t="str">
        <f t="shared" si="9"/>
        <v>Low</v>
      </c>
      <c r="S143" s="10" t="str">
        <f t="shared" si="10"/>
        <v>Mist/Cloudy</v>
      </c>
      <c r="T143" s="10" t="str">
        <f t="shared" si="11"/>
        <v>Cold</v>
      </c>
    </row>
    <row r="144" spans="1:20" x14ac:dyDescent="0.3">
      <c r="A144">
        <v>143</v>
      </c>
      <c r="B144" t="s">
        <v>22</v>
      </c>
      <c r="C144">
        <v>1</v>
      </c>
      <c r="D144">
        <v>0</v>
      </c>
      <c r="E144">
        <v>1</v>
      </c>
      <c r="F144">
        <v>5</v>
      </c>
      <c r="G144" t="b">
        <v>0</v>
      </c>
      <c r="H144">
        <v>5</v>
      </c>
      <c r="I144">
        <v>3</v>
      </c>
      <c r="J144">
        <v>0.22</v>
      </c>
      <c r="K144">
        <v>0.2727</v>
      </c>
      <c r="L144">
        <v>0.55000000000000004</v>
      </c>
      <c r="M144">
        <v>0</v>
      </c>
      <c r="N144">
        <v>0</v>
      </c>
      <c r="O144">
        <v>5</v>
      </c>
      <c r="P144">
        <v>5</v>
      </c>
      <c r="Q144" t="str">
        <f t="shared" si="8"/>
        <v>Weekday</v>
      </c>
      <c r="R144" t="str">
        <f t="shared" si="9"/>
        <v>Low</v>
      </c>
      <c r="S144" s="10" t="str">
        <f t="shared" si="10"/>
        <v>Light Rain/Snow</v>
      </c>
      <c r="T144" s="10" t="str">
        <f t="shared" si="11"/>
        <v>Cold</v>
      </c>
    </row>
    <row r="145" spans="1:20" x14ac:dyDescent="0.3">
      <c r="A145">
        <v>144</v>
      </c>
      <c r="B145" t="s">
        <v>22</v>
      </c>
      <c r="C145">
        <v>1</v>
      </c>
      <c r="D145">
        <v>0</v>
      </c>
      <c r="E145">
        <v>1</v>
      </c>
      <c r="F145">
        <v>6</v>
      </c>
      <c r="G145" t="b">
        <v>0</v>
      </c>
      <c r="H145">
        <v>5</v>
      </c>
      <c r="I145">
        <v>2</v>
      </c>
      <c r="J145">
        <v>0.2</v>
      </c>
      <c r="K145">
        <v>0.2576</v>
      </c>
      <c r="L145">
        <v>0.69</v>
      </c>
      <c r="M145">
        <v>0</v>
      </c>
      <c r="N145">
        <v>8</v>
      </c>
      <c r="O145">
        <v>26</v>
      </c>
      <c r="P145">
        <v>34</v>
      </c>
      <c r="Q145" t="str">
        <f t="shared" si="8"/>
        <v>Weekday</v>
      </c>
      <c r="R145" t="str">
        <f t="shared" si="9"/>
        <v>Low</v>
      </c>
      <c r="S145" s="10" t="str">
        <f t="shared" si="10"/>
        <v>Mist/Cloudy</v>
      </c>
      <c r="T145" s="10" t="str">
        <f t="shared" si="11"/>
        <v>Cold</v>
      </c>
    </row>
    <row r="146" spans="1:20" x14ac:dyDescent="0.3">
      <c r="A146">
        <v>145</v>
      </c>
      <c r="B146" t="s">
        <v>22</v>
      </c>
      <c r="C146">
        <v>1</v>
      </c>
      <c r="D146">
        <v>0</v>
      </c>
      <c r="E146">
        <v>1</v>
      </c>
      <c r="F146">
        <v>7</v>
      </c>
      <c r="G146" t="b">
        <v>0</v>
      </c>
      <c r="H146">
        <v>5</v>
      </c>
      <c r="I146">
        <v>1</v>
      </c>
      <c r="J146">
        <v>0.2</v>
      </c>
      <c r="K146">
        <v>0.21210000000000001</v>
      </c>
      <c r="L146">
        <v>0.69</v>
      </c>
      <c r="M146">
        <v>0.1343</v>
      </c>
      <c r="N146">
        <v>8</v>
      </c>
      <c r="O146">
        <v>76</v>
      </c>
      <c r="P146">
        <v>84</v>
      </c>
      <c r="Q146" t="str">
        <f t="shared" si="8"/>
        <v>Weekday</v>
      </c>
      <c r="R146" t="str">
        <f t="shared" si="9"/>
        <v>Medium</v>
      </c>
      <c r="S146" s="10" t="str">
        <f t="shared" si="10"/>
        <v>Clear</v>
      </c>
      <c r="T146" s="10" t="str">
        <f t="shared" si="11"/>
        <v>Cold</v>
      </c>
    </row>
    <row r="147" spans="1:20" x14ac:dyDescent="0.3">
      <c r="A147">
        <v>146</v>
      </c>
      <c r="B147" t="s">
        <v>22</v>
      </c>
      <c r="C147">
        <v>1</v>
      </c>
      <c r="D147">
        <v>0</v>
      </c>
      <c r="E147">
        <v>1</v>
      </c>
      <c r="F147">
        <v>8</v>
      </c>
      <c r="G147" t="b">
        <v>0</v>
      </c>
      <c r="H147">
        <v>5</v>
      </c>
      <c r="I147">
        <v>1</v>
      </c>
      <c r="J147">
        <v>0.2</v>
      </c>
      <c r="K147">
        <v>0.19700000000000001</v>
      </c>
      <c r="L147">
        <v>0.51</v>
      </c>
      <c r="M147">
        <v>0.25369999999999998</v>
      </c>
      <c r="N147">
        <v>20</v>
      </c>
      <c r="O147">
        <v>190</v>
      </c>
      <c r="P147">
        <v>210</v>
      </c>
      <c r="Q147" t="str">
        <f t="shared" si="8"/>
        <v>Weekday</v>
      </c>
      <c r="R147" t="str">
        <f t="shared" si="9"/>
        <v>High</v>
      </c>
      <c r="S147" s="10" t="str">
        <f t="shared" si="10"/>
        <v>Clear</v>
      </c>
      <c r="T147" s="10" t="str">
        <f t="shared" si="11"/>
        <v>Cold</v>
      </c>
    </row>
    <row r="148" spans="1:20" x14ac:dyDescent="0.3">
      <c r="A148">
        <v>147</v>
      </c>
      <c r="B148" t="s">
        <v>22</v>
      </c>
      <c r="C148">
        <v>1</v>
      </c>
      <c r="D148">
        <v>0</v>
      </c>
      <c r="E148">
        <v>1</v>
      </c>
      <c r="F148">
        <v>9</v>
      </c>
      <c r="G148" t="b">
        <v>0</v>
      </c>
      <c r="H148">
        <v>5</v>
      </c>
      <c r="I148">
        <v>1</v>
      </c>
      <c r="J148">
        <v>0.2</v>
      </c>
      <c r="K148">
        <v>0.18179999999999999</v>
      </c>
      <c r="L148">
        <v>0.47</v>
      </c>
      <c r="M148">
        <v>0.29849999999999999</v>
      </c>
      <c r="N148">
        <v>9</v>
      </c>
      <c r="O148">
        <v>125</v>
      </c>
      <c r="P148">
        <v>134</v>
      </c>
      <c r="Q148" t="str">
        <f t="shared" si="8"/>
        <v>Weekday</v>
      </c>
      <c r="R148" t="str">
        <f t="shared" si="9"/>
        <v>Medium</v>
      </c>
      <c r="S148" s="10" t="str">
        <f t="shared" si="10"/>
        <v>Clear</v>
      </c>
      <c r="T148" s="10" t="str">
        <f t="shared" si="11"/>
        <v>Cold</v>
      </c>
    </row>
    <row r="149" spans="1:20" x14ac:dyDescent="0.3">
      <c r="A149">
        <v>148</v>
      </c>
      <c r="B149" t="s">
        <v>22</v>
      </c>
      <c r="C149">
        <v>1</v>
      </c>
      <c r="D149">
        <v>0</v>
      </c>
      <c r="E149">
        <v>1</v>
      </c>
      <c r="F149">
        <v>10</v>
      </c>
      <c r="G149" t="b">
        <v>0</v>
      </c>
      <c r="H149">
        <v>5</v>
      </c>
      <c r="I149">
        <v>1</v>
      </c>
      <c r="J149">
        <v>0.22</v>
      </c>
      <c r="K149">
        <v>0.19700000000000001</v>
      </c>
      <c r="L149">
        <v>0.37</v>
      </c>
      <c r="M149">
        <v>0.32840000000000003</v>
      </c>
      <c r="N149">
        <v>16</v>
      </c>
      <c r="O149">
        <v>47</v>
      </c>
      <c r="P149">
        <v>63</v>
      </c>
      <c r="Q149" t="str">
        <f t="shared" si="8"/>
        <v>Weekday</v>
      </c>
      <c r="R149" t="str">
        <f t="shared" si="9"/>
        <v>Medium</v>
      </c>
      <c r="S149" s="10" t="str">
        <f t="shared" si="10"/>
        <v>Clear</v>
      </c>
      <c r="T149" s="10" t="str">
        <f t="shared" si="11"/>
        <v>Cold</v>
      </c>
    </row>
    <row r="150" spans="1:20" x14ac:dyDescent="0.3">
      <c r="A150">
        <v>149</v>
      </c>
      <c r="B150" t="s">
        <v>22</v>
      </c>
      <c r="C150">
        <v>1</v>
      </c>
      <c r="D150">
        <v>0</v>
      </c>
      <c r="E150">
        <v>1</v>
      </c>
      <c r="F150">
        <v>11</v>
      </c>
      <c r="G150" t="b">
        <v>0</v>
      </c>
      <c r="H150">
        <v>5</v>
      </c>
      <c r="I150">
        <v>2</v>
      </c>
      <c r="J150">
        <v>0.2</v>
      </c>
      <c r="K150">
        <v>0.19700000000000001</v>
      </c>
      <c r="L150">
        <v>0.4</v>
      </c>
      <c r="M150">
        <v>0.22389999999999999</v>
      </c>
      <c r="N150">
        <v>19</v>
      </c>
      <c r="O150">
        <v>48</v>
      </c>
      <c r="P150">
        <v>67</v>
      </c>
      <c r="Q150" t="str">
        <f t="shared" si="8"/>
        <v>Weekday</v>
      </c>
      <c r="R150" t="str">
        <f t="shared" si="9"/>
        <v>Medium</v>
      </c>
      <c r="S150" s="10" t="str">
        <f t="shared" si="10"/>
        <v>Mist/Cloudy</v>
      </c>
      <c r="T150" s="10" t="str">
        <f t="shared" si="11"/>
        <v>Cold</v>
      </c>
    </row>
    <row r="151" spans="1:20" x14ac:dyDescent="0.3">
      <c r="A151">
        <v>150</v>
      </c>
      <c r="B151" t="s">
        <v>22</v>
      </c>
      <c r="C151">
        <v>1</v>
      </c>
      <c r="D151">
        <v>0</v>
      </c>
      <c r="E151">
        <v>1</v>
      </c>
      <c r="F151">
        <v>12</v>
      </c>
      <c r="G151" t="b">
        <v>0</v>
      </c>
      <c r="H151">
        <v>5</v>
      </c>
      <c r="I151">
        <v>2</v>
      </c>
      <c r="J151">
        <v>0.2</v>
      </c>
      <c r="K151">
        <v>0.19700000000000001</v>
      </c>
      <c r="L151">
        <v>0.37</v>
      </c>
      <c r="M151">
        <v>0.25369999999999998</v>
      </c>
      <c r="N151">
        <v>9</v>
      </c>
      <c r="O151">
        <v>50</v>
      </c>
      <c r="P151">
        <v>59</v>
      </c>
      <c r="Q151" t="str">
        <f t="shared" si="8"/>
        <v>Weekday</v>
      </c>
      <c r="R151" t="str">
        <f t="shared" si="9"/>
        <v>Medium</v>
      </c>
      <c r="S151" s="10" t="str">
        <f t="shared" si="10"/>
        <v>Mist/Cloudy</v>
      </c>
      <c r="T151" s="10" t="str">
        <f t="shared" si="11"/>
        <v>Cold</v>
      </c>
    </row>
    <row r="152" spans="1:20" x14ac:dyDescent="0.3">
      <c r="A152">
        <v>151</v>
      </c>
      <c r="B152" t="s">
        <v>22</v>
      </c>
      <c r="C152">
        <v>1</v>
      </c>
      <c r="D152">
        <v>0</v>
      </c>
      <c r="E152">
        <v>1</v>
      </c>
      <c r="F152">
        <v>13</v>
      </c>
      <c r="G152" t="b">
        <v>0</v>
      </c>
      <c r="H152">
        <v>5</v>
      </c>
      <c r="I152">
        <v>2</v>
      </c>
      <c r="J152">
        <v>0.2</v>
      </c>
      <c r="K152">
        <v>0.18179999999999999</v>
      </c>
      <c r="L152">
        <v>0.37</v>
      </c>
      <c r="M152">
        <v>0.28360000000000002</v>
      </c>
      <c r="N152">
        <v>9</v>
      </c>
      <c r="O152">
        <v>64</v>
      </c>
      <c r="P152">
        <v>73</v>
      </c>
      <c r="Q152" t="str">
        <f t="shared" si="8"/>
        <v>Weekday</v>
      </c>
      <c r="R152" t="str">
        <f t="shared" si="9"/>
        <v>Medium</v>
      </c>
      <c r="S152" s="10" t="str">
        <f t="shared" si="10"/>
        <v>Mist/Cloudy</v>
      </c>
      <c r="T152" s="10" t="str">
        <f t="shared" si="11"/>
        <v>Cold</v>
      </c>
    </row>
    <row r="153" spans="1:20" x14ac:dyDescent="0.3">
      <c r="A153">
        <v>152</v>
      </c>
      <c r="B153" t="s">
        <v>22</v>
      </c>
      <c r="C153">
        <v>1</v>
      </c>
      <c r="D153">
        <v>0</v>
      </c>
      <c r="E153">
        <v>1</v>
      </c>
      <c r="F153">
        <v>14</v>
      </c>
      <c r="G153" t="b">
        <v>0</v>
      </c>
      <c r="H153">
        <v>5</v>
      </c>
      <c r="I153">
        <v>2</v>
      </c>
      <c r="J153">
        <v>0.2</v>
      </c>
      <c r="K153">
        <v>0.19700000000000001</v>
      </c>
      <c r="L153">
        <v>0.4</v>
      </c>
      <c r="M153">
        <v>0.25369999999999998</v>
      </c>
      <c r="N153">
        <v>7</v>
      </c>
      <c r="O153">
        <v>43</v>
      </c>
      <c r="P153">
        <v>50</v>
      </c>
      <c r="Q153" t="str">
        <f t="shared" si="8"/>
        <v>Weekday</v>
      </c>
      <c r="R153" t="str">
        <f t="shared" si="9"/>
        <v>Medium</v>
      </c>
      <c r="S153" s="10" t="str">
        <f t="shared" si="10"/>
        <v>Mist/Cloudy</v>
      </c>
      <c r="T153" s="10" t="str">
        <f t="shared" si="11"/>
        <v>Cold</v>
      </c>
    </row>
    <row r="154" spans="1:20" x14ac:dyDescent="0.3">
      <c r="A154">
        <v>153</v>
      </c>
      <c r="B154" t="s">
        <v>22</v>
      </c>
      <c r="C154">
        <v>1</v>
      </c>
      <c r="D154">
        <v>0</v>
      </c>
      <c r="E154">
        <v>1</v>
      </c>
      <c r="F154">
        <v>15</v>
      </c>
      <c r="G154" t="b">
        <v>0</v>
      </c>
      <c r="H154">
        <v>5</v>
      </c>
      <c r="I154">
        <v>2</v>
      </c>
      <c r="J154">
        <v>0.2</v>
      </c>
      <c r="K154">
        <v>0.21210000000000001</v>
      </c>
      <c r="L154">
        <v>0.37</v>
      </c>
      <c r="M154">
        <v>0.16420000000000001</v>
      </c>
      <c r="N154">
        <v>9</v>
      </c>
      <c r="O154">
        <v>63</v>
      </c>
      <c r="P154">
        <v>72</v>
      </c>
      <c r="Q154" t="str">
        <f t="shared" si="8"/>
        <v>Weekday</v>
      </c>
      <c r="R154" t="str">
        <f t="shared" si="9"/>
        <v>Medium</v>
      </c>
      <c r="S154" s="10" t="str">
        <f t="shared" si="10"/>
        <v>Mist/Cloudy</v>
      </c>
      <c r="T154" s="10" t="str">
        <f t="shared" si="11"/>
        <v>Cold</v>
      </c>
    </row>
    <row r="155" spans="1:20" x14ac:dyDescent="0.3">
      <c r="A155">
        <v>154</v>
      </c>
      <c r="B155" t="s">
        <v>22</v>
      </c>
      <c r="C155">
        <v>1</v>
      </c>
      <c r="D155">
        <v>0</v>
      </c>
      <c r="E155">
        <v>1</v>
      </c>
      <c r="F155">
        <v>16</v>
      </c>
      <c r="G155" t="b">
        <v>0</v>
      </c>
      <c r="H155">
        <v>5</v>
      </c>
      <c r="I155">
        <v>2</v>
      </c>
      <c r="J155">
        <v>0.2</v>
      </c>
      <c r="K155">
        <v>0.21210000000000001</v>
      </c>
      <c r="L155">
        <v>0.37</v>
      </c>
      <c r="M155">
        <v>0.16420000000000001</v>
      </c>
      <c r="N155">
        <v>5</v>
      </c>
      <c r="O155">
        <v>82</v>
      </c>
      <c r="P155">
        <v>87</v>
      </c>
      <c r="Q155" t="str">
        <f t="shared" si="8"/>
        <v>Weekday</v>
      </c>
      <c r="R155" t="str">
        <f t="shared" si="9"/>
        <v>Medium</v>
      </c>
      <c r="S155" s="10" t="str">
        <f t="shared" si="10"/>
        <v>Mist/Cloudy</v>
      </c>
      <c r="T155" s="10" t="str">
        <f t="shared" si="11"/>
        <v>Cold</v>
      </c>
    </row>
    <row r="156" spans="1:20" x14ac:dyDescent="0.3">
      <c r="A156">
        <v>155</v>
      </c>
      <c r="B156" t="s">
        <v>22</v>
      </c>
      <c r="C156">
        <v>1</v>
      </c>
      <c r="D156">
        <v>0</v>
      </c>
      <c r="E156">
        <v>1</v>
      </c>
      <c r="F156">
        <v>17</v>
      </c>
      <c r="G156" t="b">
        <v>0</v>
      </c>
      <c r="H156">
        <v>5</v>
      </c>
      <c r="I156">
        <v>2</v>
      </c>
      <c r="J156">
        <v>0.2</v>
      </c>
      <c r="K156">
        <v>0.2576</v>
      </c>
      <c r="L156">
        <v>0.37</v>
      </c>
      <c r="M156">
        <v>0</v>
      </c>
      <c r="N156">
        <v>9</v>
      </c>
      <c r="O156">
        <v>178</v>
      </c>
      <c r="P156">
        <v>187</v>
      </c>
      <c r="Q156" t="str">
        <f t="shared" si="8"/>
        <v>Weekday</v>
      </c>
      <c r="R156" t="str">
        <f t="shared" si="9"/>
        <v>High</v>
      </c>
      <c r="S156" s="10" t="str">
        <f t="shared" si="10"/>
        <v>Mist/Cloudy</v>
      </c>
      <c r="T156" s="10" t="str">
        <f t="shared" si="11"/>
        <v>Cold</v>
      </c>
    </row>
    <row r="157" spans="1:20" x14ac:dyDescent="0.3">
      <c r="A157">
        <v>156</v>
      </c>
      <c r="B157" t="s">
        <v>22</v>
      </c>
      <c r="C157">
        <v>1</v>
      </c>
      <c r="D157">
        <v>0</v>
      </c>
      <c r="E157">
        <v>1</v>
      </c>
      <c r="F157">
        <v>18</v>
      </c>
      <c r="G157" t="b">
        <v>0</v>
      </c>
      <c r="H157">
        <v>5</v>
      </c>
      <c r="I157">
        <v>1</v>
      </c>
      <c r="J157">
        <v>0.2</v>
      </c>
      <c r="K157">
        <v>0.2273</v>
      </c>
      <c r="L157">
        <v>0.4</v>
      </c>
      <c r="M157">
        <v>8.9599999999999999E-2</v>
      </c>
      <c r="N157">
        <v>7</v>
      </c>
      <c r="O157">
        <v>116</v>
      </c>
      <c r="P157">
        <v>123</v>
      </c>
      <c r="Q157" t="str">
        <f t="shared" si="8"/>
        <v>Weekday</v>
      </c>
      <c r="R157" t="str">
        <f t="shared" si="9"/>
        <v>Medium</v>
      </c>
      <c r="S157" s="10" t="str">
        <f t="shared" si="10"/>
        <v>Clear</v>
      </c>
      <c r="T157" s="10" t="str">
        <f t="shared" si="11"/>
        <v>Cold</v>
      </c>
    </row>
    <row r="158" spans="1:20" x14ac:dyDescent="0.3">
      <c r="A158">
        <v>157</v>
      </c>
      <c r="B158" t="s">
        <v>22</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8"/>
        <v>Weekday</v>
      </c>
      <c r="R158" t="str">
        <f t="shared" si="9"/>
        <v>Medium</v>
      </c>
      <c r="S158" s="10" t="str">
        <f t="shared" si="10"/>
        <v>Clear</v>
      </c>
      <c r="T158" s="10" t="str">
        <f t="shared" si="11"/>
        <v>Cold</v>
      </c>
    </row>
    <row r="159" spans="1:20" x14ac:dyDescent="0.3">
      <c r="A159">
        <v>158</v>
      </c>
      <c r="B159" t="s">
        <v>22</v>
      </c>
      <c r="C159">
        <v>1</v>
      </c>
      <c r="D159">
        <v>0</v>
      </c>
      <c r="E159">
        <v>1</v>
      </c>
      <c r="F159">
        <v>20</v>
      </c>
      <c r="G159" t="b">
        <v>0</v>
      </c>
      <c r="H159">
        <v>5</v>
      </c>
      <c r="I159">
        <v>1</v>
      </c>
      <c r="J159">
        <v>0.18</v>
      </c>
      <c r="K159">
        <v>0.21210000000000001</v>
      </c>
      <c r="L159">
        <v>0.47</v>
      </c>
      <c r="M159">
        <v>0.1045</v>
      </c>
      <c r="N159">
        <v>1</v>
      </c>
      <c r="O159">
        <v>50</v>
      </c>
      <c r="P159">
        <v>51</v>
      </c>
      <c r="Q159" t="str">
        <f t="shared" si="8"/>
        <v>Weekday</v>
      </c>
      <c r="R159" t="str">
        <f t="shared" si="9"/>
        <v>Medium</v>
      </c>
      <c r="S159" s="10" t="str">
        <f t="shared" si="10"/>
        <v>Clear</v>
      </c>
      <c r="T159" s="10" t="str">
        <f t="shared" si="11"/>
        <v>Cold</v>
      </c>
    </row>
    <row r="160" spans="1:20" x14ac:dyDescent="0.3">
      <c r="A160">
        <v>159</v>
      </c>
      <c r="B160" t="s">
        <v>22</v>
      </c>
      <c r="C160">
        <v>1</v>
      </c>
      <c r="D160">
        <v>0</v>
      </c>
      <c r="E160">
        <v>1</v>
      </c>
      <c r="F160">
        <v>21</v>
      </c>
      <c r="G160" t="b">
        <v>0</v>
      </c>
      <c r="H160">
        <v>5</v>
      </c>
      <c r="I160">
        <v>1</v>
      </c>
      <c r="J160">
        <v>0.18</v>
      </c>
      <c r="K160">
        <v>0.19700000000000001</v>
      </c>
      <c r="L160">
        <v>0.47</v>
      </c>
      <c r="M160">
        <v>0.1343</v>
      </c>
      <c r="N160">
        <v>0</v>
      </c>
      <c r="O160">
        <v>39</v>
      </c>
      <c r="P160">
        <v>39</v>
      </c>
      <c r="Q160" t="str">
        <f t="shared" si="8"/>
        <v>Weekday</v>
      </c>
      <c r="R160" t="str">
        <f t="shared" si="9"/>
        <v>Low</v>
      </c>
      <c r="S160" s="10" t="str">
        <f t="shared" si="10"/>
        <v>Clear</v>
      </c>
      <c r="T160" s="10" t="str">
        <f t="shared" si="11"/>
        <v>Cold</v>
      </c>
    </row>
    <row r="161" spans="1:20" x14ac:dyDescent="0.3">
      <c r="A161">
        <v>160</v>
      </c>
      <c r="B161" t="s">
        <v>22</v>
      </c>
      <c r="C161">
        <v>1</v>
      </c>
      <c r="D161">
        <v>0</v>
      </c>
      <c r="E161">
        <v>1</v>
      </c>
      <c r="F161">
        <v>22</v>
      </c>
      <c r="G161" t="b">
        <v>0</v>
      </c>
      <c r="H161">
        <v>5</v>
      </c>
      <c r="I161">
        <v>2</v>
      </c>
      <c r="J161">
        <v>0.18</v>
      </c>
      <c r="K161">
        <v>0.19700000000000001</v>
      </c>
      <c r="L161">
        <v>0.43</v>
      </c>
      <c r="M161">
        <v>0.16420000000000001</v>
      </c>
      <c r="N161">
        <v>2</v>
      </c>
      <c r="O161">
        <v>34</v>
      </c>
      <c r="P161">
        <v>36</v>
      </c>
      <c r="Q161" t="str">
        <f t="shared" si="8"/>
        <v>Weekday</v>
      </c>
      <c r="R161" t="str">
        <f t="shared" si="9"/>
        <v>Low</v>
      </c>
      <c r="S161" s="10" t="str">
        <f t="shared" si="10"/>
        <v>Mist/Cloudy</v>
      </c>
      <c r="T161" s="10" t="str">
        <f t="shared" si="11"/>
        <v>Cold</v>
      </c>
    </row>
    <row r="162" spans="1:20" x14ac:dyDescent="0.3">
      <c r="A162">
        <v>161</v>
      </c>
      <c r="B162" t="s">
        <v>22</v>
      </c>
      <c r="C162">
        <v>1</v>
      </c>
      <c r="D162">
        <v>0</v>
      </c>
      <c r="E162">
        <v>1</v>
      </c>
      <c r="F162">
        <v>23</v>
      </c>
      <c r="G162" t="b">
        <v>0</v>
      </c>
      <c r="H162">
        <v>5</v>
      </c>
      <c r="I162">
        <v>2</v>
      </c>
      <c r="J162">
        <v>0.18</v>
      </c>
      <c r="K162">
        <v>0.19700000000000001</v>
      </c>
      <c r="L162">
        <v>0.51</v>
      </c>
      <c r="M162">
        <v>0.16420000000000001</v>
      </c>
      <c r="N162">
        <v>1</v>
      </c>
      <c r="O162">
        <v>14</v>
      </c>
      <c r="P162">
        <v>15</v>
      </c>
      <c r="Q162" t="str">
        <f t="shared" si="8"/>
        <v>Weekday</v>
      </c>
      <c r="R162" t="str">
        <f t="shared" si="9"/>
        <v>Low</v>
      </c>
      <c r="S162" s="10" t="str">
        <f t="shared" si="10"/>
        <v>Mist/Cloudy</v>
      </c>
      <c r="T162" s="10" t="str">
        <f t="shared" si="11"/>
        <v>Cold</v>
      </c>
    </row>
    <row r="163" spans="1:20" x14ac:dyDescent="0.3">
      <c r="A163">
        <v>162</v>
      </c>
      <c r="B163" t="s">
        <v>23</v>
      </c>
      <c r="C163">
        <v>1</v>
      </c>
      <c r="D163">
        <v>0</v>
      </c>
      <c r="E163">
        <v>1</v>
      </c>
      <c r="F163">
        <v>0</v>
      </c>
      <c r="G163" t="b">
        <v>0</v>
      </c>
      <c r="H163">
        <v>6</v>
      </c>
      <c r="I163">
        <v>2</v>
      </c>
      <c r="J163">
        <v>0.18</v>
      </c>
      <c r="K163">
        <v>0.19700000000000001</v>
      </c>
      <c r="L163">
        <v>0.51</v>
      </c>
      <c r="M163">
        <v>0.16420000000000001</v>
      </c>
      <c r="N163">
        <v>1</v>
      </c>
      <c r="O163">
        <v>24</v>
      </c>
      <c r="P163">
        <v>25</v>
      </c>
      <c r="Q163" t="str">
        <f t="shared" si="8"/>
        <v>Weekday</v>
      </c>
      <c r="R163" t="str">
        <f t="shared" si="9"/>
        <v>Low</v>
      </c>
      <c r="S163" s="10" t="str">
        <f t="shared" si="10"/>
        <v>Mist/Cloudy</v>
      </c>
      <c r="T163" s="10" t="str">
        <f t="shared" si="11"/>
        <v>Cold</v>
      </c>
    </row>
    <row r="164" spans="1:20" x14ac:dyDescent="0.3">
      <c r="A164">
        <v>163</v>
      </c>
      <c r="B164" t="s">
        <v>23</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8"/>
        <v>Weekday</v>
      </c>
      <c r="R164" t="str">
        <f t="shared" si="9"/>
        <v>Low</v>
      </c>
      <c r="S164" s="10" t="str">
        <f t="shared" si="10"/>
        <v>Mist/Cloudy</v>
      </c>
      <c r="T164" s="10" t="str">
        <f t="shared" si="11"/>
        <v>Cold</v>
      </c>
    </row>
    <row r="165" spans="1:20" x14ac:dyDescent="0.3">
      <c r="A165">
        <v>164</v>
      </c>
      <c r="B165" t="s">
        <v>23</v>
      </c>
      <c r="C165">
        <v>1</v>
      </c>
      <c r="D165">
        <v>0</v>
      </c>
      <c r="E165">
        <v>1</v>
      </c>
      <c r="F165">
        <v>2</v>
      </c>
      <c r="G165" t="b">
        <v>0</v>
      </c>
      <c r="H165">
        <v>6</v>
      </c>
      <c r="I165">
        <v>2</v>
      </c>
      <c r="J165">
        <v>0.18</v>
      </c>
      <c r="K165">
        <v>0.2424</v>
      </c>
      <c r="L165">
        <v>0.55000000000000004</v>
      </c>
      <c r="M165">
        <v>0</v>
      </c>
      <c r="N165">
        <v>3</v>
      </c>
      <c r="O165">
        <v>13</v>
      </c>
      <c r="P165">
        <v>16</v>
      </c>
      <c r="Q165" t="str">
        <f t="shared" si="8"/>
        <v>Weekday</v>
      </c>
      <c r="R165" t="str">
        <f t="shared" si="9"/>
        <v>Low</v>
      </c>
      <c r="S165" s="10" t="str">
        <f t="shared" si="10"/>
        <v>Mist/Cloudy</v>
      </c>
      <c r="T165" s="10" t="str">
        <f t="shared" si="11"/>
        <v>Cold</v>
      </c>
    </row>
    <row r="166" spans="1:20" x14ac:dyDescent="0.3">
      <c r="A166">
        <v>165</v>
      </c>
      <c r="B166" t="s">
        <v>23</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8"/>
        <v>Weekday</v>
      </c>
      <c r="R166" t="str">
        <f t="shared" si="9"/>
        <v>Low</v>
      </c>
      <c r="S166" s="10" t="str">
        <f t="shared" si="10"/>
        <v>Light Rain/Snow</v>
      </c>
      <c r="T166" s="10" t="str">
        <f t="shared" si="11"/>
        <v>Cold</v>
      </c>
    </row>
    <row r="167" spans="1:20" x14ac:dyDescent="0.3">
      <c r="A167">
        <v>166</v>
      </c>
      <c r="B167" t="s">
        <v>23</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8"/>
        <v>Weekday</v>
      </c>
      <c r="R167" t="str">
        <f t="shared" si="9"/>
        <v>Low</v>
      </c>
      <c r="S167" s="10" t="str">
        <f t="shared" si="10"/>
        <v>Light Rain/Snow</v>
      </c>
      <c r="T167" s="10" t="str">
        <f t="shared" si="11"/>
        <v>Cold</v>
      </c>
    </row>
    <row r="168" spans="1:20" x14ac:dyDescent="0.3">
      <c r="A168">
        <v>167</v>
      </c>
      <c r="B168" t="s">
        <v>23</v>
      </c>
      <c r="C168">
        <v>1</v>
      </c>
      <c r="D168">
        <v>0</v>
      </c>
      <c r="E168">
        <v>1</v>
      </c>
      <c r="F168">
        <v>5</v>
      </c>
      <c r="G168" t="b">
        <v>0</v>
      </c>
      <c r="H168">
        <v>6</v>
      </c>
      <c r="I168">
        <v>2</v>
      </c>
      <c r="J168">
        <v>0.16</v>
      </c>
      <c r="K168">
        <v>0.16669999999999999</v>
      </c>
      <c r="L168">
        <v>0.74</v>
      </c>
      <c r="M168">
        <v>0.16420000000000001</v>
      </c>
      <c r="N168">
        <v>0</v>
      </c>
      <c r="O168">
        <v>5</v>
      </c>
      <c r="P168">
        <v>5</v>
      </c>
      <c r="Q168" t="str">
        <f t="shared" si="8"/>
        <v>Weekday</v>
      </c>
      <c r="R168" t="str">
        <f t="shared" si="9"/>
        <v>Low</v>
      </c>
      <c r="S168" s="10" t="str">
        <f t="shared" si="10"/>
        <v>Mist/Cloudy</v>
      </c>
      <c r="T168" s="10" t="str">
        <f t="shared" si="11"/>
        <v>Cold</v>
      </c>
    </row>
    <row r="169" spans="1:20" x14ac:dyDescent="0.3">
      <c r="A169">
        <v>168</v>
      </c>
      <c r="B169" t="s">
        <v>23</v>
      </c>
      <c r="C169">
        <v>1</v>
      </c>
      <c r="D169">
        <v>0</v>
      </c>
      <c r="E169">
        <v>1</v>
      </c>
      <c r="F169">
        <v>6</v>
      </c>
      <c r="G169" t="b">
        <v>0</v>
      </c>
      <c r="H169">
        <v>6</v>
      </c>
      <c r="I169">
        <v>2</v>
      </c>
      <c r="J169">
        <v>0.16</v>
      </c>
      <c r="K169">
        <v>0.16669999999999999</v>
      </c>
      <c r="L169">
        <v>0.74</v>
      </c>
      <c r="M169">
        <v>0.16420000000000001</v>
      </c>
      <c r="N169">
        <v>0</v>
      </c>
      <c r="O169">
        <v>2</v>
      </c>
      <c r="P169">
        <v>2</v>
      </c>
      <c r="Q169" t="str">
        <f t="shared" si="8"/>
        <v>Weekday</v>
      </c>
      <c r="R169" t="str">
        <f t="shared" si="9"/>
        <v>Low</v>
      </c>
      <c r="S169" s="10" t="str">
        <f t="shared" si="10"/>
        <v>Mist/Cloudy</v>
      </c>
      <c r="T169" s="10" t="str">
        <f t="shared" si="11"/>
        <v>Cold</v>
      </c>
    </row>
    <row r="170" spans="1:20" x14ac:dyDescent="0.3">
      <c r="A170">
        <v>169</v>
      </c>
      <c r="B170" t="s">
        <v>23</v>
      </c>
      <c r="C170">
        <v>1</v>
      </c>
      <c r="D170">
        <v>0</v>
      </c>
      <c r="E170">
        <v>1</v>
      </c>
      <c r="F170">
        <v>7</v>
      </c>
      <c r="G170" t="b">
        <v>0</v>
      </c>
      <c r="H170">
        <v>6</v>
      </c>
      <c r="I170">
        <v>2</v>
      </c>
      <c r="J170">
        <v>0.16</v>
      </c>
      <c r="K170">
        <v>0.18179999999999999</v>
      </c>
      <c r="L170">
        <v>0.74</v>
      </c>
      <c r="M170">
        <v>0.1045</v>
      </c>
      <c r="N170">
        <v>1</v>
      </c>
      <c r="O170">
        <v>8</v>
      </c>
      <c r="P170">
        <v>9</v>
      </c>
      <c r="Q170" t="str">
        <f t="shared" si="8"/>
        <v>Weekday</v>
      </c>
      <c r="R170" t="str">
        <f t="shared" si="9"/>
        <v>Low</v>
      </c>
      <c r="S170" s="10" t="str">
        <f t="shared" si="10"/>
        <v>Mist/Cloudy</v>
      </c>
      <c r="T170" s="10" t="str">
        <f t="shared" si="11"/>
        <v>Cold</v>
      </c>
    </row>
    <row r="171" spans="1:20" x14ac:dyDescent="0.3">
      <c r="A171">
        <v>170</v>
      </c>
      <c r="B171" t="s">
        <v>23</v>
      </c>
      <c r="C171">
        <v>1</v>
      </c>
      <c r="D171">
        <v>0</v>
      </c>
      <c r="E171">
        <v>1</v>
      </c>
      <c r="F171">
        <v>8</v>
      </c>
      <c r="G171" t="b">
        <v>0</v>
      </c>
      <c r="H171">
        <v>6</v>
      </c>
      <c r="I171">
        <v>3</v>
      </c>
      <c r="J171">
        <v>0.16</v>
      </c>
      <c r="K171">
        <v>0.18179999999999999</v>
      </c>
      <c r="L171">
        <v>0.93</v>
      </c>
      <c r="M171">
        <v>0.1045</v>
      </c>
      <c r="N171">
        <v>0</v>
      </c>
      <c r="O171">
        <v>15</v>
      </c>
      <c r="P171">
        <v>15</v>
      </c>
      <c r="Q171" t="str">
        <f t="shared" si="8"/>
        <v>Weekday</v>
      </c>
      <c r="R171" t="str">
        <f t="shared" si="9"/>
        <v>Low</v>
      </c>
      <c r="S171" s="10" t="str">
        <f t="shared" si="10"/>
        <v>Light Rain/Snow</v>
      </c>
      <c r="T171" s="10" t="str">
        <f t="shared" si="11"/>
        <v>Cold</v>
      </c>
    </row>
    <row r="172" spans="1:20" x14ac:dyDescent="0.3">
      <c r="A172">
        <v>171</v>
      </c>
      <c r="B172" t="s">
        <v>23</v>
      </c>
      <c r="C172">
        <v>1</v>
      </c>
      <c r="D172">
        <v>0</v>
      </c>
      <c r="E172">
        <v>1</v>
      </c>
      <c r="F172">
        <v>9</v>
      </c>
      <c r="G172" t="b">
        <v>0</v>
      </c>
      <c r="H172">
        <v>6</v>
      </c>
      <c r="I172">
        <v>3</v>
      </c>
      <c r="J172">
        <v>0.16</v>
      </c>
      <c r="K172">
        <v>0.18179999999999999</v>
      </c>
      <c r="L172">
        <v>0.93</v>
      </c>
      <c r="M172">
        <v>0.1045</v>
      </c>
      <c r="N172">
        <v>0</v>
      </c>
      <c r="O172">
        <v>20</v>
      </c>
      <c r="P172">
        <v>20</v>
      </c>
      <c r="Q172" t="str">
        <f t="shared" si="8"/>
        <v>Weekday</v>
      </c>
      <c r="R172" t="str">
        <f t="shared" si="9"/>
        <v>Low</v>
      </c>
      <c r="S172" s="10" t="str">
        <f t="shared" si="10"/>
        <v>Light Rain/Snow</v>
      </c>
      <c r="T172" s="10" t="str">
        <f t="shared" si="11"/>
        <v>Cold</v>
      </c>
    </row>
    <row r="173" spans="1:20" x14ac:dyDescent="0.3">
      <c r="A173">
        <v>172</v>
      </c>
      <c r="B173" t="s">
        <v>23</v>
      </c>
      <c r="C173">
        <v>1</v>
      </c>
      <c r="D173">
        <v>0</v>
      </c>
      <c r="E173">
        <v>1</v>
      </c>
      <c r="F173">
        <v>10</v>
      </c>
      <c r="G173" t="b">
        <v>0</v>
      </c>
      <c r="H173">
        <v>6</v>
      </c>
      <c r="I173">
        <v>2</v>
      </c>
      <c r="J173">
        <v>0.18</v>
      </c>
      <c r="K173">
        <v>0.19700000000000001</v>
      </c>
      <c r="L173">
        <v>0.8</v>
      </c>
      <c r="M173">
        <v>0.16420000000000001</v>
      </c>
      <c r="N173">
        <v>5</v>
      </c>
      <c r="O173">
        <v>56</v>
      </c>
      <c r="P173">
        <v>61</v>
      </c>
      <c r="Q173" t="str">
        <f t="shared" si="8"/>
        <v>Weekday</v>
      </c>
      <c r="R173" t="str">
        <f t="shared" si="9"/>
        <v>Medium</v>
      </c>
      <c r="S173" s="10" t="str">
        <f t="shared" si="10"/>
        <v>Mist/Cloudy</v>
      </c>
      <c r="T173" s="10" t="str">
        <f t="shared" si="11"/>
        <v>Cold</v>
      </c>
    </row>
    <row r="174" spans="1:20" x14ac:dyDescent="0.3">
      <c r="A174">
        <v>173</v>
      </c>
      <c r="B174" t="s">
        <v>23</v>
      </c>
      <c r="C174">
        <v>1</v>
      </c>
      <c r="D174">
        <v>0</v>
      </c>
      <c r="E174">
        <v>1</v>
      </c>
      <c r="F174">
        <v>11</v>
      </c>
      <c r="G174" t="b">
        <v>0</v>
      </c>
      <c r="H174">
        <v>6</v>
      </c>
      <c r="I174">
        <v>2</v>
      </c>
      <c r="J174">
        <v>0.2</v>
      </c>
      <c r="K174">
        <v>0.18179999999999999</v>
      </c>
      <c r="L174">
        <v>0.69</v>
      </c>
      <c r="M174">
        <v>0.3881</v>
      </c>
      <c r="N174">
        <v>2</v>
      </c>
      <c r="O174">
        <v>60</v>
      </c>
      <c r="P174">
        <v>62</v>
      </c>
      <c r="Q174" t="str">
        <f t="shared" si="8"/>
        <v>Weekday</v>
      </c>
      <c r="R174" t="str">
        <f t="shared" si="9"/>
        <v>Medium</v>
      </c>
      <c r="S174" s="10" t="str">
        <f t="shared" si="10"/>
        <v>Mist/Cloudy</v>
      </c>
      <c r="T174" s="10" t="str">
        <f t="shared" si="11"/>
        <v>Cold</v>
      </c>
    </row>
    <row r="175" spans="1:20" x14ac:dyDescent="0.3">
      <c r="A175">
        <v>174</v>
      </c>
      <c r="B175" t="s">
        <v>23</v>
      </c>
      <c r="C175">
        <v>1</v>
      </c>
      <c r="D175">
        <v>0</v>
      </c>
      <c r="E175">
        <v>1</v>
      </c>
      <c r="F175">
        <v>12</v>
      </c>
      <c r="G175" t="b">
        <v>0</v>
      </c>
      <c r="H175">
        <v>6</v>
      </c>
      <c r="I175">
        <v>2</v>
      </c>
      <c r="J175">
        <v>0.2</v>
      </c>
      <c r="K175">
        <v>0.18179999999999999</v>
      </c>
      <c r="L175">
        <v>0.59</v>
      </c>
      <c r="M175">
        <v>0.35820000000000002</v>
      </c>
      <c r="N175">
        <v>8</v>
      </c>
      <c r="O175">
        <v>90</v>
      </c>
      <c r="P175">
        <v>98</v>
      </c>
      <c r="Q175" t="str">
        <f t="shared" si="8"/>
        <v>Weekday</v>
      </c>
      <c r="R175" t="str">
        <f t="shared" si="9"/>
        <v>Medium</v>
      </c>
      <c r="S175" s="10" t="str">
        <f t="shared" si="10"/>
        <v>Mist/Cloudy</v>
      </c>
      <c r="T175" s="10" t="str">
        <f t="shared" si="11"/>
        <v>Cold</v>
      </c>
    </row>
    <row r="176" spans="1:20" x14ac:dyDescent="0.3">
      <c r="A176">
        <v>175</v>
      </c>
      <c r="B176" t="s">
        <v>23</v>
      </c>
      <c r="C176">
        <v>1</v>
      </c>
      <c r="D176">
        <v>0</v>
      </c>
      <c r="E176">
        <v>1</v>
      </c>
      <c r="F176">
        <v>13</v>
      </c>
      <c r="G176" t="b">
        <v>0</v>
      </c>
      <c r="H176">
        <v>6</v>
      </c>
      <c r="I176">
        <v>1</v>
      </c>
      <c r="J176">
        <v>0.2</v>
      </c>
      <c r="K176">
        <v>0.18179999999999999</v>
      </c>
      <c r="L176">
        <v>0.44</v>
      </c>
      <c r="M176">
        <v>0.32840000000000003</v>
      </c>
      <c r="N176">
        <v>7</v>
      </c>
      <c r="O176">
        <v>95</v>
      </c>
      <c r="P176">
        <v>102</v>
      </c>
      <c r="Q176" t="str">
        <f t="shared" si="8"/>
        <v>Weekday</v>
      </c>
      <c r="R176" t="str">
        <f t="shared" si="9"/>
        <v>Medium</v>
      </c>
      <c r="S176" s="10" t="str">
        <f t="shared" si="10"/>
        <v>Clear</v>
      </c>
      <c r="T176" s="10" t="str">
        <f t="shared" si="11"/>
        <v>Cold</v>
      </c>
    </row>
    <row r="177" spans="1:20" x14ac:dyDescent="0.3">
      <c r="A177">
        <v>176</v>
      </c>
      <c r="B177" t="s">
        <v>23</v>
      </c>
      <c r="C177">
        <v>1</v>
      </c>
      <c r="D177">
        <v>0</v>
      </c>
      <c r="E177">
        <v>1</v>
      </c>
      <c r="F177">
        <v>14</v>
      </c>
      <c r="G177" t="b">
        <v>0</v>
      </c>
      <c r="H177">
        <v>6</v>
      </c>
      <c r="I177">
        <v>1</v>
      </c>
      <c r="J177">
        <v>0.2</v>
      </c>
      <c r="K177">
        <v>0.16669999999999999</v>
      </c>
      <c r="L177">
        <v>0.32</v>
      </c>
      <c r="M177">
        <v>0.49249999999999999</v>
      </c>
      <c r="N177">
        <v>12</v>
      </c>
      <c r="O177">
        <v>83</v>
      </c>
      <c r="P177">
        <v>95</v>
      </c>
      <c r="Q177" t="str">
        <f t="shared" si="8"/>
        <v>Weekday</v>
      </c>
      <c r="R177" t="str">
        <f t="shared" si="9"/>
        <v>Medium</v>
      </c>
      <c r="S177" s="10" t="str">
        <f t="shared" si="10"/>
        <v>Clear</v>
      </c>
      <c r="T177" s="10" t="str">
        <f t="shared" si="11"/>
        <v>Cold</v>
      </c>
    </row>
    <row r="178" spans="1:20" x14ac:dyDescent="0.3">
      <c r="A178">
        <v>177</v>
      </c>
      <c r="B178" t="s">
        <v>23</v>
      </c>
      <c r="C178">
        <v>1</v>
      </c>
      <c r="D178">
        <v>0</v>
      </c>
      <c r="E178">
        <v>1</v>
      </c>
      <c r="F178">
        <v>15</v>
      </c>
      <c r="G178" t="b">
        <v>0</v>
      </c>
      <c r="H178">
        <v>6</v>
      </c>
      <c r="I178">
        <v>1</v>
      </c>
      <c r="J178">
        <v>0.2</v>
      </c>
      <c r="K178">
        <v>0.16669999999999999</v>
      </c>
      <c r="L178">
        <v>0.32</v>
      </c>
      <c r="M178">
        <v>0.44779999999999998</v>
      </c>
      <c r="N178">
        <v>5</v>
      </c>
      <c r="O178">
        <v>69</v>
      </c>
      <c r="P178">
        <v>74</v>
      </c>
      <c r="Q178" t="str">
        <f t="shared" si="8"/>
        <v>Weekday</v>
      </c>
      <c r="R178" t="str">
        <f t="shared" si="9"/>
        <v>Medium</v>
      </c>
      <c r="S178" s="10" t="str">
        <f t="shared" si="10"/>
        <v>Clear</v>
      </c>
      <c r="T178" s="10" t="str">
        <f t="shared" si="11"/>
        <v>Cold</v>
      </c>
    </row>
    <row r="179" spans="1:20" x14ac:dyDescent="0.3">
      <c r="A179">
        <v>178</v>
      </c>
      <c r="B179" t="s">
        <v>23</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8"/>
        <v>Weekday</v>
      </c>
      <c r="R179" t="str">
        <f t="shared" si="9"/>
        <v>Medium</v>
      </c>
      <c r="S179" s="10" t="str">
        <f t="shared" si="10"/>
        <v>Clear</v>
      </c>
      <c r="T179" s="10" t="str">
        <f t="shared" si="11"/>
        <v>Cold</v>
      </c>
    </row>
    <row r="180" spans="1:20" x14ac:dyDescent="0.3">
      <c r="A180">
        <v>179</v>
      </c>
      <c r="B180" t="s">
        <v>23</v>
      </c>
      <c r="C180">
        <v>1</v>
      </c>
      <c r="D180">
        <v>0</v>
      </c>
      <c r="E180">
        <v>1</v>
      </c>
      <c r="F180">
        <v>17</v>
      </c>
      <c r="G180" t="b">
        <v>0</v>
      </c>
      <c r="H180">
        <v>6</v>
      </c>
      <c r="I180">
        <v>1</v>
      </c>
      <c r="J180">
        <v>0.16</v>
      </c>
      <c r="K180">
        <v>0.1212</v>
      </c>
      <c r="L180">
        <v>0.37</v>
      </c>
      <c r="M180">
        <v>0.55220000000000002</v>
      </c>
      <c r="N180">
        <v>5</v>
      </c>
      <c r="O180">
        <v>64</v>
      </c>
      <c r="P180">
        <v>69</v>
      </c>
      <c r="Q180" t="str">
        <f t="shared" si="8"/>
        <v>Weekday</v>
      </c>
      <c r="R180" t="str">
        <f t="shared" si="9"/>
        <v>Medium</v>
      </c>
      <c r="S180" s="10" t="str">
        <f t="shared" si="10"/>
        <v>Clear</v>
      </c>
      <c r="T180" s="10" t="str">
        <f t="shared" si="11"/>
        <v>Cold</v>
      </c>
    </row>
    <row r="181" spans="1:20" x14ac:dyDescent="0.3">
      <c r="A181">
        <v>180</v>
      </c>
      <c r="B181" t="s">
        <v>23</v>
      </c>
      <c r="C181">
        <v>1</v>
      </c>
      <c r="D181">
        <v>0</v>
      </c>
      <c r="E181">
        <v>1</v>
      </c>
      <c r="F181">
        <v>18</v>
      </c>
      <c r="G181" t="b">
        <v>0</v>
      </c>
      <c r="H181">
        <v>6</v>
      </c>
      <c r="I181">
        <v>1</v>
      </c>
      <c r="J181">
        <v>0.14000000000000001</v>
      </c>
      <c r="K181">
        <v>0.1212</v>
      </c>
      <c r="L181">
        <v>0.39</v>
      </c>
      <c r="M181">
        <v>0.29849999999999999</v>
      </c>
      <c r="N181">
        <v>3</v>
      </c>
      <c r="O181">
        <v>52</v>
      </c>
      <c r="P181">
        <v>55</v>
      </c>
      <c r="Q181" t="str">
        <f t="shared" si="8"/>
        <v>Weekday</v>
      </c>
      <c r="R181" t="str">
        <f t="shared" si="9"/>
        <v>Medium</v>
      </c>
      <c r="S181" s="10" t="str">
        <f t="shared" si="10"/>
        <v>Clear</v>
      </c>
      <c r="T181" s="10" t="str">
        <f t="shared" si="11"/>
        <v>Cold</v>
      </c>
    </row>
    <row r="182" spans="1:20" x14ac:dyDescent="0.3">
      <c r="A182">
        <v>181</v>
      </c>
      <c r="B182" t="s">
        <v>23</v>
      </c>
      <c r="C182">
        <v>1</v>
      </c>
      <c r="D182">
        <v>0</v>
      </c>
      <c r="E182">
        <v>1</v>
      </c>
      <c r="F182">
        <v>19</v>
      </c>
      <c r="G182" t="b">
        <v>0</v>
      </c>
      <c r="H182">
        <v>6</v>
      </c>
      <c r="I182">
        <v>1</v>
      </c>
      <c r="J182">
        <v>0.14000000000000001</v>
      </c>
      <c r="K182">
        <v>0.1212</v>
      </c>
      <c r="L182">
        <v>0.36</v>
      </c>
      <c r="M182">
        <v>0.25369999999999998</v>
      </c>
      <c r="N182">
        <v>4</v>
      </c>
      <c r="O182">
        <v>26</v>
      </c>
      <c r="P182">
        <v>30</v>
      </c>
      <c r="Q182" t="str">
        <f t="shared" si="8"/>
        <v>Weekday</v>
      </c>
      <c r="R182" t="str">
        <f t="shared" si="9"/>
        <v>Low</v>
      </c>
      <c r="S182" s="10" t="str">
        <f t="shared" si="10"/>
        <v>Clear</v>
      </c>
      <c r="T182" s="10" t="str">
        <f t="shared" si="11"/>
        <v>Cold</v>
      </c>
    </row>
    <row r="183" spans="1:20" x14ac:dyDescent="0.3">
      <c r="A183">
        <v>182</v>
      </c>
      <c r="B183" t="s">
        <v>23</v>
      </c>
      <c r="C183">
        <v>1</v>
      </c>
      <c r="D183">
        <v>0</v>
      </c>
      <c r="E183">
        <v>1</v>
      </c>
      <c r="F183">
        <v>20</v>
      </c>
      <c r="G183" t="b">
        <v>0</v>
      </c>
      <c r="H183">
        <v>6</v>
      </c>
      <c r="I183">
        <v>1</v>
      </c>
      <c r="J183">
        <v>0.12</v>
      </c>
      <c r="K183">
        <v>0.1212</v>
      </c>
      <c r="L183">
        <v>0.36</v>
      </c>
      <c r="M183">
        <v>0.25369999999999998</v>
      </c>
      <c r="N183">
        <v>0</v>
      </c>
      <c r="O183">
        <v>28</v>
      </c>
      <c r="P183">
        <v>28</v>
      </c>
      <c r="Q183" t="str">
        <f t="shared" si="8"/>
        <v>Weekday</v>
      </c>
      <c r="R183" t="str">
        <f t="shared" si="9"/>
        <v>Low</v>
      </c>
      <c r="S183" s="10" t="str">
        <f t="shared" si="10"/>
        <v>Clear</v>
      </c>
      <c r="T183" s="10" t="str">
        <f t="shared" si="11"/>
        <v>Cold</v>
      </c>
    </row>
    <row r="184" spans="1:20" x14ac:dyDescent="0.3">
      <c r="A184">
        <v>183</v>
      </c>
      <c r="B184" t="s">
        <v>23</v>
      </c>
      <c r="C184">
        <v>1</v>
      </c>
      <c r="D184">
        <v>0</v>
      </c>
      <c r="E184">
        <v>1</v>
      </c>
      <c r="F184">
        <v>21</v>
      </c>
      <c r="G184" t="b">
        <v>0</v>
      </c>
      <c r="H184">
        <v>6</v>
      </c>
      <c r="I184">
        <v>1</v>
      </c>
      <c r="J184">
        <v>0.12</v>
      </c>
      <c r="K184">
        <v>0.1061</v>
      </c>
      <c r="L184">
        <v>0.39</v>
      </c>
      <c r="M184">
        <v>0.35820000000000002</v>
      </c>
      <c r="N184">
        <v>2</v>
      </c>
      <c r="O184">
        <v>35</v>
      </c>
      <c r="P184">
        <v>37</v>
      </c>
      <c r="Q184" t="str">
        <f t="shared" si="8"/>
        <v>Weekday</v>
      </c>
      <c r="R184" t="str">
        <f t="shared" si="9"/>
        <v>Low</v>
      </c>
      <c r="S184" s="10" t="str">
        <f t="shared" si="10"/>
        <v>Clear</v>
      </c>
      <c r="T184" s="10" t="str">
        <f t="shared" si="11"/>
        <v>Cold</v>
      </c>
    </row>
    <row r="185" spans="1:20" x14ac:dyDescent="0.3">
      <c r="A185">
        <v>184</v>
      </c>
      <c r="B185" t="s">
        <v>23</v>
      </c>
      <c r="C185">
        <v>1</v>
      </c>
      <c r="D185">
        <v>0</v>
      </c>
      <c r="E185">
        <v>1</v>
      </c>
      <c r="F185">
        <v>22</v>
      </c>
      <c r="G185" t="b">
        <v>0</v>
      </c>
      <c r="H185">
        <v>6</v>
      </c>
      <c r="I185">
        <v>1</v>
      </c>
      <c r="J185">
        <v>0.12</v>
      </c>
      <c r="K185">
        <v>0.1061</v>
      </c>
      <c r="L185">
        <v>0.36</v>
      </c>
      <c r="M185">
        <v>0.3881</v>
      </c>
      <c r="N185">
        <v>1</v>
      </c>
      <c r="O185">
        <v>33</v>
      </c>
      <c r="P185">
        <v>34</v>
      </c>
      <c r="Q185" t="str">
        <f t="shared" si="8"/>
        <v>Weekday</v>
      </c>
      <c r="R185" t="str">
        <f t="shared" si="9"/>
        <v>Low</v>
      </c>
      <c r="S185" s="10" t="str">
        <f t="shared" si="10"/>
        <v>Clear</v>
      </c>
      <c r="T185" s="10" t="str">
        <f t="shared" si="11"/>
        <v>Cold</v>
      </c>
    </row>
    <row r="186" spans="1:20" x14ac:dyDescent="0.3">
      <c r="A186">
        <v>185</v>
      </c>
      <c r="B186" t="s">
        <v>23</v>
      </c>
      <c r="C186">
        <v>1</v>
      </c>
      <c r="D186">
        <v>0</v>
      </c>
      <c r="E186">
        <v>1</v>
      </c>
      <c r="F186">
        <v>23</v>
      </c>
      <c r="G186" t="b">
        <v>0</v>
      </c>
      <c r="H186">
        <v>6</v>
      </c>
      <c r="I186">
        <v>1</v>
      </c>
      <c r="J186">
        <v>0.1</v>
      </c>
      <c r="K186">
        <v>6.0600000000000001E-2</v>
      </c>
      <c r="L186">
        <v>0.39</v>
      </c>
      <c r="M186">
        <v>0.44779999999999998</v>
      </c>
      <c r="N186">
        <v>0</v>
      </c>
      <c r="O186">
        <v>22</v>
      </c>
      <c r="P186">
        <v>22</v>
      </c>
      <c r="Q186" t="str">
        <f t="shared" si="8"/>
        <v>Weekday</v>
      </c>
      <c r="R186" t="str">
        <f t="shared" si="9"/>
        <v>Low</v>
      </c>
      <c r="S186" s="10" t="str">
        <f t="shared" si="10"/>
        <v>Clear</v>
      </c>
      <c r="T186" s="10" t="str">
        <f t="shared" si="11"/>
        <v>Cold</v>
      </c>
    </row>
    <row r="187" spans="1:20" x14ac:dyDescent="0.3">
      <c r="A187">
        <v>186</v>
      </c>
      <c r="B187" t="s">
        <v>24</v>
      </c>
      <c r="C187">
        <v>1</v>
      </c>
      <c r="D187">
        <v>0</v>
      </c>
      <c r="E187">
        <v>1</v>
      </c>
      <c r="F187">
        <v>0</v>
      </c>
      <c r="G187" t="b">
        <v>0</v>
      </c>
      <c r="H187">
        <v>0</v>
      </c>
      <c r="I187">
        <v>1</v>
      </c>
      <c r="J187">
        <v>0.1</v>
      </c>
      <c r="K187">
        <v>7.5800000000000006E-2</v>
      </c>
      <c r="L187">
        <v>0.42</v>
      </c>
      <c r="M187">
        <v>0.3881</v>
      </c>
      <c r="N187">
        <v>1</v>
      </c>
      <c r="O187">
        <v>24</v>
      </c>
      <c r="P187">
        <v>25</v>
      </c>
      <c r="Q187" t="str">
        <f t="shared" si="8"/>
        <v>Weekend</v>
      </c>
      <c r="R187" t="str">
        <f t="shared" si="9"/>
        <v>Low</v>
      </c>
      <c r="S187" s="10" t="str">
        <f t="shared" si="10"/>
        <v>Clear</v>
      </c>
      <c r="T187" s="10" t="str">
        <f t="shared" si="11"/>
        <v>Cold</v>
      </c>
    </row>
    <row r="188" spans="1:20" x14ac:dyDescent="0.3">
      <c r="A188">
        <v>187</v>
      </c>
      <c r="B188" t="s">
        <v>24</v>
      </c>
      <c r="C188">
        <v>1</v>
      </c>
      <c r="D188">
        <v>0</v>
      </c>
      <c r="E188">
        <v>1</v>
      </c>
      <c r="F188">
        <v>1</v>
      </c>
      <c r="G188" t="b">
        <v>0</v>
      </c>
      <c r="H188">
        <v>0</v>
      </c>
      <c r="I188">
        <v>1</v>
      </c>
      <c r="J188">
        <v>0.1</v>
      </c>
      <c r="K188">
        <v>6.0600000000000001E-2</v>
      </c>
      <c r="L188">
        <v>0.42</v>
      </c>
      <c r="M188">
        <v>0.4627</v>
      </c>
      <c r="N188">
        <v>0</v>
      </c>
      <c r="O188">
        <v>12</v>
      </c>
      <c r="P188">
        <v>12</v>
      </c>
      <c r="Q188" t="str">
        <f t="shared" si="8"/>
        <v>Weekend</v>
      </c>
      <c r="R188" t="str">
        <f t="shared" si="9"/>
        <v>Low</v>
      </c>
      <c r="S188" s="10" t="str">
        <f t="shared" si="10"/>
        <v>Clear</v>
      </c>
      <c r="T188" s="10" t="str">
        <f t="shared" si="11"/>
        <v>Cold</v>
      </c>
    </row>
    <row r="189" spans="1:20" x14ac:dyDescent="0.3">
      <c r="A189">
        <v>188</v>
      </c>
      <c r="B189" t="s">
        <v>24</v>
      </c>
      <c r="C189">
        <v>1</v>
      </c>
      <c r="D189">
        <v>0</v>
      </c>
      <c r="E189">
        <v>1</v>
      </c>
      <c r="F189">
        <v>2</v>
      </c>
      <c r="G189" t="b">
        <v>0</v>
      </c>
      <c r="H189">
        <v>0</v>
      </c>
      <c r="I189">
        <v>1</v>
      </c>
      <c r="J189">
        <v>0.1</v>
      </c>
      <c r="K189">
        <v>6.0600000000000001E-2</v>
      </c>
      <c r="L189">
        <v>0.46</v>
      </c>
      <c r="M189">
        <v>0.4627</v>
      </c>
      <c r="N189">
        <v>0</v>
      </c>
      <c r="O189">
        <v>11</v>
      </c>
      <c r="P189">
        <v>11</v>
      </c>
      <c r="Q189" t="str">
        <f t="shared" si="8"/>
        <v>Weekend</v>
      </c>
      <c r="R189" t="str">
        <f t="shared" si="9"/>
        <v>Low</v>
      </c>
      <c r="S189" s="10" t="str">
        <f t="shared" si="10"/>
        <v>Clear</v>
      </c>
      <c r="T189" s="10" t="str">
        <f t="shared" si="11"/>
        <v>Cold</v>
      </c>
    </row>
    <row r="190" spans="1:20" x14ac:dyDescent="0.3">
      <c r="A190">
        <v>189</v>
      </c>
      <c r="B190" t="s">
        <v>24</v>
      </c>
      <c r="C190">
        <v>1</v>
      </c>
      <c r="D190">
        <v>0</v>
      </c>
      <c r="E190">
        <v>1</v>
      </c>
      <c r="F190">
        <v>3</v>
      </c>
      <c r="G190" t="b">
        <v>0</v>
      </c>
      <c r="H190">
        <v>0</v>
      </c>
      <c r="I190">
        <v>1</v>
      </c>
      <c r="J190">
        <v>0.1</v>
      </c>
      <c r="K190">
        <v>7.5800000000000006E-2</v>
      </c>
      <c r="L190">
        <v>0.46</v>
      </c>
      <c r="M190">
        <v>0.41789999999999999</v>
      </c>
      <c r="N190">
        <v>0</v>
      </c>
      <c r="O190">
        <v>4</v>
      </c>
      <c r="P190">
        <v>4</v>
      </c>
      <c r="Q190" t="str">
        <f t="shared" si="8"/>
        <v>Weekend</v>
      </c>
      <c r="R190" t="str">
        <f t="shared" si="9"/>
        <v>Low</v>
      </c>
      <c r="S190" s="10" t="str">
        <f t="shared" si="10"/>
        <v>Clear</v>
      </c>
      <c r="T190" s="10" t="str">
        <f t="shared" si="11"/>
        <v>Cold</v>
      </c>
    </row>
    <row r="191" spans="1:20" x14ac:dyDescent="0.3">
      <c r="A191">
        <v>190</v>
      </c>
      <c r="B191" t="s">
        <v>24</v>
      </c>
      <c r="C191">
        <v>1</v>
      </c>
      <c r="D191">
        <v>0</v>
      </c>
      <c r="E191">
        <v>1</v>
      </c>
      <c r="F191">
        <v>4</v>
      </c>
      <c r="G191" t="b">
        <v>0</v>
      </c>
      <c r="H191">
        <v>0</v>
      </c>
      <c r="I191">
        <v>1</v>
      </c>
      <c r="J191">
        <v>0.08</v>
      </c>
      <c r="K191">
        <v>9.0899999999999995E-2</v>
      </c>
      <c r="L191">
        <v>0.53</v>
      </c>
      <c r="M191">
        <v>0.19400000000000001</v>
      </c>
      <c r="N191">
        <v>0</v>
      </c>
      <c r="O191">
        <v>1</v>
      </c>
      <c r="P191">
        <v>1</v>
      </c>
      <c r="Q191" t="str">
        <f t="shared" si="8"/>
        <v>Weekend</v>
      </c>
      <c r="R191" t="str">
        <f t="shared" si="9"/>
        <v>Low</v>
      </c>
      <c r="S191" s="10" t="str">
        <f t="shared" si="10"/>
        <v>Clear</v>
      </c>
      <c r="T191" s="10" t="str">
        <f t="shared" si="11"/>
        <v>Cold</v>
      </c>
    </row>
    <row r="192" spans="1:20" x14ac:dyDescent="0.3">
      <c r="A192">
        <v>191</v>
      </c>
      <c r="B192" t="s">
        <v>24</v>
      </c>
      <c r="C192">
        <v>1</v>
      </c>
      <c r="D192">
        <v>0</v>
      </c>
      <c r="E192">
        <v>1</v>
      </c>
      <c r="F192">
        <v>5</v>
      </c>
      <c r="G192" t="b">
        <v>0</v>
      </c>
      <c r="H192">
        <v>0</v>
      </c>
      <c r="I192">
        <v>1</v>
      </c>
      <c r="J192">
        <v>0.08</v>
      </c>
      <c r="K192">
        <v>9.0899999999999995E-2</v>
      </c>
      <c r="L192">
        <v>0.53</v>
      </c>
      <c r="M192">
        <v>0.19400000000000001</v>
      </c>
      <c r="N192">
        <v>0</v>
      </c>
      <c r="O192">
        <v>1</v>
      </c>
      <c r="P192">
        <v>1</v>
      </c>
      <c r="Q192" t="str">
        <f t="shared" si="8"/>
        <v>Weekend</v>
      </c>
      <c r="R192" t="str">
        <f t="shared" si="9"/>
        <v>Low</v>
      </c>
      <c r="S192" s="10" t="str">
        <f t="shared" si="10"/>
        <v>Clear</v>
      </c>
      <c r="T192" s="10" t="str">
        <f t="shared" si="11"/>
        <v>Cold</v>
      </c>
    </row>
    <row r="193" spans="1:20" x14ac:dyDescent="0.3">
      <c r="A193">
        <v>192</v>
      </c>
      <c r="B193" t="s">
        <v>24</v>
      </c>
      <c r="C193">
        <v>1</v>
      </c>
      <c r="D193">
        <v>0</v>
      </c>
      <c r="E193">
        <v>1</v>
      </c>
      <c r="F193">
        <v>6</v>
      </c>
      <c r="G193" t="b">
        <v>0</v>
      </c>
      <c r="H193">
        <v>0</v>
      </c>
      <c r="I193">
        <v>1</v>
      </c>
      <c r="J193">
        <v>0.1</v>
      </c>
      <c r="K193">
        <v>9.0899999999999995E-2</v>
      </c>
      <c r="L193">
        <v>0.49</v>
      </c>
      <c r="M193">
        <v>0.28360000000000002</v>
      </c>
      <c r="N193">
        <v>0</v>
      </c>
      <c r="O193">
        <v>1</v>
      </c>
      <c r="P193">
        <v>1</v>
      </c>
      <c r="Q193" t="str">
        <f t="shared" si="8"/>
        <v>Weekend</v>
      </c>
      <c r="R193" t="str">
        <f t="shared" si="9"/>
        <v>Low</v>
      </c>
      <c r="S193" s="10" t="str">
        <f t="shared" si="10"/>
        <v>Clear</v>
      </c>
      <c r="T193" s="10" t="str">
        <f t="shared" si="11"/>
        <v>Cold</v>
      </c>
    </row>
    <row r="194" spans="1:20" x14ac:dyDescent="0.3">
      <c r="A194">
        <v>193</v>
      </c>
      <c r="B194" t="s">
        <v>24</v>
      </c>
      <c r="C194">
        <v>1</v>
      </c>
      <c r="D194">
        <v>0</v>
      </c>
      <c r="E194">
        <v>1</v>
      </c>
      <c r="F194">
        <v>7</v>
      </c>
      <c r="G194" t="b">
        <v>0</v>
      </c>
      <c r="H194">
        <v>0</v>
      </c>
      <c r="I194">
        <v>1</v>
      </c>
      <c r="J194">
        <v>0.08</v>
      </c>
      <c r="K194">
        <v>9.0899999999999995E-2</v>
      </c>
      <c r="L194">
        <v>0.53</v>
      </c>
      <c r="M194">
        <v>0.19400000000000001</v>
      </c>
      <c r="N194">
        <v>1</v>
      </c>
      <c r="O194">
        <v>5</v>
      </c>
      <c r="P194">
        <v>6</v>
      </c>
      <c r="Q194" t="str">
        <f t="shared" ref="Q194:Q257" si="12">IF(G194=TRUE,"Holiday",IF(H194=0,"Weekend","Weekday"))</f>
        <v>Weekend</v>
      </c>
      <c r="R194" t="str">
        <f t="shared" ref="R194:R257" si="13">IF(P194&lt;50,"Low",IF(P194&lt;150,"Medium","High"))</f>
        <v>Low</v>
      </c>
      <c r="S194" s="10" t="str">
        <f t="shared" si="10"/>
        <v>Clear</v>
      </c>
      <c r="T194" s="10" t="str">
        <f t="shared" si="11"/>
        <v>Cold</v>
      </c>
    </row>
    <row r="195" spans="1:20" x14ac:dyDescent="0.3">
      <c r="A195">
        <v>194</v>
      </c>
      <c r="B195" t="s">
        <v>24</v>
      </c>
      <c r="C195">
        <v>1</v>
      </c>
      <c r="D195">
        <v>0</v>
      </c>
      <c r="E195">
        <v>1</v>
      </c>
      <c r="F195">
        <v>8</v>
      </c>
      <c r="G195" t="b">
        <v>0</v>
      </c>
      <c r="H195">
        <v>0</v>
      </c>
      <c r="I195">
        <v>1</v>
      </c>
      <c r="J195">
        <v>0.1</v>
      </c>
      <c r="K195">
        <v>9.0899999999999995E-2</v>
      </c>
      <c r="L195">
        <v>0.49</v>
      </c>
      <c r="M195">
        <v>0.28360000000000002</v>
      </c>
      <c r="N195">
        <v>0</v>
      </c>
      <c r="O195">
        <v>10</v>
      </c>
      <c r="P195">
        <v>10</v>
      </c>
      <c r="Q195" t="str">
        <f t="shared" si="12"/>
        <v>Weekend</v>
      </c>
      <c r="R195" t="str">
        <f t="shared" si="13"/>
        <v>Low</v>
      </c>
      <c r="S195" s="10" t="str">
        <f t="shared" ref="S195:S258" si="14">IF(I195=1,"Clear",IF(I195=2,"Mist/Cloudy",IF(I195=3,"Light Rain/Snow","Heavy Rain/Ice")))</f>
        <v>Clear</v>
      </c>
      <c r="T195" s="10" t="str">
        <f t="shared" ref="T195:T258" si="15">IF(J195&lt;0.3,"Cold","Warm")</f>
        <v>Cold</v>
      </c>
    </row>
    <row r="196" spans="1:20" x14ac:dyDescent="0.3">
      <c r="A196">
        <v>195</v>
      </c>
      <c r="B196" t="s">
        <v>24</v>
      </c>
      <c r="C196">
        <v>1</v>
      </c>
      <c r="D196">
        <v>0</v>
      </c>
      <c r="E196">
        <v>1</v>
      </c>
      <c r="F196">
        <v>9</v>
      </c>
      <c r="G196" t="b">
        <v>0</v>
      </c>
      <c r="H196">
        <v>0</v>
      </c>
      <c r="I196">
        <v>1</v>
      </c>
      <c r="J196">
        <v>0.12</v>
      </c>
      <c r="K196">
        <v>7.5800000000000006E-2</v>
      </c>
      <c r="L196">
        <v>0.46</v>
      </c>
      <c r="M196">
        <v>0.52239999999999998</v>
      </c>
      <c r="N196">
        <v>0</v>
      </c>
      <c r="O196">
        <v>19</v>
      </c>
      <c r="P196">
        <v>19</v>
      </c>
      <c r="Q196" t="str">
        <f t="shared" si="12"/>
        <v>Weekend</v>
      </c>
      <c r="R196" t="str">
        <f t="shared" si="13"/>
        <v>Low</v>
      </c>
      <c r="S196" s="10" t="str">
        <f t="shared" si="14"/>
        <v>Clear</v>
      </c>
      <c r="T196" s="10" t="str">
        <f t="shared" si="15"/>
        <v>Cold</v>
      </c>
    </row>
    <row r="197" spans="1:20" x14ac:dyDescent="0.3">
      <c r="A197">
        <v>196</v>
      </c>
      <c r="B197" t="s">
        <v>24</v>
      </c>
      <c r="C197">
        <v>1</v>
      </c>
      <c r="D197">
        <v>0</v>
      </c>
      <c r="E197">
        <v>1</v>
      </c>
      <c r="F197">
        <v>10</v>
      </c>
      <c r="G197" t="b">
        <v>0</v>
      </c>
      <c r="H197">
        <v>0</v>
      </c>
      <c r="I197">
        <v>1</v>
      </c>
      <c r="J197">
        <v>0.14000000000000001</v>
      </c>
      <c r="K197">
        <v>0.1061</v>
      </c>
      <c r="L197">
        <v>0.43</v>
      </c>
      <c r="M197">
        <v>0.3881</v>
      </c>
      <c r="N197">
        <v>0</v>
      </c>
      <c r="O197">
        <v>49</v>
      </c>
      <c r="P197">
        <v>49</v>
      </c>
      <c r="Q197" t="str">
        <f t="shared" si="12"/>
        <v>Weekend</v>
      </c>
      <c r="R197" t="str">
        <f t="shared" si="13"/>
        <v>Low</v>
      </c>
      <c r="S197" s="10" t="str">
        <f t="shared" si="14"/>
        <v>Clear</v>
      </c>
      <c r="T197" s="10" t="str">
        <f t="shared" si="15"/>
        <v>Cold</v>
      </c>
    </row>
    <row r="198" spans="1:20" x14ac:dyDescent="0.3">
      <c r="A198">
        <v>197</v>
      </c>
      <c r="B198" t="s">
        <v>24</v>
      </c>
      <c r="C198">
        <v>1</v>
      </c>
      <c r="D198">
        <v>0</v>
      </c>
      <c r="E198">
        <v>1</v>
      </c>
      <c r="F198">
        <v>11</v>
      </c>
      <c r="G198" t="b">
        <v>0</v>
      </c>
      <c r="H198">
        <v>0</v>
      </c>
      <c r="I198">
        <v>1</v>
      </c>
      <c r="J198">
        <v>0.16</v>
      </c>
      <c r="K198">
        <v>0.1212</v>
      </c>
      <c r="L198">
        <v>0.4</v>
      </c>
      <c r="M198">
        <v>0.52239999999999998</v>
      </c>
      <c r="N198">
        <v>2</v>
      </c>
      <c r="O198">
        <v>47</v>
      </c>
      <c r="P198">
        <v>49</v>
      </c>
      <c r="Q198" t="str">
        <f t="shared" si="12"/>
        <v>Weekend</v>
      </c>
      <c r="R198" t="str">
        <f t="shared" si="13"/>
        <v>Low</v>
      </c>
      <c r="S198" s="10" t="str">
        <f t="shared" si="14"/>
        <v>Clear</v>
      </c>
      <c r="T198" s="10" t="str">
        <f t="shared" si="15"/>
        <v>Cold</v>
      </c>
    </row>
    <row r="199" spans="1:20" x14ac:dyDescent="0.3">
      <c r="A199">
        <v>198</v>
      </c>
      <c r="B199" t="s">
        <v>24</v>
      </c>
      <c r="C199">
        <v>1</v>
      </c>
      <c r="D199">
        <v>0</v>
      </c>
      <c r="E199">
        <v>1</v>
      </c>
      <c r="F199">
        <v>12</v>
      </c>
      <c r="G199" t="b">
        <v>0</v>
      </c>
      <c r="H199">
        <v>0</v>
      </c>
      <c r="I199">
        <v>1</v>
      </c>
      <c r="J199">
        <v>0.18</v>
      </c>
      <c r="K199">
        <v>0.13639999999999999</v>
      </c>
      <c r="L199">
        <v>0.37</v>
      </c>
      <c r="M199">
        <v>0.44779999999999998</v>
      </c>
      <c r="N199">
        <v>4</v>
      </c>
      <c r="O199">
        <v>79</v>
      </c>
      <c r="P199">
        <v>83</v>
      </c>
      <c r="Q199" t="str">
        <f t="shared" si="12"/>
        <v>Weekend</v>
      </c>
      <c r="R199" t="str">
        <f t="shared" si="13"/>
        <v>Medium</v>
      </c>
      <c r="S199" s="10" t="str">
        <f t="shared" si="14"/>
        <v>Clear</v>
      </c>
      <c r="T199" s="10" t="str">
        <f t="shared" si="15"/>
        <v>Cold</v>
      </c>
    </row>
    <row r="200" spans="1:20" x14ac:dyDescent="0.3">
      <c r="A200">
        <v>199</v>
      </c>
      <c r="B200" t="s">
        <v>24</v>
      </c>
      <c r="C200">
        <v>1</v>
      </c>
      <c r="D200">
        <v>0</v>
      </c>
      <c r="E200">
        <v>1</v>
      </c>
      <c r="F200">
        <v>13</v>
      </c>
      <c r="G200" t="b">
        <v>0</v>
      </c>
      <c r="H200">
        <v>0</v>
      </c>
      <c r="I200">
        <v>1</v>
      </c>
      <c r="J200">
        <v>0.2</v>
      </c>
      <c r="K200">
        <v>0.16669999999999999</v>
      </c>
      <c r="L200">
        <v>0.34</v>
      </c>
      <c r="M200">
        <v>0.44779999999999998</v>
      </c>
      <c r="N200">
        <v>6</v>
      </c>
      <c r="O200">
        <v>69</v>
      </c>
      <c r="P200">
        <v>75</v>
      </c>
      <c r="Q200" t="str">
        <f t="shared" si="12"/>
        <v>Weekend</v>
      </c>
      <c r="R200" t="str">
        <f t="shared" si="13"/>
        <v>Medium</v>
      </c>
      <c r="S200" s="10" t="str">
        <f t="shared" si="14"/>
        <v>Clear</v>
      </c>
      <c r="T200" s="10" t="str">
        <f t="shared" si="15"/>
        <v>Cold</v>
      </c>
    </row>
    <row r="201" spans="1:20" x14ac:dyDescent="0.3">
      <c r="A201">
        <v>200</v>
      </c>
      <c r="B201" t="s">
        <v>24</v>
      </c>
      <c r="C201">
        <v>1</v>
      </c>
      <c r="D201">
        <v>0</v>
      </c>
      <c r="E201">
        <v>1</v>
      </c>
      <c r="F201">
        <v>14</v>
      </c>
      <c r="G201" t="b">
        <v>0</v>
      </c>
      <c r="H201">
        <v>0</v>
      </c>
      <c r="I201">
        <v>1</v>
      </c>
      <c r="J201">
        <v>0.22</v>
      </c>
      <c r="K201">
        <v>0.18179999999999999</v>
      </c>
      <c r="L201">
        <v>0.32</v>
      </c>
      <c r="M201">
        <v>0.4627</v>
      </c>
      <c r="N201">
        <v>8</v>
      </c>
      <c r="O201">
        <v>64</v>
      </c>
      <c r="P201">
        <v>72</v>
      </c>
      <c r="Q201" t="str">
        <f t="shared" si="12"/>
        <v>Weekend</v>
      </c>
      <c r="R201" t="str">
        <f t="shared" si="13"/>
        <v>Medium</v>
      </c>
      <c r="S201" s="10" t="str">
        <f t="shared" si="14"/>
        <v>Clear</v>
      </c>
      <c r="T201" s="10" t="str">
        <f t="shared" si="15"/>
        <v>Cold</v>
      </c>
    </row>
    <row r="202" spans="1:20" x14ac:dyDescent="0.3">
      <c r="A202">
        <v>201</v>
      </c>
      <c r="B202" t="s">
        <v>24</v>
      </c>
      <c r="C202">
        <v>1</v>
      </c>
      <c r="D202">
        <v>0</v>
      </c>
      <c r="E202">
        <v>1</v>
      </c>
      <c r="F202">
        <v>15</v>
      </c>
      <c r="G202" t="b">
        <v>0</v>
      </c>
      <c r="H202">
        <v>0</v>
      </c>
      <c r="I202">
        <v>1</v>
      </c>
      <c r="J202">
        <v>0.22</v>
      </c>
      <c r="K202">
        <v>0.19700000000000001</v>
      </c>
      <c r="L202">
        <v>0.35</v>
      </c>
      <c r="M202">
        <v>0.35820000000000002</v>
      </c>
      <c r="N202">
        <v>5</v>
      </c>
      <c r="O202">
        <v>77</v>
      </c>
      <c r="P202">
        <v>82</v>
      </c>
      <c r="Q202" t="str">
        <f t="shared" si="12"/>
        <v>Weekend</v>
      </c>
      <c r="R202" t="str">
        <f t="shared" si="13"/>
        <v>Medium</v>
      </c>
      <c r="S202" s="10" t="str">
        <f t="shared" si="14"/>
        <v>Clear</v>
      </c>
      <c r="T202" s="10" t="str">
        <f t="shared" si="15"/>
        <v>Cold</v>
      </c>
    </row>
    <row r="203" spans="1:20" x14ac:dyDescent="0.3">
      <c r="A203">
        <v>202</v>
      </c>
      <c r="B203" t="s">
        <v>24</v>
      </c>
      <c r="C203">
        <v>1</v>
      </c>
      <c r="D203">
        <v>0</v>
      </c>
      <c r="E203">
        <v>1</v>
      </c>
      <c r="F203">
        <v>16</v>
      </c>
      <c r="G203" t="b">
        <v>0</v>
      </c>
      <c r="H203">
        <v>0</v>
      </c>
      <c r="I203">
        <v>1</v>
      </c>
      <c r="J203">
        <v>0.2</v>
      </c>
      <c r="K203">
        <v>0.16669999999999999</v>
      </c>
      <c r="L203">
        <v>0.34</v>
      </c>
      <c r="M203">
        <v>0.44779999999999998</v>
      </c>
      <c r="N203">
        <v>13</v>
      </c>
      <c r="O203">
        <v>79</v>
      </c>
      <c r="P203">
        <v>92</v>
      </c>
      <c r="Q203" t="str">
        <f t="shared" si="12"/>
        <v>Weekend</v>
      </c>
      <c r="R203" t="str">
        <f t="shared" si="13"/>
        <v>Medium</v>
      </c>
      <c r="S203" s="10" t="str">
        <f t="shared" si="14"/>
        <v>Clear</v>
      </c>
      <c r="T203" s="10" t="str">
        <f t="shared" si="15"/>
        <v>Cold</v>
      </c>
    </row>
    <row r="204" spans="1:20" x14ac:dyDescent="0.3">
      <c r="A204">
        <v>203</v>
      </c>
      <c r="B204" t="s">
        <v>24</v>
      </c>
      <c r="C204">
        <v>1</v>
      </c>
      <c r="D204">
        <v>0</v>
      </c>
      <c r="E204">
        <v>1</v>
      </c>
      <c r="F204">
        <v>17</v>
      </c>
      <c r="G204" t="b">
        <v>0</v>
      </c>
      <c r="H204">
        <v>0</v>
      </c>
      <c r="I204">
        <v>1</v>
      </c>
      <c r="J204">
        <v>0.18</v>
      </c>
      <c r="K204">
        <v>0.1515</v>
      </c>
      <c r="L204">
        <v>0.37</v>
      </c>
      <c r="M204">
        <v>0.3881</v>
      </c>
      <c r="N204">
        <v>3</v>
      </c>
      <c r="O204">
        <v>59</v>
      </c>
      <c r="P204">
        <v>62</v>
      </c>
      <c r="Q204" t="str">
        <f t="shared" si="12"/>
        <v>Weekend</v>
      </c>
      <c r="R204" t="str">
        <f t="shared" si="13"/>
        <v>Medium</v>
      </c>
      <c r="S204" s="10" t="str">
        <f t="shared" si="14"/>
        <v>Clear</v>
      </c>
      <c r="T204" s="10" t="str">
        <f t="shared" si="15"/>
        <v>Cold</v>
      </c>
    </row>
    <row r="205" spans="1:20" x14ac:dyDescent="0.3">
      <c r="A205">
        <v>204</v>
      </c>
      <c r="B205" t="s">
        <v>24</v>
      </c>
      <c r="C205">
        <v>1</v>
      </c>
      <c r="D205">
        <v>0</v>
      </c>
      <c r="E205">
        <v>1</v>
      </c>
      <c r="F205">
        <v>18</v>
      </c>
      <c r="G205" t="b">
        <v>0</v>
      </c>
      <c r="H205">
        <v>0</v>
      </c>
      <c r="I205">
        <v>1</v>
      </c>
      <c r="J205">
        <v>0.16</v>
      </c>
      <c r="K205">
        <v>0.13639999999999999</v>
      </c>
      <c r="L205">
        <v>0.4</v>
      </c>
      <c r="M205">
        <v>0.32840000000000003</v>
      </c>
      <c r="N205">
        <v>4</v>
      </c>
      <c r="O205">
        <v>44</v>
      </c>
      <c r="P205">
        <v>48</v>
      </c>
      <c r="Q205" t="str">
        <f t="shared" si="12"/>
        <v>Weekend</v>
      </c>
      <c r="R205" t="str">
        <f t="shared" si="13"/>
        <v>Low</v>
      </c>
      <c r="S205" s="10" t="str">
        <f t="shared" si="14"/>
        <v>Clear</v>
      </c>
      <c r="T205" s="10" t="str">
        <f t="shared" si="15"/>
        <v>Cold</v>
      </c>
    </row>
    <row r="206" spans="1:20" x14ac:dyDescent="0.3">
      <c r="A206">
        <v>205</v>
      </c>
      <c r="B206" t="s">
        <v>24</v>
      </c>
      <c r="C206">
        <v>1</v>
      </c>
      <c r="D206">
        <v>0</v>
      </c>
      <c r="E206">
        <v>1</v>
      </c>
      <c r="F206">
        <v>19</v>
      </c>
      <c r="G206" t="b">
        <v>0</v>
      </c>
      <c r="H206">
        <v>0</v>
      </c>
      <c r="I206">
        <v>1</v>
      </c>
      <c r="J206">
        <v>0.16</v>
      </c>
      <c r="K206">
        <v>0.13639999999999999</v>
      </c>
      <c r="L206">
        <v>0.43</v>
      </c>
      <c r="M206">
        <v>0.32840000000000003</v>
      </c>
      <c r="N206">
        <v>1</v>
      </c>
      <c r="O206">
        <v>40</v>
      </c>
      <c r="P206">
        <v>41</v>
      </c>
      <c r="Q206" t="str">
        <f t="shared" si="12"/>
        <v>Weekend</v>
      </c>
      <c r="R206" t="str">
        <f t="shared" si="13"/>
        <v>Low</v>
      </c>
      <c r="S206" s="10" t="str">
        <f t="shared" si="14"/>
        <v>Clear</v>
      </c>
      <c r="T206" s="10" t="str">
        <f t="shared" si="15"/>
        <v>Cold</v>
      </c>
    </row>
    <row r="207" spans="1:20" x14ac:dyDescent="0.3">
      <c r="A207">
        <v>206</v>
      </c>
      <c r="B207" t="s">
        <v>24</v>
      </c>
      <c r="C207">
        <v>1</v>
      </c>
      <c r="D207">
        <v>0</v>
      </c>
      <c r="E207">
        <v>1</v>
      </c>
      <c r="F207">
        <v>20</v>
      </c>
      <c r="G207" t="b">
        <v>0</v>
      </c>
      <c r="H207">
        <v>0</v>
      </c>
      <c r="I207">
        <v>1</v>
      </c>
      <c r="J207">
        <v>0.14000000000000001</v>
      </c>
      <c r="K207">
        <v>0.1212</v>
      </c>
      <c r="L207">
        <v>0.46</v>
      </c>
      <c r="M207">
        <v>0.25369999999999998</v>
      </c>
      <c r="N207">
        <v>0</v>
      </c>
      <c r="O207">
        <v>38</v>
      </c>
      <c r="P207">
        <v>38</v>
      </c>
      <c r="Q207" t="str">
        <f t="shared" si="12"/>
        <v>Weekend</v>
      </c>
      <c r="R207" t="str">
        <f t="shared" si="13"/>
        <v>Low</v>
      </c>
      <c r="S207" s="10" t="str">
        <f t="shared" si="14"/>
        <v>Clear</v>
      </c>
      <c r="T207" s="10" t="str">
        <f t="shared" si="15"/>
        <v>Cold</v>
      </c>
    </row>
    <row r="208" spans="1:20" x14ac:dyDescent="0.3">
      <c r="A208">
        <v>207</v>
      </c>
      <c r="B208" t="s">
        <v>24</v>
      </c>
      <c r="C208">
        <v>1</v>
      </c>
      <c r="D208">
        <v>0</v>
      </c>
      <c r="E208">
        <v>1</v>
      </c>
      <c r="F208">
        <v>21</v>
      </c>
      <c r="G208" t="b">
        <v>0</v>
      </c>
      <c r="H208">
        <v>0</v>
      </c>
      <c r="I208">
        <v>1</v>
      </c>
      <c r="J208">
        <v>0.14000000000000001</v>
      </c>
      <c r="K208">
        <v>0.1061</v>
      </c>
      <c r="L208">
        <v>0.46</v>
      </c>
      <c r="M208">
        <v>0.41789999999999999</v>
      </c>
      <c r="N208">
        <v>1</v>
      </c>
      <c r="O208">
        <v>19</v>
      </c>
      <c r="P208">
        <v>20</v>
      </c>
      <c r="Q208" t="str">
        <f t="shared" si="12"/>
        <v>Weekend</v>
      </c>
      <c r="R208" t="str">
        <f t="shared" si="13"/>
        <v>Low</v>
      </c>
      <c r="S208" s="10" t="str">
        <f t="shared" si="14"/>
        <v>Clear</v>
      </c>
      <c r="T208" s="10" t="str">
        <f t="shared" si="15"/>
        <v>Cold</v>
      </c>
    </row>
    <row r="209" spans="1:20" x14ac:dyDescent="0.3">
      <c r="A209">
        <v>208</v>
      </c>
      <c r="B209" t="s">
        <v>24</v>
      </c>
      <c r="C209">
        <v>1</v>
      </c>
      <c r="D209">
        <v>0</v>
      </c>
      <c r="E209">
        <v>1</v>
      </c>
      <c r="F209">
        <v>22</v>
      </c>
      <c r="G209" t="b">
        <v>0</v>
      </c>
      <c r="H209">
        <v>0</v>
      </c>
      <c r="I209">
        <v>1</v>
      </c>
      <c r="J209">
        <v>0.14000000000000001</v>
      </c>
      <c r="K209">
        <v>0.1212</v>
      </c>
      <c r="L209">
        <v>0.46</v>
      </c>
      <c r="M209">
        <v>0.29849999999999999</v>
      </c>
      <c r="N209">
        <v>5</v>
      </c>
      <c r="O209">
        <v>10</v>
      </c>
      <c r="P209">
        <v>15</v>
      </c>
      <c r="Q209" t="str">
        <f t="shared" si="12"/>
        <v>Weekend</v>
      </c>
      <c r="R209" t="str">
        <f t="shared" si="13"/>
        <v>Low</v>
      </c>
      <c r="S209" s="10" t="str">
        <f t="shared" si="14"/>
        <v>Clear</v>
      </c>
      <c r="T209" s="10" t="str">
        <f t="shared" si="15"/>
        <v>Cold</v>
      </c>
    </row>
    <row r="210" spans="1:20" x14ac:dyDescent="0.3">
      <c r="A210">
        <v>209</v>
      </c>
      <c r="B210" t="s">
        <v>24</v>
      </c>
      <c r="C210">
        <v>1</v>
      </c>
      <c r="D210">
        <v>0</v>
      </c>
      <c r="E210">
        <v>1</v>
      </c>
      <c r="F210">
        <v>23</v>
      </c>
      <c r="G210" t="b">
        <v>0</v>
      </c>
      <c r="H210">
        <v>0</v>
      </c>
      <c r="I210">
        <v>1</v>
      </c>
      <c r="J210">
        <v>0.12</v>
      </c>
      <c r="K210">
        <v>0.13639999999999999</v>
      </c>
      <c r="L210">
        <v>0.5</v>
      </c>
      <c r="M210">
        <v>0.19400000000000001</v>
      </c>
      <c r="N210">
        <v>0</v>
      </c>
      <c r="O210">
        <v>6</v>
      </c>
      <c r="P210">
        <v>6</v>
      </c>
      <c r="Q210" t="str">
        <f t="shared" si="12"/>
        <v>Weekend</v>
      </c>
      <c r="R210" t="str">
        <f t="shared" si="13"/>
        <v>Low</v>
      </c>
      <c r="S210" s="10" t="str">
        <f t="shared" si="14"/>
        <v>Clear</v>
      </c>
      <c r="T210" s="10" t="str">
        <f t="shared" si="15"/>
        <v>Cold</v>
      </c>
    </row>
    <row r="211" spans="1:20" x14ac:dyDescent="0.3">
      <c r="A211">
        <v>210</v>
      </c>
      <c r="B211" t="s">
        <v>25</v>
      </c>
      <c r="C211">
        <v>1</v>
      </c>
      <c r="D211">
        <v>0</v>
      </c>
      <c r="E211">
        <v>1</v>
      </c>
      <c r="F211">
        <v>0</v>
      </c>
      <c r="G211" t="b">
        <v>0</v>
      </c>
      <c r="H211">
        <v>1</v>
      </c>
      <c r="I211">
        <v>1</v>
      </c>
      <c r="J211">
        <v>0.12</v>
      </c>
      <c r="K211">
        <v>0.1212</v>
      </c>
      <c r="L211">
        <v>0.5</v>
      </c>
      <c r="M211">
        <v>0.28360000000000002</v>
      </c>
      <c r="N211">
        <v>2</v>
      </c>
      <c r="O211">
        <v>3</v>
      </c>
      <c r="P211">
        <v>5</v>
      </c>
      <c r="Q211" t="str">
        <f t="shared" si="12"/>
        <v>Weekday</v>
      </c>
      <c r="R211" t="str">
        <f t="shared" si="13"/>
        <v>Low</v>
      </c>
      <c r="S211" s="10" t="str">
        <f t="shared" si="14"/>
        <v>Clear</v>
      </c>
      <c r="T211" s="10" t="str">
        <f t="shared" si="15"/>
        <v>Cold</v>
      </c>
    </row>
    <row r="212" spans="1:20" x14ac:dyDescent="0.3">
      <c r="A212">
        <v>211</v>
      </c>
      <c r="B212" t="s">
        <v>25</v>
      </c>
      <c r="C212">
        <v>1</v>
      </c>
      <c r="D212">
        <v>0</v>
      </c>
      <c r="E212">
        <v>1</v>
      </c>
      <c r="F212">
        <v>1</v>
      </c>
      <c r="G212" t="b">
        <v>0</v>
      </c>
      <c r="H212">
        <v>1</v>
      </c>
      <c r="I212">
        <v>1</v>
      </c>
      <c r="J212">
        <v>0.12</v>
      </c>
      <c r="K212">
        <v>0.1212</v>
      </c>
      <c r="L212">
        <v>0.5</v>
      </c>
      <c r="M212">
        <v>0.28360000000000002</v>
      </c>
      <c r="N212">
        <v>1</v>
      </c>
      <c r="O212">
        <v>0</v>
      </c>
      <c r="P212">
        <v>1</v>
      </c>
      <c r="Q212" t="str">
        <f t="shared" si="12"/>
        <v>Weekday</v>
      </c>
      <c r="R212" t="str">
        <f t="shared" si="13"/>
        <v>Low</v>
      </c>
      <c r="S212" s="10" t="str">
        <f t="shared" si="14"/>
        <v>Clear</v>
      </c>
      <c r="T212" s="10" t="str">
        <f t="shared" si="15"/>
        <v>Cold</v>
      </c>
    </row>
    <row r="213" spans="1:20" x14ac:dyDescent="0.3">
      <c r="A213">
        <v>212</v>
      </c>
      <c r="B213" t="s">
        <v>25</v>
      </c>
      <c r="C213">
        <v>1</v>
      </c>
      <c r="D213">
        <v>0</v>
      </c>
      <c r="E213">
        <v>1</v>
      </c>
      <c r="F213">
        <v>2</v>
      </c>
      <c r="G213" t="b">
        <v>0</v>
      </c>
      <c r="H213">
        <v>1</v>
      </c>
      <c r="I213">
        <v>1</v>
      </c>
      <c r="J213">
        <v>0.12</v>
      </c>
      <c r="K213">
        <v>0.1212</v>
      </c>
      <c r="L213">
        <v>0.5</v>
      </c>
      <c r="M213">
        <v>0.22389999999999999</v>
      </c>
      <c r="N213">
        <v>0</v>
      </c>
      <c r="O213">
        <v>3</v>
      </c>
      <c r="P213">
        <v>3</v>
      </c>
      <c r="Q213" t="str">
        <f t="shared" si="12"/>
        <v>Weekday</v>
      </c>
      <c r="R213" t="str">
        <f t="shared" si="13"/>
        <v>Low</v>
      </c>
      <c r="S213" s="10" t="str">
        <f t="shared" si="14"/>
        <v>Clear</v>
      </c>
      <c r="T213" s="10" t="str">
        <f t="shared" si="15"/>
        <v>Cold</v>
      </c>
    </row>
    <row r="214" spans="1:20" x14ac:dyDescent="0.3">
      <c r="A214">
        <v>213</v>
      </c>
      <c r="B214" t="s">
        <v>25</v>
      </c>
      <c r="C214">
        <v>1</v>
      </c>
      <c r="D214">
        <v>0</v>
      </c>
      <c r="E214">
        <v>1</v>
      </c>
      <c r="F214">
        <v>3</v>
      </c>
      <c r="G214" t="b">
        <v>0</v>
      </c>
      <c r="H214">
        <v>1</v>
      </c>
      <c r="I214">
        <v>1</v>
      </c>
      <c r="J214">
        <v>0.12</v>
      </c>
      <c r="K214">
        <v>0.1212</v>
      </c>
      <c r="L214">
        <v>0.5</v>
      </c>
      <c r="M214">
        <v>0.22389999999999999</v>
      </c>
      <c r="N214">
        <v>0</v>
      </c>
      <c r="O214">
        <v>1</v>
      </c>
      <c r="P214">
        <v>1</v>
      </c>
      <c r="Q214" t="str">
        <f t="shared" si="12"/>
        <v>Weekday</v>
      </c>
      <c r="R214" t="str">
        <f t="shared" si="13"/>
        <v>Low</v>
      </c>
      <c r="S214" s="10" t="str">
        <f t="shared" si="14"/>
        <v>Clear</v>
      </c>
      <c r="T214" s="10" t="str">
        <f t="shared" si="15"/>
        <v>Cold</v>
      </c>
    </row>
    <row r="215" spans="1:20" x14ac:dyDescent="0.3">
      <c r="A215">
        <v>214</v>
      </c>
      <c r="B215" t="s">
        <v>25</v>
      </c>
      <c r="C215">
        <v>1</v>
      </c>
      <c r="D215">
        <v>0</v>
      </c>
      <c r="E215">
        <v>1</v>
      </c>
      <c r="F215">
        <v>4</v>
      </c>
      <c r="G215" t="b">
        <v>0</v>
      </c>
      <c r="H215">
        <v>1</v>
      </c>
      <c r="I215">
        <v>1</v>
      </c>
      <c r="J215">
        <v>0.1</v>
      </c>
      <c r="K215">
        <v>0.1212</v>
      </c>
      <c r="L215">
        <v>0.54</v>
      </c>
      <c r="M215">
        <v>0.1343</v>
      </c>
      <c r="N215">
        <v>1</v>
      </c>
      <c r="O215">
        <v>2</v>
      </c>
      <c r="P215">
        <v>3</v>
      </c>
      <c r="Q215" t="str">
        <f t="shared" si="12"/>
        <v>Weekday</v>
      </c>
      <c r="R215" t="str">
        <f t="shared" si="13"/>
        <v>Low</v>
      </c>
      <c r="S215" s="10" t="str">
        <f t="shared" si="14"/>
        <v>Clear</v>
      </c>
      <c r="T215" s="10" t="str">
        <f t="shared" si="15"/>
        <v>Cold</v>
      </c>
    </row>
    <row r="216" spans="1:20" x14ac:dyDescent="0.3">
      <c r="A216">
        <v>215</v>
      </c>
      <c r="B216" t="s">
        <v>25</v>
      </c>
      <c r="C216">
        <v>1</v>
      </c>
      <c r="D216">
        <v>0</v>
      </c>
      <c r="E216">
        <v>1</v>
      </c>
      <c r="F216">
        <v>5</v>
      </c>
      <c r="G216" t="b">
        <v>0</v>
      </c>
      <c r="H216">
        <v>1</v>
      </c>
      <c r="I216">
        <v>1</v>
      </c>
      <c r="J216">
        <v>0.1</v>
      </c>
      <c r="K216">
        <v>0.1061</v>
      </c>
      <c r="L216">
        <v>0.54</v>
      </c>
      <c r="M216">
        <v>0.25369999999999998</v>
      </c>
      <c r="N216">
        <v>0</v>
      </c>
      <c r="O216">
        <v>3</v>
      </c>
      <c r="P216">
        <v>3</v>
      </c>
      <c r="Q216" t="str">
        <f t="shared" si="12"/>
        <v>Weekday</v>
      </c>
      <c r="R216" t="str">
        <f t="shared" si="13"/>
        <v>Low</v>
      </c>
      <c r="S216" s="10" t="str">
        <f t="shared" si="14"/>
        <v>Clear</v>
      </c>
      <c r="T216" s="10" t="str">
        <f t="shared" si="15"/>
        <v>Cold</v>
      </c>
    </row>
    <row r="217" spans="1:20" x14ac:dyDescent="0.3">
      <c r="A217">
        <v>216</v>
      </c>
      <c r="B217" t="s">
        <v>25</v>
      </c>
      <c r="C217">
        <v>1</v>
      </c>
      <c r="D217">
        <v>0</v>
      </c>
      <c r="E217">
        <v>1</v>
      </c>
      <c r="F217">
        <v>6</v>
      </c>
      <c r="G217" t="b">
        <v>0</v>
      </c>
      <c r="H217">
        <v>1</v>
      </c>
      <c r="I217">
        <v>1</v>
      </c>
      <c r="J217">
        <v>0.12</v>
      </c>
      <c r="K217">
        <v>0.1212</v>
      </c>
      <c r="L217">
        <v>0.5</v>
      </c>
      <c r="M217">
        <v>0.28360000000000002</v>
      </c>
      <c r="N217">
        <v>0</v>
      </c>
      <c r="O217">
        <v>31</v>
      </c>
      <c r="P217">
        <v>31</v>
      </c>
      <c r="Q217" t="str">
        <f t="shared" si="12"/>
        <v>Weekday</v>
      </c>
      <c r="R217" t="str">
        <f t="shared" si="13"/>
        <v>Low</v>
      </c>
      <c r="S217" s="10" t="str">
        <f t="shared" si="14"/>
        <v>Clear</v>
      </c>
      <c r="T217" s="10" t="str">
        <f t="shared" si="15"/>
        <v>Cold</v>
      </c>
    </row>
    <row r="218" spans="1:20" x14ac:dyDescent="0.3">
      <c r="A218">
        <v>217</v>
      </c>
      <c r="B218" t="s">
        <v>25</v>
      </c>
      <c r="C218">
        <v>1</v>
      </c>
      <c r="D218">
        <v>0</v>
      </c>
      <c r="E218">
        <v>1</v>
      </c>
      <c r="F218">
        <v>7</v>
      </c>
      <c r="G218" t="b">
        <v>0</v>
      </c>
      <c r="H218">
        <v>1</v>
      </c>
      <c r="I218">
        <v>1</v>
      </c>
      <c r="J218">
        <v>0.12</v>
      </c>
      <c r="K218">
        <v>0.1212</v>
      </c>
      <c r="L218">
        <v>0.5</v>
      </c>
      <c r="M218">
        <v>0.22389999999999999</v>
      </c>
      <c r="N218">
        <v>2</v>
      </c>
      <c r="O218">
        <v>75</v>
      </c>
      <c r="P218">
        <v>77</v>
      </c>
      <c r="Q218" t="str">
        <f t="shared" si="12"/>
        <v>Weekday</v>
      </c>
      <c r="R218" t="str">
        <f t="shared" si="13"/>
        <v>Medium</v>
      </c>
      <c r="S218" s="10" t="str">
        <f t="shared" si="14"/>
        <v>Clear</v>
      </c>
      <c r="T218" s="10" t="str">
        <f t="shared" si="15"/>
        <v>Cold</v>
      </c>
    </row>
    <row r="219" spans="1:20" x14ac:dyDescent="0.3">
      <c r="A219">
        <v>218</v>
      </c>
      <c r="B219" t="s">
        <v>25</v>
      </c>
      <c r="C219">
        <v>1</v>
      </c>
      <c r="D219">
        <v>0</v>
      </c>
      <c r="E219">
        <v>1</v>
      </c>
      <c r="F219">
        <v>8</v>
      </c>
      <c r="G219" t="b">
        <v>0</v>
      </c>
      <c r="H219">
        <v>1</v>
      </c>
      <c r="I219">
        <v>2</v>
      </c>
      <c r="J219">
        <v>0.12</v>
      </c>
      <c r="K219">
        <v>0.1212</v>
      </c>
      <c r="L219">
        <v>0.5</v>
      </c>
      <c r="M219">
        <v>0.28360000000000002</v>
      </c>
      <c r="N219">
        <v>4</v>
      </c>
      <c r="O219">
        <v>184</v>
      </c>
      <c r="P219">
        <v>188</v>
      </c>
      <c r="Q219" t="str">
        <f t="shared" si="12"/>
        <v>Weekday</v>
      </c>
      <c r="R219" t="str">
        <f t="shared" si="13"/>
        <v>High</v>
      </c>
      <c r="S219" s="10" t="str">
        <f t="shared" si="14"/>
        <v>Mist/Cloudy</v>
      </c>
      <c r="T219" s="10" t="str">
        <f t="shared" si="15"/>
        <v>Cold</v>
      </c>
    </row>
    <row r="220" spans="1:20" x14ac:dyDescent="0.3">
      <c r="A220">
        <v>219</v>
      </c>
      <c r="B220" t="s">
        <v>25</v>
      </c>
      <c r="C220">
        <v>1</v>
      </c>
      <c r="D220">
        <v>0</v>
      </c>
      <c r="E220">
        <v>1</v>
      </c>
      <c r="F220">
        <v>9</v>
      </c>
      <c r="G220" t="b">
        <v>0</v>
      </c>
      <c r="H220">
        <v>1</v>
      </c>
      <c r="I220">
        <v>2</v>
      </c>
      <c r="J220">
        <v>0.14000000000000001</v>
      </c>
      <c r="K220">
        <v>0.1212</v>
      </c>
      <c r="L220">
        <v>0.5</v>
      </c>
      <c r="M220">
        <v>0.25369999999999998</v>
      </c>
      <c r="N220">
        <v>2</v>
      </c>
      <c r="O220">
        <v>92</v>
      </c>
      <c r="P220">
        <v>94</v>
      </c>
      <c r="Q220" t="str">
        <f t="shared" si="12"/>
        <v>Weekday</v>
      </c>
      <c r="R220" t="str">
        <f t="shared" si="13"/>
        <v>Medium</v>
      </c>
      <c r="S220" s="10" t="str">
        <f t="shared" si="14"/>
        <v>Mist/Cloudy</v>
      </c>
      <c r="T220" s="10" t="str">
        <f t="shared" si="15"/>
        <v>Cold</v>
      </c>
    </row>
    <row r="221" spans="1:20" x14ac:dyDescent="0.3">
      <c r="A221">
        <v>220</v>
      </c>
      <c r="B221" t="s">
        <v>25</v>
      </c>
      <c r="C221">
        <v>1</v>
      </c>
      <c r="D221">
        <v>0</v>
      </c>
      <c r="E221">
        <v>1</v>
      </c>
      <c r="F221">
        <v>10</v>
      </c>
      <c r="G221" t="b">
        <v>0</v>
      </c>
      <c r="H221">
        <v>1</v>
      </c>
      <c r="I221">
        <v>2</v>
      </c>
      <c r="J221">
        <v>0.14000000000000001</v>
      </c>
      <c r="K221">
        <v>0.1212</v>
      </c>
      <c r="L221">
        <v>0.5</v>
      </c>
      <c r="M221">
        <v>0.29849999999999999</v>
      </c>
      <c r="N221">
        <v>0</v>
      </c>
      <c r="O221">
        <v>31</v>
      </c>
      <c r="P221">
        <v>31</v>
      </c>
      <c r="Q221" t="str">
        <f t="shared" si="12"/>
        <v>Weekday</v>
      </c>
      <c r="R221" t="str">
        <f t="shared" si="13"/>
        <v>Low</v>
      </c>
      <c r="S221" s="10" t="str">
        <f t="shared" si="14"/>
        <v>Mist/Cloudy</v>
      </c>
      <c r="T221" s="10" t="str">
        <f t="shared" si="15"/>
        <v>Cold</v>
      </c>
    </row>
    <row r="222" spans="1:20" x14ac:dyDescent="0.3">
      <c r="A222">
        <v>221</v>
      </c>
      <c r="B222" t="s">
        <v>25</v>
      </c>
      <c r="C222">
        <v>1</v>
      </c>
      <c r="D222">
        <v>0</v>
      </c>
      <c r="E222">
        <v>1</v>
      </c>
      <c r="F222">
        <v>11</v>
      </c>
      <c r="G222" t="b">
        <v>0</v>
      </c>
      <c r="H222">
        <v>1</v>
      </c>
      <c r="I222">
        <v>2</v>
      </c>
      <c r="J222">
        <v>0.16</v>
      </c>
      <c r="K222">
        <v>0.13639999999999999</v>
      </c>
      <c r="L222">
        <v>0.47</v>
      </c>
      <c r="M222">
        <v>0.28360000000000002</v>
      </c>
      <c r="N222">
        <v>2</v>
      </c>
      <c r="O222">
        <v>28</v>
      </c>
      <c r="P222">
        <v>30</v>
      </c>
      <c r="Q222" t="str">
        <f t="shared" si="12"/>
        <v>Weekday</v>
      </c>
      <c r="R222" t="str">
        <f t="shared" si="13"/>
        <v>Low</v>
      </c>
      <c r="S222" s="10" t="str">
        <f t="shared" si="14"/>
        <v>Mist/Cloudy</v>
      </c>
      <c r="T222" s="10" t="str">
        <f t="shared" si="15"/>
        <v>Cold</v>
      </c>
    </row>
    <row r="223" spans="1:20" x14ac:dyDescent="0.3">
      <c r="A223">
        <v>222</v>
      </c>
      <c r="B223" t="s">
        <v>25</v>
      </c>
      <c r="C223">
        <v>1</v>
      </c>
      <c r="D223">
        <v>0</v>
      </c>
      <c r="E223">
        <v>1</v>
      </c>
      <c r="F223">
        <v>12</v>
      </c>
      <c r="G223" t="b">
        <v>0</v>
      </c>
      <c r="H223">
        <v>1</v>
      </c>
      <c r="I223">
        <v>2</v>
      </c>
      <c r="J223">
        <v>0.2</v>
      </c>
      <c r="K223">
        <v>0.18179999999999999</v>
      </c>
      <c r="L223">
        <v>0.4</v>
      </c>
      <c r="M223">
        <v>0.28360000000000002</v>
      </c>
      <c r="N223">
        <v>5</v>
      </c>
      <c r="O223">
        <v>47</v>
      </c>
      <c r="P223">
        <v>52</v>
      </c>
      <c r="Q223" t="str">
        <f t="shared" si="12"/>
        <v>Weekday</v>
      </c>
      <c r="R223" t="str">
        <f t="shared" si="13"/>
        <v>Medium</v>
      </c>
      <c r="S223" s="10" t="str">
        <f t="shared" si="14"/>
        <v>Mist/Cloudy</v>
      </c>
      <c r="T223" s="10" t="str">
        <f t="shared" si="15"/>
        <v>Cold</v>
      </c>
    </row>
    <row r="224" spans="1:20" x14ac:dyDescent="0.3">
      <c r="A224">
        <v>223</v>
      </c>
      <c r="B224" t="s">
        <v>25</v>
      </c>
      <c r="C224">
        <v>1</v>
      </c>
      <c r="D224">
        <v>0</v>
      </c>
      <c r="E224">
        <v>1</v>
      </c>
      <c r="F224">
        <v>13</v>
      </c>
      <c r="G224" t="b">
        <v>0</v>
      </c>
      <c r="H224">
        <v>1</v>
      </c>
      <c r="I224">
        <v>2</v>
      </c>
      <c r="J224">
        <v>0.2</v>
      </c>
      <c r="K224">
        <v>0.18179999999999999</v>
      </c>
      <c r="L224">
        <v>0.4</v>
      </c>
      <c r="M224">
        <v>0.28360000000000002</v>
      </c>
      <c r="N224">
        <v>4</v>
      </c>
      <c r="O224">
        <v>50</v>
      </c>
      <c r="P224">
        <v>54</v>
      </c>
      <c r="Q224" t="str">
        <f t="shared" si="12"/>
        <v>Weekday</v>
      </c>
      <c r="R224" t="str">
        <f t="shared" si="13"/>
        <v>Medium</v>
      </c>
      <c r="S224" s="10" t="str">
        <f t="shared" si="14"/>
        <v>Mist/Cloudy</v>
      </c>
      <c r="T224" s="10" t="str">
        <f t="shared" si="15"/>
        <v>Cold</v>
      </c>
    </row>
    <row r="225" spans="1:20" x14ac:dyDescent="0.3">
      <c r="A225">
        <v>224</v>
      </c>
      <c r="B225" t="s">
        <v>25</v>
      </c>
      <c r="C225">
        <v>1</v>
      </c>
      <c r="D225">
        <v>0</v>
      </c>
      <c r="E225">
        <v>1</v>
      </c>
      <c r="F225">
        <v>14</v>
      </c>
      <c r="G225" t="b">
        <v>0</v>
      </c>
      <c r="H225">
        <v>1</v>
      </c>
      <c r="I225">
        <v>2</v>
      </c>
      <c r="J225">
        <v>0.2</v>
      </c>
      <c r="K225">
        <v>0.19700000000000001</v>
      </c>
      <c r="L225">
        <v>0.4</v>
      </c>
      <c r="M225">
        <v>0.22389999999999999</v>
      </c>
      <c r="N225">
        <v>0</v>
      </c>
      <c r="O225">
        <v>47</v>
      </c>
      <c r="P225">
        <v>47</v>
      </c>
      <c r="Q225" t="str">
        <f t="shared" si="12"/>
        <v>Weekday</v>
      </c>
      <c r="R225" t="str">
        <f t="shared" si="13"/>
        <v>Low</v>
      </c>
      <c r="S225" s="10" t="str">
        <f t="shared" si="14"/>
        <v>Mist/Cloudy</v>
      </c>
      <c r="T225" s="10" t="str">
        <f t="shared" si="15"/>
        <v>Cold</v>
      </c>
    </row>
    <row r="226" spans="1:20" x14ac:dyDescent="0.3">
      <c r="A226">
        <v>225</v>
      </c>
      <c r="B226" t="s">
        <v>25</v>
      </c>
      <c r="C226">
        <v>1</v>
      </c>
      <c r="D226">
        <v>0</v>
      </c>
      <c r="E226">
        <v>1</v>
      </c>
      <c r="F226">
        <v>15</v>
      </c>
      <c r="G226" t="b">
        <v>0</v>
      </c>
      <c r="H226">
        <v>1</v>
      </c>
      <c r="I226">
        <v>2</v>
      </c>
      <c r="J226">
        <v>0.2</v>
      </c>
      <c r="K226">
        <v>0.19700000000000001</v>
      </c>
      <c r="L226">
        <v>0.4</v>
      </c>
      <c r="M226">
        <v>0.22389999999999999</v>
      </c>
      <c r="N226">
        <v>2</v>
      </c>
      <c r="O226">
        <v>43</v>
      </c>
      <c r="P226">
        <v>45</v>
      </c>
      <c r="Q226" t="str">
        <f t="shared" si="12"/>
        <v>Weekday</v>
      </c>
      <c r="R226" t="str">
        <f t="shared" si="13"/>
        <v>Low</v>
      </c>
      <c r="S226" s="10" t="str">
        <f t="shared" si="14"/>
        <v>Mist/Cloudy</v>
      </c>
      <c r="T226" s="10" t="str">
        <f t="shared" si="15"/>
        <v>Cold</v>
      </c>
    </row>
    <row r="227" spans="1:20" x14ac:dyDescent="0.3">
      <c r="A227">
        <v>226</v>
      </c>
      <c r="B227" t="s">
        <v>25</v>
      </c>
      <c r="C227">
        <v>1</v>
      </c>
      <c r="D227">
        <v>0</v>
      </c>
      <c r="E227">
        <v>1</v>
      </c>
      <c r="F227">
        <v>16</v>
      </c>
      <c r="G227" t="b">
        <v>0</v>
      </c>
      <c r="H227">
        <v>1</v>
      </c>
      <c r="I227">
        <v>1</v>
      </c>
      <c r="J227">
        <v>0.2</v>
      </c>
      <c r="K227">
        <v>0.21210000000000001</v>
      </c>
      <c r="L227">
        <v>0.4</v>
      </c>
      <c r="M227">
        <v>0.1343</v>
      </c>
      <c r="N227">
        <v>4</v>
      </c>
      <c r="O227">
        <v>70</v>
      </c>
      <c r="P227">
        <v>74</v>
      </c>
      <c r="Q227" t="str">
        <f t="shared" si="12"/>
        <v>Weekday</v>
      </c>
      <c r="R227" t="str">
        <f t="shared" si="13"/>
        <v>Medium</v>
      </c>
      <c r="S227" s="10" t="str">
        <f t="shared" si="14"/>
        <v>Clear</v>
      </c>
      <c r="T227" s="10" t="str">
        <f t="shared" si="15"/>
        <v>Cold</v>
      </c>
    </row>
    <row r="228" spans="1:20" x14ac:dyDescent="0.3">
      <c r="A228">
        <v>227</v>
      </c>
      <c r="B228" t="s">
        <v>25</v>
      </c>
      <c r="C228">
        <v>1</v>
      </c>
      <c r="D228">
        <v>0</v>
      </c>
      <c r="E228">
        <v>1</v>
      </c>
      <c r="F228">
        <v>17</v>
      </c>
      <c r="G228" t="b">
        <v>0</v>
      </c>
      <c r="H228">
        <v>1</v>
      </c>
      <c r="I228">
        <v>1</v>
      </c>
      <c r="J228">
        <v>0.2</v>
      </c>
      <c r="K228">
        <v>0.2273</v>
      </c>
      <c r="L228">
        <v>0.4</v>
      </c>
      <c r="M228">
        <v>0.1045</v>
      </c>
      <c r="N228">
        <v>4</v>
      </c>
      <c r="O228">
        <v>174</v>
      </c>
      <c r="P228">
        <v>178</v>
      </c>
      <c r="Q228" t="str">
        <f t="shared" si="12"/>
        <v>Weekday</v>
      </c>
      <c r="R228" t="str">
        <f t="shared" si="13"/>
        <v>High</v>
      </c>
      <c r="S228" s="10" t="str">
        <f t="shared" si="14"/>
        <v>Clear</v>
      </c>
      <c r="T228" s="10" t="str">
        <f t="shared" si="15"/>
        <v>Cold</v>
      </c>
    </row>
    <row r="229" spans="1:20" x14ac:dyDescent="0.3">
      <c r="A229">
        <v>228</v>
      </c>
      <c r="B229" t="s">
        <v>25</v>
      </c>
      <c r="C229">
        <v>1</v>
      </c>
      <c r="D229">
        <v>0</v>
      </c>
      <c r="E229">
        <v>1</v>
      </c>
      <c r="F229">
        <v>18</v>
      </c>
      <c r="G229" t="b">
        <v>0</v>
      </c>
      <c r="H229">
        <v>1</v>
      </c>
      <c r="I229">
        <v>1</v>
      </c>
      <c r="J229">
        <v>0.2</v>
      </c>
      <c r="K229">
        <v>0.19700000000000001</v>
      </c>
      <c r="L229">
        <v>0.4</v>
      </c>
      <c r="M229">
        <v>0.22389999999999999</v>
      </c>
      <c r="N229">
        <v>1</v>
      </c>
      <c r="O229">
        <v>154</v>
      </c>
      <c r="P229">
        <v>155</v>
      </c>
      <c r="Q229" t="str">
        <f t="shared" si="12"/>
        <v>Weekday</v>
      </c>
      <c r="R229" t="str">
        <f t="shared" si="13"/>
        <v>High</v>
      </c>
      <c r="S229" s="10" t="str">
        <f t="shared" si="14"/>
        <v>Clear</v>
      </c>
      <c r="T229" s="10" t="str">
        <f t="shared" si="15"/>
        <v>Cold</v>
      </c>
    </row>
    <row r="230" spans="1:20" x14ac:dyDescent="0.3">
      <c r="A230">
        <v>229</v>
      </c>
      <c r="B230" t="s">
        <v>25</v>
      </c>
      <c r="C230">
        <v>1</v>
      </c>
      <c r="D230">
        <v>0</v>
      </c>
      <c r="E230">
        <v>1</v>
      </c>
      <c r="F230">
        <v>19</v>
      </c>
      <c r="G230" t="b">
        <v>0</v>
      </c>
      <c r="H230">
        <v>1</v>
      </c>
      <c r="I230">
        <v>1</v>
      </c>
      <c r="J230">
        <v>0.16</v>
      </c>
      <c r="K230">
        <v>0.16669999999999999</v>
      </c>
      <c r="L230">
        <v>0.47</v>
      </c>
      <c r="M230">
        <v>0.16420000000000001</v>
      </c>
      <c r="N230">
        <v>3</v>
      </c>
      <c r="O230">
        <v>92</v>
      </c>
      <c r="P230">
        <v>95</v>
      </c>
      <c r="Q230" t="str">
        <f t="shared" si="12"/>
        <v>Weekday</v>
      </c>
      <c r="R230" t="str">
        <f t="shared" si="13"/>
        <v>Medium</v>
      </c>
      <c r="S230" s="10" t="str">
        <f t="shared" si="14"/>
        <v>Clear</v>
      </c>
      <c r="T230" s="10" t="str">
        <f t="shared" si="15"/>
        <v>Cold</v>
      </c>
    </row>
    <row r="231" spans="1:20" x14ac:dyDescent="0.3">
      <c r="A231">
        <v>230</v>
      </c>
      <c r="B231" t="s">
        <v>25</v>
      </c>
      <c r="C231">
        <v>1</v>
      </c>
      <c r="D231">
        <v>0</v>
      </c>
      <c r="E231">
        <v>1</v>
      </c>
      <c r="F231">
        <v>20</v>
      </c>
      <c r="G231" t="b">
        <v>0</v>
      </c>
      <c r="H231">
        <v>1</v>
      </c>
      <c r="I231">
        <v>1</v>
      </c>
      <c r="J231">
        <v>0.16</v>
      </c>
      <c r="K231">
        <v>0.16669999999999999</v>
      </c>
      <c r="L231">
        <v>0.5</v>
      </c>
      <c r="M231">
        <v>0.16420000000000001</v>
      </c>
      <c r="N231">
        <v>1</v>
      </c>
      <c r="O231">
        <v>73</v>
      </c>
      <c r="P231">
        <v>74</v>
      </c>
      <c r="Q231" t="str">
        <f t="shared" si="12"/>
        <v>Weekday</v>
      </c>
      <c r="R231" t="str">
        <f t="shared" si="13"/>
        <v>Medium</v>
      </c>
      <c r="S231" s="10" t="str">
        <f t="shared" si="14"/>
        <v>Clear</v>
      </c>
      <c r="T231" s="10" t="str">
        <f t="shared" si="15"/>
        <v>Cold</v>
      </c>
    </row>
    <row r="232" spans="1:20" x14ac:dyDescent="0.3">
      <c r="A232">
        <v>231</v>
      </c>
      <c r="B232" t="s">
        <v>25</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12"/>
        <v>Weekday</v>
      </c>
      <c r="R232" t="str">
        <f t="shared" si="13"/>
        <v>Low</v>
      </c>
      <c r="S232" s="10" t="str">
        <f t="shared" si="14"/>
        <v>Clear</v>
      </c>
      <c r="T232" s="10" t="str">
        <f t="shared" si="15"/>
        <v>Cold</v>
      </c>
    </row>
    <row r="233" spans="1:20" x14ac:dyDescent="0.3">
      <c r="A233">
        <v>232</v>
      </c>
      <c r="B233" t="s">
        <v>25</v>
      </c>
      <c r="C233">
        <v>1</v>
      </c>
      <c r="D233">
        <v>0</v>
      </c>
      <c r="E233">
        <v>1</v>
      </c>
      <c r="F233">
        <v>22</v>
      </c>
      <c r="G233" t="b">
        <v>0</v>
      </c>
      <c r="H233">
        <v>1</v>
      </c>
      <c r="I233">
        <v>1</v>
      </c>
      <c r="J233">
        <v>0.14000000000000001</v>
      </c>
      <c r="K233">
        <v>0.1515</v>
      </c>
      <c r="L233">
        <v>0.59</v>
      </c>
      <c r="M233">
        <v>0.16420000000000001</v>
      </c>
      <c r="N233">
        <v>2</v>
      </c>
      <c r="O233">
        <v>22</v>
      </c>
      <c r="P233">
        <v>24</v>
      </c>
      <c r="Q233" t="str">
        <f t="shared" si="12"/>
        <v>Weekday</v>
      </c>
      <c r="R233" t="str">
        <f t="shared" si="13"/>
        <v>Low</v>
      </c>
      <c r="S233" s="10" t="str">
        <f t="shared" si="14"/>
        <v>Clear</v>
      </c>
      <c r="T233" s="10" t="str">
        <f t="shared" si="15"/>
        <v>Cold</v>
      </c>
    </row>
    <row r="234" spans="1:20" x14ac:dyDescent="0.3">
      <c r="A234">
        <v>233</v>
      </c>
      <c r="B234" t="s">
        <v>25</v>
      </c>
      <c r="C234">
        <v>1</v>
      </c>
      <c r="D234">
        <v>0</v>
      </c>
      <c r="E234">
        <v>1</v>
      </c>
      <c r="F234">
        <v>23</v>
      </c>
      <c r="G234" t="b">
        <v>0</v>
      </c>
      <c r="H234">
        <v>1</v>
      </c>
      <c r="I234">
        <v>1</v>
      </c>
      <c r="J234">
        <v>0.14000000000000001</v>
      </c>
      <c r="K234">
        <v>0.1515</v>
      </c>
      <c r="L234">
        <v>0.59</v>
      </c>
      <c r="M234">
        <v>0.16420000000000001</v>
      </c>
      <c r="N234">
        <v>0</v>
      </c>
      <c r="O234">
        <v>18</v>
      </c>
      <c r="P234">
        <v>18</v>
      </c>
      <c r="Q234" t="str">
        <f t="shared" si="12"/>
        <v>Weekday</v>
      </c>
      <c r="R234" t="str">
        <f t="shared" si="13"/>
        <v>Low</v>
      </c>
      <c r="S234" s="10" t="str">
        <f t="shared" si="14"/>
        <v>Clear</v>
      </c>
      <c r="T234" s="10" t="str">
        <f t="shared" si="15"/>
        <v>Cold</v>
      </c>
    </row>
    <row r="235" spans="1:20" x14ac:dyDescent="0.3">
      <c r="A235">
        <v>234</v>
      </c>
      <c r="B235" t="s">
        <v>26</v>
      </c>
      <c r="C235">
        <v>1</v>
      </c>
      <c r="D235">
        <v>0</v>
      </c>
      <c r="E235">
        <v>1</v>
      </c>
      <c r="F235">
        <v>0</v>
      </c>
      <c r="G235" t="b">
        <v>0</v>
      </c>
      <c r="H235">
        <v>2</v>
      </c>
      <c r="I235">
        <v>1</v>
      </c>
      <c r="J235">
        <v>0.14000000000000001</v>
      </c>
      <c r="K235">
        <v>0.16669999999999999</v>
      </c>
      <c r="L235">
        <v>0.59</v>
      </c>
      <c r="M235">
        <v>0.1045</v>
      </c>
      <c r="N235">
        <v>2</v>
      </c>
      <c r="O235">
        <v>10</v>
      </c>
      <c r="P235">
        <v>12</v>
      </c>
      <c r="Q235" t="str">
        <f t="shared" si="12"/>
        <v>Weekday</v>
      </c>
      <c r="R235" t="str">
        <f t="shared" si="13"/>
        <v>Low</v>
      </c>
      <c r="S235" s="10" t="str">
        <f t="shared" si="14"/>
        <v>Clear</v>
      </c>
      <c r="T235" s="10" t="str">
        <f t="shared" si="15"/>
        <v>Cold</v>
      </c>
    </row>
    <row r="236" spans="1:20" x14ac:dyDescent="0.3">
      <c r="A236">
        <v>235</v>
      </c>
      <c r="B236" t="s">
        <v>26</v>
      </c>
      <c r="C236">
        <v>1</v>
      </c>
      <c r="D236">
        <v>0</v>
      </c>
      <c r="E236">
        <v>1</v>
      </c>
      <c r="F236">
        <v>1</v>
      </c>
      <c r="G236" t="b">
        <v>0</v>
      </c>
      <c r="H236">
        <v>2</v>
      </c>
      <c r="I236">
        <v>1</v>
      </c>
      <c r="J236">
        <v>0.14000000000000001</v>
      </c>
      <c r="K236">
        <v>0.1515</v>
      </c>
      <c r="L236">
        <v>0.59</v>
      </c>
      <c r="M236">
        <v>0.16420000000000001</v>
      </c>
      <c r="N236">
        <v>0</v>
      </c>
      <c r="O236">
        <v>3</v>
      </c>
      <c r="P236">
        <v>3</v>
      </c>
      <c r="Q236" t="str">
        <f t="shared" si="12"/>
        <v>Weekday</v>
      </c>
      <c r="R236" t="str">
        <f t="shared" si="13"/>
        <v>Low</v>
      </c>
      <c r="S236" s="10" t="str">
        <f t="shared" si="14"/>
        <v>Clear</v>
      </c>
      <c r="T236" s="10" t="str">
        <f t="shared" si="15"/>
        <v>Cold</v>
      </c>
    </row>
    <row r="237" spans="1:20" x14ac:dyDescent="0.3">
      <c r="A237">
        <v>236</v>
      </c>
      <c r="B237" t="s">
        <v>26</v>
      </c>
      <c r="C237">
        <v>1</v>
      </c>
      <c r="D237">
        <v>0</v>
      </c>
      <c r="E237">
        <v>1</v>
      </c>
      <c r="F237">
        <v>2</v>
      </c>
      <c r="G237" t="b">
        <v>0</v>
      </c>
      <c r="H237">
        <v>2</v>
      </c>
      <c r="I237">
        <v>2</v>
      </c>
      <c r="J237">
        <v>0.16</v>
      </c>
      <c r="K237">
        <v>0.1515</v>
      </c>
      <c r="L237">
        <v>0.55000000000000004</v>
      </c>
      <c r="M237">
        <v>0.19400000000000001</v>
      </c>
      <c r="N237">
        <v>0</v>
      </c>
      <c r="O237">
        <v>3</v>
      </c>
      <c r="P237">
        <v>3</v>
      </c>
      <c r="Q237" t="str">
        <f t="shared" si="12"/>
        <v>Weekday</v>
      </c>
      <c r="R237" t="str">
        <f t="shared" si="13"/>
        <v>Low</v>
      </c>
      <c r="S237" s="10" t="str">
        <f t="shared" si="14"/>
        <v>Mist/Cloudy</v>
      </c>
      <c r="T237" s="10" t="str">
        <f t="shared" si="15"/>
        <v>Cold</v>
      </c>
    </row>
    <row r="238" spans="1:20" x14ac:dyDescent="0.3">
      <c r="A238">
        <v>237</v>
      </c>
      <c r="B238" t="s">
        <v>26</v>
      </c>
      <c r="C238">
        <v>1</v>
      </c>
      <c r="D238">
        <v>0</v>
      </c>
      <c r="E238">
        <v>1</v>
      </c>
      <c r="F238">
        <v>5</v>
      </c>
      <c r="G238" t="b">
        <v>0</v>
      </c>
      <c r="H238">
        <v>2</v>
      </c>
      <c r="I238">
        <v>2</v>
      </c>
      <c r="J238">
        <v>0.16</v>
      </c>
      <c r="K238">
        <v>0.18179999999999999</v>
      </c>
      <c r="L238">
        <v>0.55000000000000004</v>
      </c>
      <c r="M238">
        <v>0.1343</v>
      </c>
      <c r="N238">
        <v>0</v>
      </c>
      <c r="O238">
        <v>6</v>
      </c>
      <c r="P238">
        <v>6</v>
      </c>
      <c r="Q238" t="str">
        <f t="shared" si="12"/>
        <v>Weekday</v>
      </c>
      <c r="R238" t="str">
        <f t="shared" si="13"/>
        <v>Low</v>
      </c>
      <c r="S238" s="10" t="str">
        <f t="shared" si="14"/>
        <v>Mist/Cloudy</v>
      </c>
      <c r="T238" s="10" t="str">
        <f t="shared" si="15"/>
        <v>Cold</v>
      </c>
    </row>
    <row r="239" spans="1:20" x14ac:dyDescent="0.3">
      <c r="A239">
        <v>238</v>
      </c>
      <c r="B239" t="s">
        <v>26</v>
      </c>
      <c r="C239">
        <v>1</v>
      </c>
      <c r="D239">
        <v>0</v>
      </c>
      <c r="E239">
        <v>1</v>
      </c>
      <c r="F239">
        <v>6</v>
      </c>
      <c r="G239" t="b">
        <v>0</v>
      </c>
      <c r="H239">
        <v>2</v>
      </c>
      <c r="I239">
        <v>2</v>
      </c>
      <c r="J239">
        <v>0.16</v>
      </c>
      <c r="K239">
        <v>0.18179999999999999</v>
      </c>
      <c r="L239">
        <v>0.55000000000000004</v>
      </c>
      <c r="M239">
        <v>0.1343</v>
      </c>
      <c r="N239">
        <v>0</v>
      </c>
      <c r="O239">
        <v>27</v>
      </c>
      <c r="P239">
        <v>27</v>
      </c>
      <c r="Q239" t="str">
        <f t="shared" si="12"/>
        <v>Weekday</v>
      </c>
      <c r="R239" t="str">
        <f t="shared" si="13"/>
        <v>Low</v>
      </c>
      <c r="S239" s="10" t="str">
        <f t="shared" si="14"/>
        <v>Mist/Cloudy</v>
      </c>
      <c r="T239" s="10" t="str">
        <f t="shared" si="15"/>
        <v>Cold</v>
      </c>
    </row>
    <row r="240" spans="1:20" x14ac:dyDescent="0.3">
      <c r="A240">
        <v>239</v>
      </c>
      <c r="B240" t="s">
        <v>26</v>
      </c>
      <c r="C240">
        <v>1</v>
      </c>
      <c r="D240">
        <v>0</v>
      </c>
      <c r="E240">
        <v>1</v>
      </c>
      <c r="F240">
        <v>7</v>
      </c>
      <c r="G240" t="b">
        <v>0</v>
      </c>
      <c r="H240">
        <v>2</v>
      </c>
      <c r="I240">
        <v>2</v>
      </c>
      <c r="J240">
        <v>0.16</v>
      </c>
      <c r="K240">
        <v>0.2273</v>
      </c>
      <c r="L240">
        <v>0.55000000000000004</v>
      </c>
      <c r="M240">
        <v>0</v>
      </c>
      <c r="N240">
        <v>2</v>
      </c>
      <c r="O240">
        <v>97</v>
      </c>
      <c r="P240">
        <v>99</v>
      </c>
      <c r="Q240" t="str">
        <f t="shared" si="12"/>
        <v>Weekday</v>
      </c>
      <c r="R240" t="str">
        <f t="shared" si="13"/>
        <v>Medium</v>
      </c>
      <c r="S240" s="10" t="str">
        <f t="shared" si="14"/>
        <v>Mist/Cloudy</v>
      </c>
      <c r="T240" s="10" t="str">
        <f t="shared" si="15"/>
        <v>Cold</v>
      </c>
    </row>
    <row r="241" spans="1:20" x14ac:dyDescent="0.3">
      <c r="A241">
        <v>240</v>
      </c>
      <c r="B241" t="s">
        <v>26</v>
      </c>
      <c r="C241">
        <v>1</v>
      </c>
      <c r="D241">
        <v>0</v>
      </c>
      <c r="E241">
        <v>1</v>
      </c>
      <c r="F241">
        <v>8</v>
      </c>
      <c r="G241" t="b">
        <v>0</v>
      </c>
      <c r="H241">
        <v>2</v>
      </c>
      <c r="I241">
        <v>2</v>
      </c>
      <c r="J241">
        <v>0.18</v>
      </c>
      <c r="K241">
        <v>0.21210000000000001</v>
      </c>
      <c r="L241">
        <v>0.51</v>
      </c>
      <c r="M241">
        <v>8.9599999999999999E-2</v>
      </c>
      <c r="N241">
        <v>3</v>
      </c>
      <c r="O241">
        <v>214</v>
      </c>
      <c r="P241">
        <v>217</v>
      </c>
      <c r="Q241" t="str">
        <f t="shared" si="12"/>
        <v>Weekday</v>
      </c>
      <c r="R241" t="str">
        <f t="shared" si="13"/>
        <v>High</v>
      </c>
      <c r="S241" s="10" t="str">
        <f t="shared" si="14"/>
        <v>Mist/Cloudy</v>
      </c>
      <c r="T241" s="10" t="str">
        <f t="shared" si="15"/>
        <v>Cold</v>
      </c>
    </row>
    <row r="242" spans="1:20" x14ac:dyDescent="0.3">
      <c r="A242">
        <v>241</v>
      </c>
      <c r="B242" t="s">
        <v>26</v>
      </c>
      <c r="C242">
        <v>1</v>
      </c>
      <c r="D242">
        <v>0</v>
      </c>
      <c r="E242">
        <v>1</v>
      </c>
      <c r="F242">
        <v>9</v>
      </c>
      <c r="G242" t="b">
        <v>0</v>
      </c>
      <c r="H242">
        <v>2</v>
      </c>
      <c r="I242">
        <v>2</v>
      </c>
      <c r="J242">
        <v>0.18</v>
      </c>
      <c r="K242">
        <v>0.19700000000000001</v>
      </c>
      <c r="L242">
        <v>0.51</v>
      </c>
      <c r="M242">
        <v>0.16420000000000001</v>
      </c>
      <c r="N242">
        <v>3</v>
      </c>
      <c r="O242">
        <v>127</v>
      </c>
      <c r="P242">
        <v>130</v>
      </c>
      <c r="Q242" t="str">
        <f t="shared" si="12"/>
        <v>Weekday</v>
      </c>
      <c r="R242" t="str">
        <f t="shared" si="13"/>
        <v>Medium</v>
      </c>
      <c r="S242" s="10" t="str">
        <f t="shared" si="14"/>
        <v>Mist/Cloudy</v>
      </c>
      <c r="T242" s="10" t="str">
        <f t="shared" si="15"/>
        <v>Cold</v>
      </c>
    </row>
    <row r="243" spans="1:20" x14ac:dyDescent="0.3">
      <c r="A243">
        <v>242</v>
      </c>
      <c r="B243" t="s">
        <v>26</v>
      </c>
      <c r="C243">
        <v>1</v>
      </c>
      <c r="D243">
        <v>0</v>
      </c>
      <c r="E243">
        <v>1</v>
      </c>
      <c r="F243">
        <v>10</v>
      </c>
      <c r="G243" t="b">
        <v>0</v>
      </c>
      <c r="H243">
        <v>2</v>
      </c>
      <c r="I243">
        <v>2</v>
      </c>
      <c r="J243">
        <v>0.2</v>
      </c>
      <c r="K243">
        <v>0.21210000000000001</v>
      </c>
      <c r="L243">
        <v>0.51</v>
      </c>
      <c r="M243">
        <v>0.16420000000000001</v>
      </c>
      <c r="N243">
        <v>3</v>
      </c>
      <c r="O243">
        <v>51</v>
      </c>
      <c r="P243">
        <v>54</v>
      </c>
      <c r="Q243" t="str">
        <f t="shared" si="12"/>
        <v>Weekday</v>
      </c>
      <c r="R243" t="str">
        <f t="shared" si="13"/>
        <v>Medium</v>
      </c>
      <c r="S243" s="10" t="str">
        <f t="shared" si="14"/>
        <v>Mist/Cloudy</v>
      </c>
      <c r="T243" s="10" t="str">
        <f t="shared" si="15"/>
        <v>Cold</v>
      </c>
    </row>
    <row r="244" spans="1:20" x14ac:dyDescent="0.3">
      <c r="A244">
        <v>243</v>
      </c>
      <c r="B244" t="s">
        <v>26</v>
      </c>
      <c r="C244">
        <v>1</v>
      </c>
      <c r="D244">
        <v>0</v>
      </c>
      <c r="E244">
        <v>1</v>
      </c>
      <c r="F244">
        <v>11</v>
      </c>
      <c r="G244" t="b">
        <v>0</v>
      </c>
      <c r="H244">
        <v>2</v>
      </c>
      <c r="I244">
        <v>2</v>
      </c>
      <c r="J244">
        <v>0.2</v>
      </c>
      <c r="K244">
        <v>0.21210000000000001</v>
      </c>
      <c r="L244">
        <v>0.47</v>
      </c>
      <c r="M244">
        <v>0.1343</v>
      </c>
      <c r="N244">
        <v>4</v>
      </c>
      <c r="O244">
        <v>31</v>
      </c>
      <c r="P244">
        <v>35</v>
      </c>
      <c r="Q244" t="str">
        <f t="shared" si="12"/>
        <v>Weekday</v>
      </c>
      <c r="R244" t="str">
        <f t="shared" si="13"/>
        <v>Low</v>
      </c>
      <c r="S244" s="10" t="str">
        <f t="shared" si="14"/>
        <v>Mist/Cloudy</v>
      </c>
      <c r="T244" s="10" t="str">
        <f t="shared" si="15"/>
        <v>Cold</v>
      </c>
    </row>
    <row r="245" spans="1:20" x14ac:dyDescent="0.3">
      <c r="A245">
        <v>244</v>
      </c>
      <c r="B245" t="s">
        <v>26</v>
      </c>
      <c r="C245">
        <v>1</v>
      </c>
      <c r="D245">
        <v>0</v>
      </c>
      <c r="E245">
        <v>1</v>
      </c>
      <c r="F245">
        <v>12</v>
      </c>
      <c r="G245" t="b">
        <v>0</v>
      </c>
      <c r="H245">
        <v>2</v>
      </c>
      <c r="I245">
        <v>2</v>
      </c>
      <c r="J245">
        <v>0.2</v>
      </c>
      <c r="K245">
        <v>0.2273</v>
      </c>
      <c r="L245">
        <v>0.51</v>
      </c>
      <c r="M245">
        <v>0.1045</v>
      </c>
      <c r="N245">
        <v>2</v>
      </c>
      <c r="O245">
        <v>55</v>
      </c>
      <c r="P245">
        <v>57</v>
      </c>
      <c r="Q245" t="str">
        <f t="shared" si="12"/>
        <v>Weekday</v>
      </c>
      <c r="R245" t="str">
        <f t="shared" si="13"/>
        <v>Medium</v>
      </c>
      <c r="S245" s="10" t="str">
        <f t="shared" si="14"/>
        <v>Mist/Cloudy</v>
      </c>
      <c r="T245" s="10" t="str">
        <f t="shared" si="15"/>
        <v>Cold</v>
      </c>
    </row>
    <row r="246" spans="1:20" x14ac:dyDescent="0.3">
      <c r="A246">
        <v>245</v>
      </c>
      <c r="B246" t="s">
        <v>26</v>
      </c>
      <c r="C246">
        <v>1</v>
      </c>
      <c r="D246">
        <v>0</v>
      </c>
      <c r="E246">
        <v>1</v>
      </c>
      <c r="F246">
        <v>13</v>
      </c>
      <c r="G246" t="b">
        <v>0</v>
      </c>
      <c r="H246">
        <v>2</v>
      </c>
      <c r="I246">
        <v>2</v>
      </c>
      <c r="J246">
        <v>0.2</v>
      </c>
      <c r="K246">
        <v>0.2273</v>
      </c>
      <c r="L246">
        <v>0.59</v>
      </c>
      <c r="M246">
        <v>8.9599999999999999E-2</v>
      </c>
      <c r="N246">
        <v>6</v>
      </c>
      <c r="O246">
        <v>46</v>
      </c>
      <c r="P246">
        <v>52</v>
      </c>
      <c r="Q246" t="str">
        <f t="shared" si="12"/>
        <v>Weekday</v>
      </c>
      <c r="R246" t="str">
        <f t="shared" si="13"/>
        <v>Medium</v>
      </c>
      <c r="S246" s="10" t="str">
        <f t="shared" si="14"/>
        <v>Mist/Cloudy</v>
      </c>
      <c r="T246" s="10" t="str">
        <f t="shared" si="15"/>
        <v>Cold</v>
      </c>
    </row>
    <row r="247" spans="1:20" x14ac:dyDescent="0.3">
      <c r="A247">
        <v>246</v>
      </c>
      <c r="B247" t="s">
        <v>26</v>
      </c>
      <c r="C247">
        <v>1</v>
      </c>
      <c r="D247">
        <v>0</v>
      </c>
      <c r="E247">
        <v>1</v>
      </c>
      <c r="F247">
        <v>14</v>
      </c>
      <c r="G247" t="b">
        <v>0</v>
      </c>
      <c r="H247">
        <v>2</v>
      </c>
      <c r="I247">
        <v>2</v>
      </c>
      <c r="J247">
        <v>0.2</v>
      </c>
      <c r="K247">
        <v>0.2273</v>
      </c>
      <c r="L247">
        <v>0.59</v>
      </c>
      <c r="M247">
        <v>8.9599999999999999E-2</v>
      </c>
      <c r="N247">
        <v>3</v>
      </c>
      <c r="O247">
        <v>60</v>
      </c>
      <c r="P247">
        <v>63</v>
      </c>
      <c r="Q247" t="str">
        <f t="shared" si="12"/>
        <v>Weekday</v>
      </c>
      <c r="R247" t="str">
        <f t="shared" si="13"/>
        <v>Medium</v>
      </c>
      <c r="S247" s="10" t="str">
        <f t="shared" si="14"/>
        <v>Mist/Cloudy</v>
      </c>
      <c r="T247" s="10" t="str">
        <f t="shared" si="15"/>
        <v>Cold</v>
      </c>
    </row>
    <row r="248" spans="1:20" x14ac:dyDescent="0.3">
      <c r="A248">
        <v>247</v>
      </c>
      <c r="B248" t="s">
        <v>26</v>
      </c>
      <c r="C248">
        <v>1</v>
      </c>
      <c r="D248">
        <v>0</v>
      </c>
      <c r="E248">
        <v>1</v>
      </c>
      <c r="F248">
        <v>15</v>
      </c>
      <c r="G248" t="b">
        <v>0</v>
      </c>
      <c r="H248">
        <v>2</v>
      </c>
      <c r="I248">
        <v>2</v>
      </c>
      <c r="J248">
        <v>0.16</v>
      </c>
      <c r="K248">
        <v>0.19700000000000001</v>
      </c>
      <c r="L248">
        <v>0.8</v>
      </c>
      <c r="M248">
        <v>8.9599999999999999E-2</v>
      </c>
      <c r="N248">
        <v>2</v>
      </c>
      <c r="O248">
        <v>45</v>
      </c>
      <c r="P248">
        <v>47</v>
      </c>
      <c r="Q248" t="str">
        <f t="shared" si="12"/>
        <v>Weekday</v>
      </c>
      <c r="R248" t="str">
        <f t="shared" si="13"/>
        <v>Low</v>
      </c>
      <c r="S248" s="10" t="str">
        <f t="shared" si="14"/>
        <v>Mist/Cloudy</v>
      </c>
      <c r="T248" s="10" t="str">
        <f t="shared" si="15"/>
        <v>Cold</v>
      </c>
    </row>
    <row r="249" spans="1:20" x14ac:dyDescent="0.3">
      <c r="A249">
        <v>248</v>
      </c>
      <c r="B249" t="s">
        <v>26</v>
      </c>
      <c r="C249">
        <v>1</v>
      </c>
      <c r="D249">
        <v>0</v>
      </c>
      <c r="E249">
        <v>1</v>
      </c>
      <c r="F249">
        <v>16</v>
      </c>
      <c r="G249" t="b">
        <v>0</v>
      </c>
      <c r="H249">
        <v>2</v>
      </c>
      <c r="I249">
        <v>2</v>
      </c>
      <c r="J249">
        <v>0.16</v>
      </c>
      <c r="K249">
        <v>0.1515</v>
      </c>
      <c r="L249">
        <v>0.86</v>
      </c>
      <c r="M249">
        <v>0.22389999999999999</v>
      </c>
      <c r="N249">
        <v>4</v>
      </c>
      <c r="O249">
        <v>72</v>
      </c>
      <c r="P249">
        <v>76</v>
      </c>
      <c r="Q249" t="str">
        <f t="shared" si="12"/>
        <v>Weekday</v>
      </c>
      <c r="R249" t="str">
        <f t="shared" si="13"/>
        <v>Medium</v>
      </c>
      <c r="S249" s="10" t="str">
        <f t="shared" si="14"/>
        <v>Mist/Cloudy</v>
      </c>
      <c r="T249" s="10" t="str">
        <f t="shared" si="15"/>
        <v>Cold</v>
      </c>
    </row>
    <row r="250" spans="1:20" x14ac:dyDescent="0.3">
      <c r="A250">
        <v>249</v>
      </c>
      <c r="B250" t="s">
        <v>26</v>
      </c>
      <c r="C250">
        <v>1</v>
      </c>
      <c r="D250">
        <v>0</v>
      </c>
      <c r="E250">
        <v>1</v>
      </c>
      <c r="F250">
        <v>17</v>
      </c>
      <c r="G250" t="b">
        <v>0</v>
      </c>
      <c r="H250">
        <v>2</v>
      </c>
      <c r="I250">
        <v>2</v>
      </c>
      <c r="J250">
        <v>0.16</v>
      </c>
      <c r="K250">
        <v>0.1515</v>
      </c>
      <c r="L250">
        <v>0.86</v>
      </c>
      <c r="M250">
        <v>0.22389999999999999</v>
      </c>
      <c r="N250">
        <v>6</v>
      </c>
      <c r="O250">
        <v>130</v>
      </c>
      <c r="P250">
        <v>136</v>
      </c>
      <c r="Q250" t="str">
        <f t="shared" si="12"/>
        <v>Weekday</v>
      </c>
      <c r="R250" t="str">
        <f t="shared" si="13"/>
        <v>Medium</v>
      </c>
      <c r="S250" s="10" t="str">
        <f t="shared" si="14"/>
        <v>Mist/Cloudy</v>
      </c>
      <c r="T250" s="10" t="str">
        <f t="shared" si="15"/>
        <v>Cold</v>
      </c>
    </row>
    <row r="251" spans="1:20" x14ac:dyDescent="0.3">
      <c r="A251">
        <v>250</v>
      </c>
      <c r="B251" t="s">
        <v>26</v>
      </c>
      <c r="C251">
        <v>1</v>
      </c>
      <c r="D251">
        <v>0</v>
      </c>
      <c r="E251">
        <v>1</v>
      </c>
      <c r="F251">
        <v>18</v>
      </c>
      <c r="G251" t="b">
        <v>0</v>
      </c>
      <c r="H251">
        <v>2</v>
      </c>
      <c r="I251">
        <v>3</v>
      </c>
      <c r="J251">
        <v>0.16</v>
      </c>
      <c r="K251">
        <v>0.18179999999999999</v>
      </c>
      <c r="L251">
        <v>0.93</v>
      </c>
      <c r="M251">
        <v>0.1045</v>
      </c>
      <c r="N251">
        <v>1</v>
      </c>
      <c r="O251">
        <v>94</v>
      </c>
      <c r="P251">
        <v>95</v>
      </c>
      <c r="Q251" t="str">
        <f t="shared" si="12"/>
        <v>Weekday</v>
      </c>
      <c r="R251" t="str">
        <f t="shared" si="13"/>
        <v>Medium</v>
      </c>
      <c r="S251" s="10" t="str">
        <f t="shared" si="14"/>
        <v>Light Rain/Snow</v>
      </c>
      <c r="T251" s="10" t="str">
        <f t="shared" si="15"/>
        <v>Cold</v>
      </c>
    </row>
    <row r="252" spans="1:20" x14ac:dyDescent="0.3">
      <c r="A252">
        <v>251</v>
      </c>
      <c r="B252" t="s">
        <v>26</v>
      </c>
      <c r="C252">
        <v>1</v>
      </c>
      <c r="D252">
        <v>0</v>
      </c>
      <c r="E252">
        <v>1</v>
      </c>
      <c r="F252">
        <v>19</v>
      </c>
      <c r="G252" t="b">
        <v>0</v>
      </c>
      <c r="H252">
        <v>2</v>
      </c>
      <c r="I252">
        <v>3</v>
      </c>
      <c r="J252">
        <v>0.16</v>
      </c>
      <c r="K252">
        <v>0.2273</v>
      </c>
      <c r="L252">
        <v>0.93</v>
      </c>
      <c r="M252">
        <v>0</v>
      </c>
      <c r="N252">
        <v>0</v>
      </c>
      <c r="O252">
        <v>51</v>
      </c>
      <c r="P252">
        <v>51</v>
      </c>
      <c r="Q252" t="str">
        <f t="shared" si="12"/>
        <v>Weekday</v>
      </c>
      <c r="R252" t="str">
        <f t="shared" si="13"/>
        <v>Medium</v>
      </c>
      <c r="S252" s="10" t="str">
        <f t="shared" si="14"/>
        <v>Light Rain/Snow</v>
      </c>
      <c r="T252" s="10" t="str">
        <f t="shared" si="15"/>
        <v>Cold</v>
      </c>
    </row>
    <row r="253" spans="1:20" x14ac:dyDescent="0.3">
      <c r="A253">
        <v>252</v>
      </c>
      <c r="B253" t="s">
        <v>26</v>
      </c>
      <c r="C253">
        <v>1</v>
      </c>
      <c r="D253">
        <v>0</v>
      </c>
      <c r="E253">
        <v>1</v>
      </c>
      <c r="F253">
        <v>20</v>
      </c>
      <c r="G253" t="b">
        <v>0</v>
      </c>
      <c r="H253">
        <v>2</v>
      </c>
      <c r="I253">
        <v>3</v>
      </c>
      <c r="J253">
        <v>0.16</v>
      </c>
      <c r="K253">
        <v>0.1515</v>
      </c>
      <c r="L253">
        <v>0.93</v>
      </c>
      <c r="M253">
        <v>0.19400000000000001</v>
      </c>
      <c r="N253">
        <v>0</v>
      </c>
      <c r="O253">
        <v>32</v>
      </c>
      <c r="P253">
        <v>32</v>
      </c>
      <c r="Q253" t="str">
        <f t="shared" si="12"/>
        <v>Weekday</v>
      </c>
      <c r="R253" t="str">
        <f t="shared" si="13"/>
        <v>Low</v>
      </c>
      <c r="S253" s="10" t="str">
        <f t="shared" si="14"/>
        <v>Light Rain/Snow</v>
      </c>
      <c r="T253" s="10" t="str">
        <f t="shared" si="15"/>
        <v>Cold</v>
      </c>
    </row>
    <row r="254" spans="1:20" x14ac:dyDescent="0.3">
      <c r="A254">
        <v>253</v>
      </c>
      <c r="B254" t="s">
        <v>26</v>
      </c>
      <c r="C254">
        <v>1</v>
      </c>
      <c r="D254">
        <v>0</v>
      </c>
      <c r="E254">
        <v>1</v>
      </c>
      <c r="F254">
        <v>21</v>
      </c>
      <c r="G254" t="b">
        <v>0</v>
      </c>
      <c r="H254">
        <v>2</v>
      </c>
      <c r="I254">
        <v>3</v>
      </c>
      <c r="J254">
        <v>0.16</v>
      </c>
      <c r="K254">
        <v>0.19700000000000001</v>
      </c>
      <c r="L254">
        <v>0.86</v>
      </c>
      <c r="M254">
        <v>8.9599999999999999E-2</v>
      </c>
      <c r="N254">
        <v>0</v>
      </c>
      <c r="O254">
        <v>20</v>
      </c>
      <c r="P254">
        <v>20</v>
      </c>
      <c r="Q254" t="str">
        <f t="shared" si="12"/>
        <v>Weekday</v>
      </c>
      <c r="R254" t="str">
        <f t="shared" si="13"/>
        <v>Low</v>
      </c>
      <c r="S254" s="10" t="str">
        <f t="shared" si="14"/>
        <v>Light Rain/Snow</v>
      </c>
      <c r="T254" s="10" t="str">
        <f t="shared" si="15"/>
        <v>Cold</v>
      </c>
    </row>
    <row r="255" spans="1:20" x14ac:dyDescent="0.3">
      <c r="A255">
        <v>254</v>
      </c>
      <c r="B255" t="s">
        <v>26</v>
      </c>
      <c r="C255">
        <v>1</v>
      </c>
      <c r="D255">
        <v>0</v>
      </c>
      <c r="E255">
        <v>1</v>
      </c>
      <c r="F255">
        <v>22</v>
      </c>
      <c r="G255" t="b">
        <v>0</v>
      </c>
      <c r="H255">
        <v>2</v>
      </c>
      <c r="I255">
        <v>3</v>
      </c>
      <c r="J255">
        <v>0.16</v>
      </c>
      <c r="K255">
        <v>0.18179999999999999</v>
      </c>
      <c r="L255">
        <v>0.93</v>
      </c>
      <c r="M255">
        <v>0.1045</v>
      </c>
      <c r="N255">
        <v>1</v>
      </c>
      <c r="O255">
        <v>28</v>
      </c>
      <c r="P255">
        <v>29</v>
      </c>
      <c r="Q255" t="str">
        <f t="shared" si="12"/>
        <v>Weekday</v>
      </c>
      <c r="R255" t="str">
        <f t="shared" si="13"/>
        <v>Low</v>
      </c>
      <c r="S255" s="10" t="str">
        <f t="shared" si="14"/>
        <v>Light Rain/Snow</v>
      </c>
      <c r="T255" s="10" t="str">
        <f t="shared" si="15"/>
        <v>Cold</v>
      </c>
    </row>
    <row r="256" spans="1:20" x14ac:dyDescent="0.3">
      <c r="A256">
        <v>255</v>
      </c>
      <c r="B256" t="s">
        <v>26</v>
      </c>
      <c r="C256">
        <v>1</v>
      </c>
      <c r="D256">
        <v>0</v>
      </c>
      <c r="E256">
        <v>1</v>
      </c>
      <c r="F256">
        <v>23</v>
      </c>
      <c r="G256" t="b">
        <v>0</v>
      </c>
      <c r="H256">
        <v>2</v>
      </c>
      <c r="I256">
        <v>3</v>
      </c>
      <c r="J256">
        <v>0.16</v>
      </c>
      <c r="K256">
        <v>0.19700000000000001</v>
      </c>
      <c r="L256">
        <v>0.93</v>
      </c>
      <c r="M256">
        <v>8.9599999999999999E-2</v>
      </c>
      <c r="N256">
        <v>1</v>
      </c>
      <c r="O256">
        <v>18</v>
      </c>
      <c r="P256">
        <v>19</v>
      </c>
      <c r="Q256" t="str">
        <f t="shared" si="12"/>
        <v>Weekday</v>
      </c>
      <c r="R256" t="str">
        <f t="shared" si="13"/>
        <v>Low</v>
      </c>
      <c r="S256" s="10" t="str">
        <f t="shared" si="14"/>
        <v>Light Rain/Snow</v>
      </c>
      <c r="T256" s="10" t="str">
        <f t="shared" si="15"/>
        <v>Cold</v>
      </c>
    </row>
    <row r="257" spans="1:20" x14ac:dyDescent="0.3">
      <c r="A257">
        <v>256</v>
      </c>
      <c r="B257" t="s">
        <v>27</v>
      </c>
      <c r="C257">
        <v>1</v>
      </c>
      <c r="D257">
        <v>0</v>
      </c>
      <c r="E257">
        <v>1</v>
      </c>
      <c r="F257">
        <v>0</v>
      </c>
      <c r="G257" t="b">
        <v>0</v>
      </c>
      <c r="H257">
        <v>3</v>
      </c>
      <c r="I257">
        <v>2</v>
      </c>
      <c r="J257">
        <v>0.16</v>
      </c>
      <c r="K257">
        <v>0.19700000000000001</v>
      </c>
      <c r="L257">
        <v>0.86</v>
      </c>
      <c r="M257">
        <v>8.9599999999999999E-2</v>
      </c>
      <c r="N257">
        <v>0</v>
      </c>
      <c r="O257">
        <v>7</v>
      </c>
      <c r="P257">
        <v>7</v>
      </c>
      <c r="Q257" t="str">
        <f t="shared" si="12"/>
        <v>Weekday</v>
      </c>
      <c r="R257" t="str">
        <f t="shared" si="13"/>
        <v>Low</v>
      </c>
      <c r="S257" s="10" t="str">
        <f t="shared" si="14"/>
        <v>Mist/Cloudy</v>
      </c>
      <c r="T257" s="10" t="str">
        <f t="shared" si="15"/>
        <v>Cold</v>
      </c>
    </row>
    <row r="258" spans="1:20" x14ac:dyDescent="0.3">
      <c r="A258">
        <v>257</v>
      </c>
      <c r="B258" t="s">
        <v>27</v>
      </c>
      <c r="C258">
        <v>1</v>
      </c>
      <c r="D258">
        <v>0</v>
      </c>
      <c r="E258">
        <v>1</v>
      </c>
      <c r="F258">
        <v>1</v>
      </c>
      <c r="G258" t="b">
        <v>0</v>
      </c>
      <c r="H258">
        <v>3</v>
      </c>
      <c r="I258">
        <v>2</v>
      </c>
      <c r="J258">
        <v>0.16</v>
      </c>
      <c r="K258">
        <v>0.18179999999999999</v>
      </c>
      <c r="L258">
        <v>0.86</v>
      </c>
      <c r="M258">
        <v>0.1045</v>
      </c>
      <c r="N258">
        <v>0</v>
      </c>
      <c r="O258">
        <v>6</v>
      </c>
      <c r="P258">
        <v>6</v>
      </c>
      <c r="Q258" t="str">
        <f t="shared" ref="Q258:Q321" si="16">IF(G258=TRUE,"Holiday",IF(H258=0,"Weekend","Weekday"))</f>
        <v>Weekday</v>
      </c>
      <c r="R258" t="str">
        <f t="shared" ref="R258:R321" si="17">IF(P258&lt;50,"Low",IF(P258&lt;150,"Medium","High"))</f>
        <v>Low</v>
      </c>
      <c r="S258" s="10" t="str">
        <f t="shared" si="14"/>
        <v>Mist/Cloudy</v>
      </c>
      <c r="T258" s="10" t="str">
        <f t="shared" si="15"/>
        <v>Cold</v>
      </c>
    </row>
    <row r="259" spans="1:20" x14ac:dyDescent="0.3">
      <c r="A259">
        <v>258</v>
      </c>
      <c r="B259" t="s">
        <v>27</v>
      </c>
      <c r="C259">
        <v>1</v>
      </c>
      <c r="D259">
        <v>0</v>
      </c>
      <c r="E259">
        <v>1</v>
      </c>
      <c r="F259">
        <v>2</v>
      </c>
      <c r="G259" t="b">
        <v>0</v>
      </c>
      <c r="H259">
        <v>3</v>
      </c>
      <c r="I259">
        <v>1</v>
      </c>
      <c r="J259">
        <v>0.14000000000000001</v>
      </c>
      <c r="K259">
        <v>0.1515</v>
      </c>
      <c r="L259">
        <v>0.86</v>
      </c>
      <c r="M259">
        <v>0.1343</v>
      </c>
      <c r="N259">
        <v>0</v>
      </c>
      <c r="O259">
        <v>1</v>
      </c>
      <c r="P259">
        <v>1</v>
      </c>
      <c r="Q259" t="str">
        <f t="shared" si="16"/>
        <v>Weekday</v>
      </c>
      <c r="R259" t="str">
        <f t="shared" si="17"/>
        <v>Low</v>
      </c>
      <c r="S259" s="10" t="str">
        <f t="shared" ref="S259:S322" si="18">IF(I259=1,"Clear",IF(I259=2,"Mist/Cloudy",IF(I259=3,"Light Rain/Snow","Heavy Rain/Ice")))</f>
        <v>Clear</v>
      </c>
      <c r="T259" s="10" t="str">
        <f t="shared" ref="T259:T322" si="19">IF(J259&lt;0.3,"Cold","Warm")</f>
        <v>Cold</v>
      </c>
    </row>
    <row r="260" spans="1:20" x14ac:dyDescent="0.3">
      <c r="A260">
        <v>259</v>
      </c>
      <c r="B260" t="s">
        <v>27</v>
      </c>
      <c r="C260">
        <v>1</v>
      </c>
      <c r="D260">
        <v>0</v>
      </c>
      <c r="E260">
        <v>1</v>
      </c>
      <c r="F260">
        <v>5</v>
      </c>
      <c r="G260" t="b">
        <v>0</v>
      </c>
      <c r="H260">
        <v>3</v>
      </c>
      <c r="I260">
        <v>1</v>
      </c>
      <c r="J260">
        <v>0.14000000000000001</v>
      </c>
      <c r="K260">
        <v>0.1515</v>
      </c>
      <c r="L260">
        <v>0.86</v>
      </c>
      <c r="M260">
        <v>0.16420000000000001</v>
      </c>
      <c r="N260">
        <v>0</v>
      </c>
      <c r="O260">
        <v>5</v>
      </c>
      <c r="P260">
        <v>5</v>
      </c>
      <c r="Q260" t="str">
        <f t="shared" si="16"/>
        <v>Weekday</v>
      </c>
      <c r="R260" t="str">
        <f t="shared" si="17"/>
        <v>Low</v>
      </c>
      <c r="S260" s="10" t="str">
        <f t="shared" si="18"/>
        <v>Clear</v>
      </c>
      <c r="T260" s="10" t="str">
        <f t="shared" si="19"/>
        <v>Cold</v>
      </c>
    </row>
    <row r="261" spans="1:20" x14ac:dyDescent="0.3">
      <c r="A261">
        <v>260</v>
      </c>
      <c r="B261" t="s">
        <v>27</v>
      </c>
      <c r="C261">
        <v>1</v>
      </c>
      <c r="D261">
        <v>0</v>
      </c>
      <c r="E261">
        <v>1</v>
      </c>
      <c r="F261">
        <v>6</v>
      </c>
      <c r="G261" t="b">
        <v>0</v>
      </c>
      <c r="H261">
        <v>3</v>
      </c>
      <c r="I261">
        <v>1</v>
      </c>
      <c r="J261">
        <v>0.12</v>
      </c>
      <c r="K261">
        <v>0.1515</v>
      </c>
      <c r="L261">
        <v>0.93</v>
      </c>
      <c r="M261">
        <v>0.1343</v>
      </c>
      <c r="N261">
        <v>0</v>
      </c>
      <c r="O261">
        <v>16</v>
      </c>
      <c r="P261">
        <v>16</v>
      </c>
      <c r="Q261" t="str">
        <f t="shared" si="16"/>
        <v>Weekday</v>
      </c>
      <c r="R261" t="str">
        <f t="shared" si="17"/>
        <v>Low</v>
      </c>
      <c r="S261" s="10" t="str">
        <f t="shared" si="18"/>
        <v>Clear</v>
      </c>
      <c r="T261" s="10" t="str">
        <f t="shared" si="19"/>
        <v>Cold</v>
      </c>
    </row>
    <row r="262" spans="1:20" x14ac:dyDescent="0.3">
      <c r="A262">
        <v>261</v>
      </c>
      <c r="B262" t="s">
        <v>27</v>
      </c>
      <c r="C262">
        <v>1</v>
      </c>
      <c r="D262">
        <v>0</v>
      </c>
      <c r="E262">
        <v>1</v>
      </c>
      <c r="F262">
        <v>7</v>
      </c>
      <c r="G262" t="b">
        <v>0</v>
      </c>
      <c r="H262">
        <v>3</v>
      </c>
      <c r="I262">
        <v>1</v>
      </c>
      <c r="J262">
        <v>0.14000000000000001</v>
      </c>
      <c r="K262">
        <v>0.1515</v>
      </c>
      <c r="L262">
        <v>0.69</v>
      </c>
      <c r="M262">
        <v>0.1343</v>
      </c>
      <c r="N262">
        <v>0</v>
      </c>
      <c r="O262">
        <v>54</v>
      </c>
      <c r="P262">
        <v>54</v>
      </c>
      <c r="Q262" t="str">
        <f t="shared" si="16"/>
        <v>Weekday</v>
      </c>
      <c r="R262" t="str">
        <f t="shared" si="17"/>
        <v>Medium</v>
      </c>
      <c r="S262" s="10" t="str">
        <f t="shared" si="18"/>
        <v>Clear</v>
      </c>
      <c r="T262" s="10" t="str">
        <f t="shared" si="19"/>
        <v>Cold</v>
      </c>
    </row>
    <row r="263" spans="1:20" x14ac:dyDescent="0.3">
      <c r="A263">
        <v>262</v>
      </c>
      <c r="B263" t="s">
        <v>27</v>
      </c>
      <c r="C263">
        <v>1</v>
      </c>
      <c r="D263">
        <v>0</v>
      </c>
      <c r="E263">
        <v>1</v>
      </c>
      <c r="F263">
        <v>8</v>
      </c>
      <c r="G263" t="b">
        <v>0</v>
      </c>
      <c r="H263">
        <v>3</v>
      </c>
      <c r="I263">
        <v>1</v>
      </c>
      <c r="J263">
        <v>0.16</v>
      </c>
      <c r="K263">
        <v>0.16669999999999999</v>
      </c>
      <c r="L263">
        <v>0.59</v>
      </c>
      <c r="M263">
        <v>0.16420000000000001</v>
      </c>
      <c r="N263">
        <v>3</v>
      </c>
      <c r="O263">
        <v>125</v>
      </c>
      <c r="P263">
        <v>128</v>
      </c>
      <c r="Q263" t="str">
        <f t="shared" si="16"/>
        <v>Weekday</v>
      </c>
      <c r="R263" t="str">
        <f t="shared" si="17"/>
        <v>Medium</v>
      </c>
      <c r="S263" s="10" t="str">
        <f t="shared" si="18"/>
        <v>Clear</v>
      </c>
      <c r="T263" s="10" t="str">
        <f t="shared" si="19"/>
        <v>Cold</v>
      </c>
    </row>
    <row r="264" spans="1:20" x14ac:dyDescent="0.3">
      <c r="A264">
        <v>263</v>
      </c>
      <c r="B264" t="s">
        <v>27</v>
      </c>
      <c r="C264">
        <v>1</v>
      </c>
      <c r="D264">
        <v>0</v>
      </c>
      <c r="E264">
        <v>1</v>
      </c>
      <c r="F264">
        <v>9</v>
      </c>
      <c r="G264" t="b">
        <v>0</v>
      </c>
      <c r="H264">
        <v>3</v>
      </c>
      <c r="I264">
        <v>1</v>
      </c>
      <c r="J264">
        <v>0.16</v>
      </c>
      <c r="K264">
        <v>0.13639999999999999</v>
      </c>
      <c r="L264">
        <v>0.59</v>
      </c>
      <c r="M264">
        <v>0.32840000000000003</v>
      </c>
      <c r="N264">
        <v>3</v>
      </c>
      <c r="O264">
        <v>78</v>
      </c>
      <c r="P264">
        <v>81</v>
      </c>
      <c r="Q264" t="str">
        <f t="shared" si="16"/>
        <v>Weekday</v>
      </c>
      <c r="R264" t="str">
        <f t="shared" si="17"/>
        <v>Medium</v>
      </c>
      <c r="S264" s="10" t="str">
        <f t="shared" si="18"/>
        <v>Clear</v>
      </c>
      <c r="T264" s="10" t="str">
        <f t="shared" si="19"/>
        <v>Cold</v>
      </c>
    </row>
    <row r="265" spans="1:20" x14ac:dyDescent="0.3">
      <c r="A265">
        <v>264</v>
      </c>
      <c r="B265" t="s">
        <v>27</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16"/>
        <v>Weekday</v>
      </c>
      <c r="R265" t="str">
        <f t="shared" si="17"/>
        <v>Low</v>
      </c>
      <c r="S265" s="10" t="str">
        <f t="shared" si="18"/>
        <v>Clear</v>
      </c>
      <c r="T265" s="10" t="str">
        <f t="shared" si="19"/>
        <v>Cold</v>
      </c>
    </row>
    <row r="266" spans="1:20" x14ac:dyDescent="0.3">
      <c r="A266">
        <v>265</v>
      </c>
      <c r="B266" t="s">
        <v>27</v>
      </c>
      <c r="C266">
        <v>1</v>
      </c>
      <c r="D266">
        <v>0</v>
      </c>
      <c r="E266">
        <v>1</v>
      </c>
      <c r="F266">
        <v>11</v>
      </c>
      <c r="G266" t="b">
        <v>0</v>
      </c>
      <c r="H266">
        <v>3</v>
      </c>
      <c r="I266">
        <v>1</v>
      </c>
      <c r="J266">
        <v>0.2</v>
      </c>
      <c r="K266">
        <v>0.18179999999999999</v>
      </c>
      <c r="L266">
        <v>0.51</v>
      </c>
      <c r="M266">
        <v>0.3881</v>
      </c>
      <c r="N266">
        <v>3</v>
      </c>
      <c r="O266">
        <v>32</v>
      </c>
      <c r="P266">
        <v>35</v>
      </c>
      <c r="Q266" t="str">
        <f t="shared" si="16"/>
        <v>Weekday</v>
      </c>
      <c r="R266" t="str">
        <f t="shared" si="17"/>
        <v>Low</v>
      </c>
      <c r="S266" s="10" t="str">
        <f t="shared" si="18"/>
        <v>Clear</v>
      </c>
      <c r="T266" s="10" t="str">
        <f t="shared" si="19"/>
        <v>Cold</v>
      </c>
    </row>
    <row r="267" spans="1:20" x14ac:dyDescent="0.3">
      <c r="A267">
        <v>266</v>
      </c>
      <c r="B267" t="s">
        <v>27</v>
      </c>
      <c r="C267">
        <v>1</v>
      </c>
      <c r="D267">
        <v>0</v>
      </c>
      <c r="E267">
        <v>1</v>
      </c>
      <c r="F267">
        <v>12</v>
      </c>
      <c r="G267" t="b">
        <v>0</v>
      </c>
      <c r="H267">
        <v>3</v>
      </c>
      <c r="I267">
        <v>1</v>
      </c>
      <c r="J267">
        <v>0.2</v>
      </c>
      <c r="K267">
        <v>0.1515</v>
      </c>
      <c r="L267">
        <v>0.47</v>
      </c>
      <c r="M267">
        <v>0.58209999999999995</v>
      </c>
      <c r="N267">
        <v>3</v>
      </c>
      <c r="O267">
        <v>52</v>
      </c>
      <c r="P267">
        <v>55</v>
      </c>
      <c r="Q267" t="str">
        <f t="shared" si="16"/>
        <v>Weekday</v>
      </c>
      <c r="R267" t="str">
        <f t="shared" si="17"/>
        <v>Medium</v>
      </c>
      <c r="S267" s="10" t="str">
        <f t="shared" si="18"/>
        <v>Clear</v>
      </c>
      <c r="T267" s="10" t="str">
        <f t="shared" si="19"/>
        <v>Cold</v>
      </c>
    </row>
    <row r="268" spans="1:20" x14ac:dyDescent="0.3">
      <c r="A268">
        <v>267</v>
      </c>
      <c r="B268" t="s">
        <v>27</v>
      </c>
      <c r="C268">
        <v>1</v>
      </c>
      <c r="D268">
        <v>0</v>
      </c>
      <c r="E268">
        <v>1</v>
      </c>
      <c r="F268">
        <v>13</v>
      </c>
      <c r="G268" t="b">
        <v>0</v>
      </c>
      <c r="H268">
        <v>3</v>
      </c>
      <c r="I268">
        <v>1</v>
      </c>
      <c r="J268">
        <v>0.22</v>
      </c>
      <c r="K268">
        <v>0.19700000000000001</v>
      </c>
      <c r="L268">
        <v>0.44</v>
      </c>
      <c r="M268">
        <v>0.35820000000000002</v>
      </c>
      <c r="N268">
        <v>0</v>
      </c>
      <c r="O268">
        <v>49</v>
      </c>
      <c r="P268">
        <v>49</v>
      </c>
      <c r="Q268" t="str">
        <f t="shared" si="16"/>
        <v>Weekday</v>
      </c>
      <c r="R268" t="str">
        <f t="shared" si="17"/>
        <v>Low</v>
      </c>
      <c r="S268" s="10" t="str">
        <f t="shared" si="18"/>
        <v>Clear</v>
      </c>
      <c r="T268" s="10" t="str">
        <f t="shared" si="19"/>
        <v>Cold</v>
      </c>
    </row>
    <row r="269" spans="1:20" x14ac:dyDescent="0.3">
      <c r="A269">
        <v>268</v>
      </c>
      <c r="B269" t="s">
        <v>27</v>
      </c>
      <c r="C269">
        <v>1</v>
      </c>
      <c r="D269">
        <v>0</v>
      </c>
      <c r="E269">
        <v>1</v>
      </c>
      <c r="F269">
        <v>14</v>
      </c>
      <c r="G269" t="b">
        <v>0</v>
      </c>
      <c r="H269">
        <v>3</v>
      </c>
      <c r="I269">
        <v>1</v>
      </c>
      <c r="J269">
        <v>0.2</v>
      </c>
      <c r="K269">
        <v>0.18179999999999999</v>
      </c>
      <c r="L269">
        <v>0.47</v>
      </c>
      <c r="M269">
        <v>0.32840000000000003</v>
      </c>
      <c r="N269">
        <v>0</v>
      </c>
      <c r="O269">
        <v>44</v>
      </c>
      <c r="P269">
        <v>44</v>
      </c>
      <c r="Q269" t="str">
        <f t="shared" si="16"/>
        <v>Weekday</v>
      </c>
      <c r="R269" t="str">
        <f t="shared" si="17"/>
        <v>Low</v>
      </c>
      <c r="S269" s="10" t="str">
        <f t="shared" si="18"/>
        <v>Clear</v>
      </c>
      <c r="T269" s="10" t="str">
        <f t="shared" si="19"/>
        <v>Cold</v>
      </c>
    </row>
    <row r="270" spans="1:20" x14ac:dyDescent="0.3">
      <c r="A270">
        <v>269</v>
      </c>
      <c r="B270" t="s">
        <v>27</v>
      </c>
      <c r="C270">
        <v>1</v>
      </c>
      <c r="D270">
        <v>0</v>
      </c>
      <c r="E270">
        <v>1</v>
      </c>
      <c r="F270">
        <v>15</v>
      </c>
      <c r="G270" t="b">
        <v>0</v>
      </c>
      <c r="H270">
        <v>3</v>
      </c>
      <c r="I270">
        <v>1</v>
      </c>
      <c r="J270">
        <v>0.2</v>
      </c>
      <c r="K270">
        <v>0.16669999999999999</v>
      </c>
      <c r="L270">
        <v>0.47</v>
      </c>
      <c r="M270">
        <v>0.41789999999999999</v>
      </c>
      <c r="N270">
        <v>1</v>
      </c>
      <c r="O270">
        <v>48</v>
      </c>
      <c r="P270">
        <v>49</v>
      </c>
      <c r="Q270" t="str">
        <f t="shared" si="16"/>
        <v>Weekday</v>
      </c>
      <c r="R270" t="str">
        <f t="shared" si="17"/>
        <v>Low</v>
      </c>
      <c r="S270" s="10" t="str">
        <f t="shared" si="18"/>
        <v>Clear</v>
      </c>
      <c r="T270" s="10" t="str">
        <f t="shared" si="19"/>
        <v>Cold</v>
      </c>
    </row>
    <row r="271" spans="1:20" x14ac:dyDescent="0.3">
      <c r="A271">
        <v>270</v>
      </c>
      <c r="B271" t="s">
        <v>27</v>
      </c>
      <c r="C271">
        <v>1</v>
      </c>
      <c r="D271">
        <v>0</v>
      </c>
      <c r="E271">
        <v>1</v>
      </c>
      <c r="F271">
        <v>16</v>
      </c>
      <c r="G271" t="b">
        <v>0</v>
      </c>
      <c r="H271">
        <v>3</v>
      </c>
      <c r="I271">
        <v>1</v>
      </c>
      <c r="J271">
        <v>0.22</v>
      </c>
      <c r="K271">
        <v>0.19700000000000001</v>
      </c>
      <c r="L271">
        <v>0.44</v>
      </c>
      <c r="M271">
        <v>0.32840000000000003</v>
      </c>
      <c r="N271">
        <v>5</v>
      </c>
      <c r="O271">
        <v>63</v>
      </c>
      <c r="P271">
        <v>68</v>
      </c>
      <c r="Q271" t="str">
        <f t="shared" si="16"/>
        <v>Weekday</v>
      </c>
      <c r="R271" t="str">
        <f t="shared" si="17"/>
        <v>Medium</v>
      </c>
      <c r="S271" s="10" t="str">
        <f t="shared" si="18"/>
        <v>Clear</v>
      </c>
      <c r="T271" s="10" t="str">
        <f t="shared" si="19"/>
        <v>Cold</v>
      </c>
    </row>
    <row r="272" spans="1:20" x14ac:dyDescent="0.3">
      <c r="A272">
        <v>271</v>
      </c>
      <c r="B272" t="s">
        <v>27</v>
      </c>
      <c r="C272">
        <v>1</v>
      </c>
      <c r="D272">
        <v>0</v>
      </c>
      <c r="E272">
        <v>1</v>
      </c>
      <c r="F272">
        <v>17</v>
      </c>
      <c r="G272" t="b">
        <v>0</v>
      </c>
      <c r="H272">
        <v>3</v>
      </c>
      <c r="I272">
        <v>1</v>
      </c>
      <c r="J272">
        <v>0.2</v>
      </c>
      <c r="K272">
        <v>0.18179999999999999</v>
      </c>
      <c r="L272">
        <v>0.47</v>
      </c>
      <c r="M272">
        <v>0.35820000000000002</v>
      </c>
      <c r="N272">
        <v>0</v>
      </c>
      <c r="O272">
        <v>139</v>
      </c>
      <c r="P272">
        <v>139</v>
      </c>
      <c r="Q272" t="str">
        <f t="shared" si="16"/>
        <v>Weekday</v>
      </c>
      <c r="R272" t="str">
        <f t="shared" si="17"/>
        <v>Medium</v>
      </c>
      <c r="S272" s="10" t="str">
        <f t="shared" si="18"/>
        <v>Clear</v>
      </c>
      <c r="T272" s="10" t="str">
        <f t="shared" si="19"/>
        <v>Cold</v>
      </c>
    </row>
    <row r="273" spans="1:20" x14ac:dyDescent="0.3">
      <c r="A273">
        <v>272</v>
      </c>
      <c r="B273" t="s">
        <v>27</v>
      </c>
      <c r="C273">
        <v>1</v>
      </c>
      <c r="D273">
        <v>0</v>
      </c>
      <c r="E273">
        <v>1</v>
      </c>
      <c r="F273">
        <v>18</v>
      </c>
      <c r="G273" t="b">
        <v>0</v>
      </c>
      <c r="H273">
        <v>3</v>
      </c>
      <c r="I273">
        <v>1</v>
      </c>
      <c r="J273">
        <v>0.2</v>
      </c>
      <c r="K273">
        <v>0.1515</v>
      </c>
      <c r="L273">
        <v>0.47</v>
      </c>
      <c r="M273">
        <v>0.52239999999999998</v>
      </c>
      <c r="N273">
        <v>2</v>
      </c>
      <c r="O273">
        <v>135</v>
      </c>
      <c r="P273">
        <v>137</v>
      </c>
      <c r="Q273" t="str">
        <f t="shared" si="16"/>
        <v>Weekday</v>
      </c>
      <c r="R273" t="str">
        <f t="shared" si="17"/>
        <v>Medium</v>
      </c>
      <c r="S273" s="10" t="str">
        <f t="shared" si="18"/>
        <v>Clear</v>
      </c>
      <c r="T273" s="10" t="str">
        <f t="shared" si="19"/>
        <v>Cold</v>
      </c>
    </row>
    <row r="274" spans="1:20" x14ac:dyDescent="0.3">
      <c r="A274">
        <v>273</v>
      </c>
      <c r="B274" t="s">
        <v>27</v>
      </c>
      <c r="C274">
        <v>1</v>
      </c>
      <c r="D274">
        <v>0</v>
      </c>
      <c r="E274">
        <v>1</v>
      </c>
      <c r="F274">
        <v>19</v>
      </c>
      <c r="G274" t="b">
        <v>0</v>
      </c>
      <c r="H274">
        <v>3</v>
      </c>
      <c r="I274">
        <v>1</v>
      </c>
      <c r="J274">
        <v>0.18</v>
      </c>
      <c r="K274">
        <v>0.1515</v>
      </c>
      <c r="L274">
        <v>0.47</v>
      </c>
      <c r="M274">
        <v>0.41789999999999999</v>
      </c>
      <c r="N274">
        <v>1</v>
      </c>
      <c r="O274">
        <v>82</v>
      </c>
      <c r="P274">
        <v>83</v>
      </c>
      <c r="Q274" t="str">
        <f t="shared" si="16"/>
        <v>Weekday</v>
      </c>
      <c r="R274" t="str">
        <f t="shared" si="17"/>
        <v>Medium</v>
      </c>
      <c r="S274" s="10" t="str">
        <f t="shared" si="18"/>
        <v>Clear</v>
      </c>
      <c r="T274" s="10" t="str">
        <f t="shared" si="19"/>
        <v>Cold</v>
      </c>
    </row>
    <row r="275" spans="1:20" x14ac:dyDescent="0.3">
      <c r="A275">
        <v>274</v>
      </c>
      <c r="B275" t="s">
        <v>27</v>
      </c>
      <c r="C275">
        <v>1</v>
      </c>
      <c r="D275">
        <v>0</v>
      </c>
      <c r="E275">
        <v>1</v>
      </c>
      <c r="F275">
        <v>20</v>
      </c>
      <c r="G275" t="b">
        <v>0</v>
      </c>
      <c r="H275">
        <v>3</v>
      </c>
      <c r="I275">
        <v>1</v>
      </c>
      <c r="J275">
        <v>0.16</v>
      </c>
      <c r="K275">
        <v>0.13639999999999999</v>
      </c>
      <c r="L275">
        <v>0.5</v>
      </c>
      <c r="M275">
        <v>0.32840000000000003</v>
      </c>
      <c r="N275">
        <v>2</v>
      </c>
      <c r="O275">
        <v>54</v>
      </c>
      <c r="P275">
        <v>56</v>
      </c>
      <c r="Q275" t="str">
        <f t="shared" si="16"/>
        <v>Weekday</v>
      </c>
      <c r="R275" t="str">
        <f t="shared" si="17"/>
        <v>Medium</v>
      </c>
      <c r="S275" s="10" t="str">
        <f t="shared" si="18"/>
        <v>Clear</v>
      </c>
      <c r="T275" s="10" t="str">
        <f t="shared" si="19"/>
        <v>Cold</v>
      </c>
    </row>
    <row r="276" spans="1:20" x14ac:dyDescent="0.3">
      <c r="A276">
        <v>275</v>
      </c>
      <c r="B276" t="s">
        <v>27</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16"/>
        <v>Weekday</v>
      </c>
      <c r="R276" t="str">
        <f t="shared" si="17"/>
        <v>Medium</v>
      </c>
      <c r="S276" s="10" t="str">
        <f t="shared" si="18"/>
        <v>Clear</v>
      </c>
      <c r="T276" s="10" t="str">
        <f t="shared" si="19"/>
        <v>Cold</v>
      </c>
    </row>
    <row r="277" spans="1:20" x14ac:dyDescent="0.3">
      <c r="A277">
        <v>276</v>
      </c>
      <c r="B277" t="s">
        <v>27</v>
      </c>
      <c r="C277">
        <v>1</v>
      </c>
      <c r="D277">
        <v>0</v>
      </c>
      <c r="E277">
        <v>1</v>
      </c>
      <c r="F277">
        <v>22</v>
      </c>
      <c r="G277" t="b">
        <v>0</v>
      </c>
      <c r="H277">
        <v>3</v>
      </c>
      <c r="I277">
        <v>1</v>
      </c>
      <c r="J277">
        <v>0.16</v>
      </c>
      <c r="K277">
        <v>0.1212</v>
      </c>
      <c r="L277">
        <v>0.55000000000000004</v>
      </c>
      <c r="M277">
        <v>0.44779999999999998</v>
      </c>
      <c r="N277">
        <v>1</v>
      </c>
      <c r="O277">
        <v>32</v>
      </c>
      <c r="P277">
        <v>33</v>
      </c>
      <c r="Q277" t="str">
        <f t="shared" si="16"/>
        <v>Weekday</v>
      </c>
      <c r="R277" t="str">
        <f t="shared" si="17"/>
        <v>Low</v>
      </c>
      <c r="S277" s="10" t="str">
        <f t="shared" si="18"/>
        <v>Clear</v>
      </c>
      <c r="T277" s="10" t="str">
        <f t="shared" si="19"/>
        <v>Cold</v>
      </c>
    </row>
    <row r="278" spans="1:20" x14ac:dyDescent="0.3">
      <c r="A278">
        <v>277</v>
      </c>
      <c r="B278" t="s">
        <v>27</v>
      </c>
      <c r="C278">
        <v>1</v>
      </c>
      <c r="D278">
        <v>0</v>
      </c>
      <c r="E278">
        <v>1</v>
      </c>
      <c r="F278">
        <v>23</v>
      </c>
      <c r="G278" t="b">
        <v>0</v>
      </c>
      <c r="H278">
        <v>3</v>
      </c>
      <c r="I278">
        <v>1</v>
      </c>
      <c r="J278">
        <v>0.14000000000000001</v>
      </c>
      <c r="K278">
        <v>0.1061</v>
      </c>
      <c r="L278">
        <v>0.59</v>
      </c>
      <c r="M278">
        <v>0.41789999999999999</v>
      </c>
      <c r="N278">
        <v>1</v>
      </c>
      <c r="O278">
        <v>19</v>
      </c>
      <c r="P278">
        <v>20</v>
      </c>
      <c r="Q278" t="str">
        <f t="shared" si="16"/>
        <v>Weekday</v>
      </c>
      <c r="R278" t="str">
        <f t="shared" si="17"/>
        <v>Low</v>
      </c>
      <c r="S278" s="10" t="str">
        <f t="shared" si="18"/>
        <v>Clear</v>
      </c>
      <c r="T278" s="10" t="str">
        <f t="shared" si="19"/>
        <v>Cold</v>
      </c>
    </row>
    <row r="279" spans="1:20" x14ac:dyDescent="0.3">
      <c r="A279">
        <v>278</v>
      </c>
      <c r="B279" t="s">
        <v>28</v>
      </c>
      <c r="C279">
        <v>1</v>
      </c>
      <c r="D279">
        <v>0</v>
      </c>
      <c r="E279">
        <v>1</v>
      </c>
      <c r="F279">
        <v>0</v>
      </c>
      <c r="G279" t="b">
        <v>0</v>
      </c>
      <c r="H279">
        <v>4</v>
      </c>
      <c r="I279">
        <v>1</v>
      </c>
      <c r="J279">
        <v>0.14000000000000001</v>
      </c>
      <c r="K279">
        <v>0.1212</v>
      </c>
      <c r="L279">
        <v>0.59</v>
      </c>
      <c r="M279">
        <v>0.28360000000000002</v>
      </c>
      <c r="N279">
        <v>1</v>
      </c>
      <c r="O279">
        <v>6</v>
      </c>
      <c r="P279">
        <v>7</v>
      </c>
      <c r="Q279" t="str">
        <f t="shared" si="16"/>
        <v>Weekday</v>
      </c>
      <c r="R279" t="str">
        <f t="shared" si="17"/>
        <v>Low</v>
      </c>
      <c r="S279" s="10" t="str">
        <f t="shared" si="18"/>
        <v>Clear</v>
      </c>
      <c r="T279" s="10" t="str">
        <f t="shared" si="19"/>
        <v>Cold</v>
      </c>
    </row>
    <row r="280" spans="1:20" x14ac:dyDescent="0.3">
      <c r="A280">
        <v>279</v>
      </c>
      <c r="B280" t="s">
        <v>28</v>
      </c>
      <c r="C280">
        <v>1</v>
      </c>
      <c r="D280">
        <v>0</v>
      </c>
      <c r="E280">
        <v>1</v>
      </c>
      <c r="F280">
        <v>1</v>
      </c>
      <c r="G280" t="b">
        <v>0</v>
      </c>
      <c r="H280">
        <v>4</v>
      </c>
      <c r="I280">
        <v>1</v>
      </c>
      <c r="J280">
        <v>0.14000000000000001</v>
      </c>
      <c r="K280">
        <v>0.1212</v>
      </c>
      <c r="L280">
        <v>0.5</v>
      </c>
      <c r="M280">
        <v>0.28360000000000002</v>
      </c>
      <c r="N280">
        <v>0</v>
      </c>
      <c r="O280">
        <v>2</v>
      </c>
      <c r="P280">
        <v>2</v>
      </c>
      <c r="Q280" t="str">
        <f t="shared" si="16"/>
        <v>Weekday</v>
      </c>
      <c r="R280" t="str">
        <f t="shared" si="17"/>
        <v>Low</v>
      </c>
      <c r="S280" s="10" t="str">
        <f t="shared" si="18"/>
        <v>Clear</v>
      </c>
      <c r="T280" s="10" t="str">
        <f t="shared" si="19"/>
        <v>Cold</v>
      </c>
    </row>
    <row r="281" spans="1:20" x14ac:dyDescent="0.3">
      <c r="A281">
        <v>280</v>
      </c>
      <c r="B281" t="s">
        <v>28</v>
      </c>
      <c r="C281">
        <v>1</v>
      </c>
      <c r="D281">
        <v>0</v>
      </c>
      <c r="E281">
        <v>1</v>
      </c>
      <c r="F281">
        <v>2</v>
      </c>
      <c r="G281" t="b">
        <v>0</v>
      </c>
      <c r="H281">
        <v>4</v>
      </c>
      <c r="I281">
        <v>1</v>
      </c>
      <c r="J281">
        <v>0.14000000000000001</v>
      </c>
      <c r="K281">
        <v>0.1212</v>
      </c>
      <c r="L281">
        <v>0.5</v>
      </c>
      <c r="M281">
        <v>0.35820000000000002</v>
      </c>
      <c r="N281">
        <v>0</v>
      </c>
      <c r="O281">
        <v>2</v>
      </c>
      <c r="P281">
        <v>2</v>
      </c>
      <c r="Q281" t="str">
        <f t="shared" si="16"/>
        <v>Weekday</v>
      </c>
      <c r="R281" t="str">
        <f t="shared" si="17"/>
        <v>Low</v>
      </c>
      <c r="S281" s="10" t="str">
        <f t="shared" si="18"/>
        <v>Clear</v>
      </c>
      <c r="T281" s="10" t="str">
        <f t="shared" si="19"/>
        <v>Cold</v>
      </c>
    </row>
    <row r="282" spans="1:20" x14ac:dyDescent="0.3">
      <c r="A282">
        <v>281</v>
      </c>
      <c r="B282" t="s">
        <v>28</v>
      </c>
      <c r="C282">
        <v>1</v>
      </c>
      <c r="D282">
        <v>0</v>
      </c>
      <c r="E282">
        <v>1</v>
      </c>
      <c r="F282">
        <v>3</v>
      </c>
      <c r="G282" t="b">
        <v>0</v>
      </c>
      <c r="H282">
        <v>4</v>
      </c>
      <c r="I282">
        <v>1</v>
      </c>
      <c r="J282">
        <v>0.14000000000000001</v>
      </c>
      <c r="K282">
        <v>0.1212</v>
      </c>
      <c r="L282">
        <v>0.5</v>
      </c>
      <c r="M282">
        <v>0.32840000000000003</v>
      </c>
      <c r="N282">
        <v>0</v>
      </c>
      <c r="O282">
        <v>3</v>
      </c>
      <c r="P282">
        <v>3</v>
      </c>
      <c r="Q282" t="str">
        <f t="shared" si="16"/>
        <v>Weekday</v>
      </c>
      <c r="R282" t="str">
        <f t="shared" si="17"/>
        <v>Low</v>
      </c>
      <c r="S282" s="10" t="str">
        <f t="shared" si="18"/>
        <v>Clear</v>
      </c>
      <c r="T282" s="10" t="str">
        <f t="shared" si="19"/>
        <v>Cold</v>
      </c>
    </row>
    <row r="283" spans="1:20" x14ac:dyDescent="0.3">
      <c r="A283">
        <v>282</v>
      </c>
      <c r="B283" t="s">
        <v>28</v>
      </c>
      <c r="C283">
        <v>1</v>
      </c>
      <c r="D283">
        <v>0</v>
      </c>
      <c r="E283">
        <v>1</v>
      </c>
      <c r="F283">
        <v>4</v>
      </c>
      <c r="G283" t="b">
        <v>0</v>
      </c>
      <c r="H283">
        <v>4</v>
      </c>
      <c r="I283">
        <v>1</v>
      </c>
      <c r="J283">
        <v>0.14000000000000001</v>
      </c>
      <c r="K283">
        <v>0.1212</v>
      </c>
      <c r="L283">
        <v>0.5</v>
      </c>
      <c r="M283">
        <v>0.25369999999999998</v>
      </c>
      <c r="N283">
        <v>0</v>
      </c>
      <c r="O283">
        <v>4</v>
      </c>
      <c r="P283">
        <v>4</v>
      </c>
      <c r="Q283" t="str">
        <f t="shared" si="16"/>
        <v>Weekday</v>
      </c>
      <c r="R283" t="str">
        <f t="shared" si="17"/>
        <v>Low</v>
      </c>
      <c r="S283" s="10" t="str">
        <f t="shared" si="18"/>
        <v>Clear</v>
      </c>
      <c r="T283" s="10" t="str">
        <f t="shared" si="19"/>
        <v>Cold</v>
      </c>
    </row>
    <row r="284" spans="1:20" x14ac:dyDescent="0.3">
      <c r="A284">
        <v>283</v>
      </c>
      <c r="B284" t="s">
        <v>28</v>
      </c>
      <c r="C284">
        <v>1</v>
      </c>
      <c r="D284">
        <v>0</v>
      </c>
      <c r="E284">
        <v>1</v>
      </c>
      <c r="F284">
        <v>5</v>
      </c>
      <c r="G284" t="b">
        <v>0</v>
      </c>
      <c r="H284">
        <v>4</v>
      </c>
      <c r="I284">
        <v>1</v>
      </c>
      <c r="J284">
        <v>0.14000000000000001</v>
      </c>
      <c r="K284">
        <v>0.1212</v>
      </c>
      <c r="L284">
        <v>0.5</v>
      </c>
      <c r="M284">
        <v>0.29849999999999999</v>
      </c>
      <c r="N284">
        <v>0</v>
      </c>
      <c r="O284">
        <v>3</v>
      </c>
      <c r="P284">
        <v>3</v>
      </c>
      <c r="Q284" t="str">
        <f t="shared" si="16"/>
        <v>Weekday</v>
      </c>
      <c r="R284" t="str">
        <f t="shared" si="17"/>
        <v>Low</v>
      </c>
      <c r="S284" s="10" t="str">
        <f t="shared" si="18"/>
        <v>Clear</v>
      </c>
      <c r="T284" s="10" t="str">
        <f t="shared" si="19"/>
        <v>Cold</v>
      </c>
    </row>
    <row r="285" spans="1:20" x14ac:dyDescent="0.3">
      <c r="A285">
        <v>284</v>
      </c>
      <c r="B285" t="s">
        <v>28</v>
      </c>
      <c r="C285">
        <v>1</v>
      </c>
      <c r="D285">
        <v>0</v>
      </c>
      <c r="E285">
        <v>1</v>
      </c>
      <c r="F285">
        <v>6</v>
      </c>
      <c r="G285" t="b">
        <v>0</v>
      </c>
      <c r="H285">
        <v>4</v>
      </c>
      <c r="I285">
        <v>1</v>
      </c>
      <c r="J285">
        <v>0.12</v>
      </c>
      <c r="K285">
        <v>0.1515</v>
      </c>
      <c r="L285">
        <v>0.54</v>
      </c>
      <c r="M285">
        <v>0.1343</v>
      </c>
      <c r="N285">
        <v>0</v>
      </c>
      <c r="O285">
        <v>28</v>
      </c>
      <c r="P285">
        <v>28</v>
      </c>
      <c r="Q285" t="str">
        <f t="shared" si="16"/>
        <v>Weekday</v>
      </c>
      <c r="R285" t="str">
        <f t="shared" si="17"/>
        <v>Low</v>
      </c>
      <c r="S285" s="10" t="str">
        <f t="shared" si="18"/>
        <v>Clear</v>
      </c>
      <c r="T285" s="10" t="str">
        <f t="shared" si="19"/>
        <v>Cold</v>
      </c>
    </row>
    <row r="286" spans="1:20" x14ac:dyDescent="0.3">
      <c r="A286">
        <v>285</v>
      </c>
      <c r="B286" t="s">
        <v>28</v>
      </c>
      <c r="C286">
        <v>1</v>
      </c>
      <c r="D286">
        <v>0</v>
      </c>
      <c r="E286">
        <v>1</v>
      </c>
      <c r="F286">
        <v>7</v>
      </c>
      <c r="G286" t="b">
        <v>0</v>
      </c>
      <c r="H286">
        <v>4</v>
      </c>
      <c r="I286">
        <v>1</v>
      </c>
      <c r="J286">
        <v>0.12</v>
      </c>
      <c r="K286">
        <v>0.1515</v>
      </c>
      <c r="L286">
        <v>0.54</v>
      </c>
      <c r="M286">
        <v>0.1343</v>
      </c>
      <c r="N286">
        <v>0</v>
      </c>
      <c r="O286">
        <v>72</v>
      </c>
      <c r="P286">
        <v>72</v>
      </c>
      <c r="Q286" t="str">
        <f t="shared" si="16"/>
        <v>Weekday</v>
      </c>
      <c r="R286" t="str">
        <f t="shared" si="17"/>
        <v>Medium</v>
      </c>
      <c r="S286" s="10" t="str">
        <f t="shared" si="18"/>
        <v>Clear</v>
      </c>
      <c r="T286" s="10" t="str">
        <f t="shared" si="19"/>
        <v>Cold</v>
      </c>
    </row>
    <row r="287" spans="1:20" x14ac:dyDescent="0.3">
      <c r="A287">
        <v>286</v>
      </c>
      <c r="B287" t="s">
        <v>28</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16"/>
        <v>Weekday</v>
      </c>
      <c r="R287" t="str">
        <f t="shared" si="17"/>
        <v>High</v>
      </c>
      <c r="S287" s="10" t="str">
        <f t="shared" si="18"/>
        <v>Clear</v>
      </c>
      <c r="T287" s="10" t="str">
        <f t="shared" si="19"/>
        <v>Cold</v>
      </c>
    </row>
    <row r="288" spans="1:20" x14ac:dyDescent="0.3">
      <c r="A288">
        <v>287</v>
      </c>
      <c r="B288" t="s">
        <v>28</v>
      </c>
      <c r="C288">
        <v>1</v>
      </c>
      <c r="D288">
        <v>0</v>
      </c>
      <c r="E288">
        <v>1</v>
      </c>
      <c r="F288">
        <v>9</v>
      </c>
      <c r="G288" t="b">
        <v>0</v>
      </c>
      <c r="H288">
        <v>4</v>
      </c>
      <c r="I288">
        <v>1</v>
      </c>
      <c r="J288">
        <v>0.14000000000000001</v>
      </c>
      <c r="K288">
        <v>0.1212</v>
      </c>
      <c r="L288">
        <v>0.5</v>
      </c>
      <c r="M288">
        <v>0.32840000000000003</v>
      </c>
      <c r="N288">
        <v>2</v>
      </c>
      <c r="O288">
        <v>137</v>
      </c>
      <c r="P288">
        <v>139</v>
      </c>
      <c r="Q288" t="str">
        <f t="shared" si="16"/>
        <v>Weekday</v>
      </c>
      <c r="R288" t="str">
        <f t="shared" si="17"/>
        <v>Medium</v>
      </c>
      <c r="S288" s="10" t="str">
        <f t="shared" si="18"/>
        <v>Clear</v>
      </c>
      <c r="T288" s="10" t="str">
        <f t="shared" si="19"/>
        <v>Cold</v>
      </c>
    </row>
    <row r="289" spans="1:20" x14ac:dyDescent="0.3">
      <c r="A289">
        <v>288</v>
      </c>
      <c r="B289" t="s">
        <v>28</v>
      </c>
      <c r="C289">
        <v>1</v>
      </c>
      <c r="D289">
        <v>0</v>
      </c>
      <c r="E289">
        <v>1</v>
      </c>
      <c r="F289">
        <v>10</v>
      </c>
      <c r="G289" t="b">
        <v>0</v>
      </c>
      <c r="H289">
        <v>4</v>
      </c>
      <c r="I289">
        <v>2</v>
      </c>
      <c r="J289">
        <v>0.16</v>
      </c>
      <c r="K289">
        <v>0.13639999999999999</v>
      </c>
      <c r="L289">
        <v>0.5</v>
      </c>
      <c r="M289">
        <v>0.35820000000000002</v>
      </c>
      <c r="N289">
        <v>2</v>
      </c>
      <c r="O289">
        <v>36</v>
      </c>
      <c r="P289">
        <v>38</v>
      </c>
      <c r="Q289" t="str">
        <f t="shared" si="16"/>
        <v>Weekday</v>
      </c>
      <c r="R289" t="str">
        <f t="shared" si="17"/>
        <v>Low</v>
      </c>
      <c r="S289" s="10" t="str">
        <f t="shared" si="18"/>
        <v>Mist/Cloudy</v>
      </c>
      <c r="T289" s="10" t="str">
        <f t="shared" si="19"/>
        <v>Cold</v>
      </c>
    </row>
    <row r="290" spans="1:20" x14ac:dyDescent="0.3">
      <c r="A290">
        <v>289</v>
      </c>
      <c r="B290" t="s">
        <v>28</v>
      </c>
      <c r="C290">
        <v>1</v>
      </c>
      <c r="D290">
        <v>0</v>
      </c>
      <c r="E290">
        <v>1</v>
      </c>
      <c r="F290">
        <v>11</v>
      </c>
      <c r="G290" t="b">
        <v>0</v>
      </c>
      <c r="H290">
        <v>4</v>
      </c>
      <c r="I290">
        <v>2</v>
      </c>
      <c r="J290">
        <v>0.2</v>
      </c>
      <c r="K290">
        <v>0.16669999999999999</v>
      </c>
      <c r="L290">
        <v>0.44</v>
      </c>
      <c r="M290">
        <v>0.44779999999999998</v>
      </c>
      <c r="N290">
        <v>4</v>
      </c>
      <c r="O290">
        <v>33</v>
      </c>
      <c r="P290">
        <v>37</v>
      </c>
      <c r="Q290" t="str">
        <f t="shared" si="16"/>
        <v>Weekday</v>
      </c>
      <c r="R290" t="str">
        <f t="shared" si="17"/>
        <v>Low</v>
      </c>
      <c r="S290" s="10" t="str">
        <f t="shared" si="18"/>
        <v>Mist/Cloudy</v>
      </c>
      <c r="T290" s="10" t="str">
        <f t="shared" si="19"/>
        <v>Cold</v>
      </c>
    </row>
    <row r="291" spans="1:20" x14ac:dyDescent="0.3">
      <c r="A291">
        <v>290</v>
      </c>
      <c r="B291" t="s">
        <v>28</v>
      </c>
      <c r="C291">
        <v>1</v>
      </c>
      <c r="D291">
        <v>0</v>
      </c>
      <c r="E291">
        <v>1</v>
      </c>
      <c r="F291">
        <v>12</v>
      </c>
      <c r="G291" t="b">
        <v>0</v>
      </c>
      <c r="H291">
        <v>4</v>
      </c>
      <c r="I291">
        <v>1</v>
      </c>
      <c r="J291">
        <v>0.2</v>
      </c>
      <c r="K291">
        <v>0.16669999999999999</v>
      </c>
      <c r="L291">
        <v>0.44</v>
      </c>
      <c r="M291">
        <v>0.41789999999999999</v>
      </c>
      <c r="N291">
        <v>3</v>
      </c>
      <c r="O291">
        <v>49</v>
      </c>
      <c r="P291">
        <v>52</v>
      </c>
      <c r="Q291" t="str">
        <f t="shared" si="16"/>
        <v>Weekday</v>
      </c>
      <c r="R291" t="str">
        <f t="shared" si="17"/>
        <v>Medium</v>
      </c>
      <c r="S291" s="10" t="str">
        <f t="shared" si="18"/>
        <v>Clear</v>
      </c>
      <c r="T291" s="10" t="str">
        <f t="shared" si="19"/>
        <v>Cold</v>
      </c>
    </row>
    <row r="292" spans="1:20" x14ac:dyDescent="0.3">
      <c r="A292">
        <v>291</v>
      </c>
      <c r="B292" t="s">
        <v>28</v>
      </c>
      <c r="C292">
        <v>1</v>
      </c>
      <c r="D292">
        <v>0</v>
      </c>
      <c r="E292">
        <v>1</v>
      </c>
      <c r="F292">
        <v>13</v>
      </c>
      <c r="G292" t="b">
        <v>0</v>
      </c>
      <c r="H292">
        <v>4</v>
      </c>
      <c r="I292">
        <v>1</v>
      </c>
      <c r="J292">
        <v>0.22</v>
      </c>
      <c r="K292">
        <v>0.19700000000000001</v>
      </c>
      <c r="L292">
        <v>0.41</v>
      </c>
      <c r="M292">
        <v>0.44779999999999998</v>
      </c>
      <c r="N292">
        <v>2</v>
      </c>
      <c r="O292">
        <v>81</v>
      </c>
      <c r="P292">
        <v>83</v>
      </c>
      <c r="Q292" t="str">
        <f t="shared" si="16"/>
        <v>Weekday</v>
      </c>
      <c r="R292" t="str">
        <f t="shared" si="17"/>
        <v>Medium</v>
      </c>
      <c r="S292" s="10" t="str">
        <f t="shared" si="18"/>
        <v>Clear</v>
      </c>
      <c r="T292" s="10" t="str">
        <f t="shared" si="19"/>
        <v>Cold</v>
      </c>
    </row>
    <row r="293" spans="1:20" x14ac:dyDescent="0.3">
      <c r="A293">
        <v>292</v>
      </c>
      <c r="B293" t="s">
        <v>28</v>
      </c>
      <c r="C293">
        <v>1</v>
      </c>
      <c r="D293">
        <v>0</v>
      </c>
      <c r="E293">
        <v>1</v>
      </c>
      <c r="F293">
        <v>14</v>
      </c>
      <c r="G293" t="b">
        <v>0</v>
      </c>
      <c r="H293">
        <v>4</v>
      </c>
      <c r="I293">
        <v>1</v>
      </c>
      <c r="J293">
        <v>0.22</v>
      </c>
      <c r="K293">
        <v>0.19700000000000001</v>
      </c>
      <c r="L293">
        <v>0.41</v>
      </c>
      <c r="M293">
        <v>0.3881</v>
      </c>
      <c r="N293">
        <v>3</v>
      </c>
      <c r="O293">
        <v>39</v>
      </c>
      <c r="P293">
        <v>42</v>
      </c>
      <c r="Q293" t="str">
        <f t="shared" si="16"/>
        <v>Weekday</v>
      </c>
      <c r="R293" t="str">
        <f t="shared" si="17"/>
        <v>Low</v>
      </c>
      <c r="S293" s="10" t="str">
        <f t="shared" si="18"/>
        <v>Clear</v>
      </c>
      <c r="T293" s="10" t="str">
        <f t="shared" si="19"/>
        <v>Cold</v>
      </c>
    </row>
    <row r="294" spans="1:20" x14ac:dyDescent="0.3">
      <c r="A294">
        <v>293</v>
      </c>
      <c r="B294" t="s">
        <v>28</v>
      </c>
      <c r="C294">
        <v>1</v>
      </c>
      <c r="D294">
        <v>0</v>
      </c>
      <c r="E294">
        <v>1</v>
      </c>
      <c r="F294">
        <v>15</v>
      </c>
      <c r="G294" t="b">
        <v>0</v>
      </c>
      <c r="H294">
        <v>4</v>
      </c>
      <c r="I294">
        <v>1</v>
      </c>
      <c r="J294">
        <v>0.24</v>
      </c>
      <c r="K294">
        <v>0.21210000000000001</v>
      </c>
      <c r="L294">
        <v>0.38</v>
      </c>
      <c r="M294">
        <v>0.29849999999999999</v>
      </c>
      <c r="N294">
        <v>5</v>
      </c>
      <c r="O294">
        <v>55</v>
      </c>
      <c r="P294">
        <v>60</v>
      </c>
      <c r="Q294" t="str">
        <f t="shared" si="16"/>
        <v>Weekday</v>
      </c>
      <c r="R294" t="str">
        <f t="shared" si="17"/>
        <v>Medium</v>
      </c>
      <c r="S294" s="10" t="str">
        <f t="shared" si="18"/>
        <v>Clear</v>
      </c>
      <c r="T294" s="10" t="str">
        <f t="shared" si="19"/>
        <v>Cold</v>
      </c>
    </row>
    <row r="295" spans="1:20" x14ac:dyDescent="0.3">
      <c r="A295">
        <v>294</v>
      </c>
      <c r="B295" t="s">
        <v>28</v>
      </c>
      <c r="C295">
        <v>1</v>
      </c>
      <c r="D295">
        <v>0</v>
      </c>
      <c r="E295">
        <v>1</v>
      </c>
      <c r="F295">
        <v>16</v>
      </c>
      <c r="G295" t="b">
        <v>0</v>
      </c>
      <c r="H295">
        <v>4</v>
      </c>
      <c r="I295">
        <v>1</v>
      </c>
      <c r="J295">
        <v>0.24</v>
      </c>
      <c r="K295">
        <v>0.21210000000000001</v>
      </c>
      <c r="L295">
        <v>0.38</v>
      </c>
      <c r="M295">
        <v>0.35820000000000002</v>
      </c>
      <c r="N295">
        <v>2</v>
      </c>
      <c r="O295">
        <v>76</v>
      </c>
      <c r="P295">
        <v>78</v>
      </c>
      <c r="Q295" t="str">
        <f t="shared" si="16"/>
        <v>Weekday</v>
      </c>
      <c r="R295" t="str">
        <f t="shared" si="17"/>
        <v>Medium</v>
      </c>
      <c r="S295" s="10" t="str">
        <f t="shared" si="18"/>
        <v>Clear</v>
      </c>
      <c r="T295" s="10" t="str">
        <f t="shared" si="19"/>
        <v>Cold</v>
      </c>
    </row>
    <row r="296" spans="1:20" x14ac:dyDescent="0.3">
      <c r="A296">
        <v>295</v>
      </c>
      <c r="B296" t="s">
        <v>28</v>
      </c>
      <c r="C296">
        <v>1</v>
      </c>
      <c r="D296">
        <v>0</v>
      </c>
      <c r="E296">
        <v>1</v>
      </c>
      <c r="F296">
        <v>17</v>
      </c>
      <c r="G296" t="b">
        <v>0</v>
      </c>
      <c r="H296">
        <v>4</v>
      </c>
      <c r="I296">
        <v>1</v>
      </c>
      <c r="J296">
        <v>0.2</v>
      </c>
      <c r="K296">
        <v>0.18179999999999999</v>
      </c>
      <c r="L296">
        <v>0.4</v>
      </c>
      <c r="M296">
        <v>0.28360000000000002</v>
      </c>
      <c r="N296">
        <v>4</v>
      </c>
      <c r="O296">
        <v>158</v>
      </c>
      <c r="P296">
        <v>162</v>
      </c>
      <c r="Q296" t="str">
        <f t="shared" si="16"/>
        <v>Weekday</v>
      </c>
      <c r="R296" t="str">
        <f t="shared" si="17"/>
        <v>High</v>
      </c>
      <c r="S296" s="10" t="str">
        <f t="shared" si="18"/>
        <v>Clear</v>
      </c>
      <c r="T296" s="10" t="str">
        <f t="shared" si="19"/>
        <v>Cold</v>
      </c>
    </row>
    <row r="297" spans="1:20" x14ac:dyDescent="0.3">
      <c r="A297">
        <v>296</v>
      </c>
      <c r="B297" t="s">
        <v>28</v>
      </c>
      <c r="C297">
        <v>1</v>
      </c>
      <c r="D297">
        <v>0</v>
      </c>
      <c r="E297">
        <v>1</v>
      </c>
      <c r="F297">
        <v>18</v>
      </c>
      <c r="G297" t="b">
        <v>0</v>
      </c>
      <c r="H297">
        <v>4</v>
      </c>
      <c r="I297">
        <v>1</v>
      </c>
      <c r="J297">
        <v>0.2</v>
      </c>
      <c r="K297">
        <v>0.18179999999999999</v>
      </c>
      <c r="L297">
        <v>0.4</v>
      </c>
      <c r="M297">
        <v>0.32840000000000003</v>
      </c>
      <c r="N297">
        <v>3</v>
      </c>
      <c r="O297">
        <v>141</v>
      </c>
      <c r="P297">
        <v>144</v>
      </c>
      <c r="Q297" t="str">
        <f t="shared" si="16"/>
        <v>Weekday</v>
      </c>
      <c r="R297" t="str">
        <f t="shared" si="17"/>
        <v>Medium</v>
      </c>
      <c r="S297" s="10" t="str">
        <f t="shared" si="18"/>
        <v>Clear</v>
      </c>
      <c r="T297" s="10" t="str">
        <f t="shared" si="19"/>
        <v>Cold</v>
      </c>
    </row>
    <row r="298" spans="1:20" x14ac:dyDescent="0.3">
      <c r="A298">
        <v>297</v>
      </c>
      <c r="B298" t="s">
        <v>28</v>
      </c>
      <c r="C298">
        <v>1</v>
      </c>
      <c r="D298">
        <v>0</v>
      </c>
      <c r="E298">
        <v>1</v>
      </c>
      <c r="F298">
        <v>19</v>
      </c>
      <c r="G298" t="b">
        <v>0</v>
      </c>
      <c r="H298">
        <v>4</v>
      </c>
      <c r="I298">
        <v>1</v>
      </c>
      <c r="J298">
        <v>0.16</v>
      </c>
      <c r="K298">
        <v>0.1515</v>
      </c>
      <c r="L298">
        <v>0.47</v>
      </c>
      <c r="M298">
        <v>0.25369999999999998</v>
      </c>
      <c r="N298">
        <v>1</v>
      </c>
      <c r="O298">
        <v>98</v>
      </c>
      <c r="P298">
        <v>99</v>
      </c>
      <c r="Q298" t="str">
        <f t="shared" si="16"/>
        <v>Weekday</v>
      </c>
      <c r="R298" t="str">
        <f t="shared" si="17"/>
        <v>Medium</v>
      </c>
      <c r="S298" s="10" t="str">
        <f t="shared" si="18"/>
        <v>Clear</v>
      </c>
      <c r="T298" s="10" t="str">
        <f t="shared" si="19"/>
        <v>Cold</v>
      </c>
    </row>
    <row r="299" spans="1:20" x14ac:dyDescent="0.3">
      <c r="A299">
        <v>298</v>
      </c>
      <c r="B299" t="s">
        <v>28</v>
      </c>
      <c r="C299">
        <v>1</v>
      </c>
      <c r="D299">
        <v>0</v>
      </c>
      <c r="E299">
        <v>1</v>
      </c>
      <c r="F299">
        <v>20</v>
      </c>
      <c r="G299" t="b">
        <v>0</v>
      </c>
      <c r="H299">
        <v>4</v>
      </c>
      <c r="I299">
        <v>1</v>
      </c>
      <c r="J299">
        <v>0.16</v>
      </c>
      <c r="K299">
        <v>0.1515</v>
      </c>
      <c r="L299">
        <v>0.47</v>
      </c>
      <c r="M299">
        <v>0.22389999999999999</v>
      </c>
      <c r="N299">
        <v>0</v>
      </c>
      <c r="O299">
        <v>64</v>
      </c>
      <c r="P299">
        <v>64</v>
      </c>
      <c r="Q299" t="str">
        <f t="shared" si="16"/>
        <v>Weekday</v>
      </c>
      <c r="R299" t="str">
        <f t="shared" si="17"/>
        <v>Medium</v>
      </c>
      <c r="S299" s="10" t="str">
        <f t="shared" si="18"/>
        <v>Clear</v>
      </c>
      <c r="T299" s="10" t="str">
        <f t="shared" si="19"/>
        <v>Cold</v>
      </c>
    </row>
    <row r="300" spans="1:20" x14ac:dyDescent="0.3">
      <c r="A300">
        <v>299</v>
      </c>
      <c r="B300" t="s">
        <v>28</v>
      </c>
      <c r="C300">
        <v>1</v>
      </c>
      <c r="D300">
        <v>0</v>
      </c>
      <c r="E300">
        <v>1</v>
      </c>
      <c r="F300">
        <v>21</v>
      </c>
      <c r="G300" t="b">
        <v>0</v>
      </c>
      <c r="H300">
        <v>4</v>
      </c>
      <c r="I300">
        <v>1</v>
      </c>
      <c r="J300">
        <v>0.14000000000000001</v>
      </c>
      <c r="K300">
        <v>0.1212</v>
      </c>
      <c r="L300">
        <v>0.46</v>
      </c>
      <c r="M300">
        <v>0.29849999999999999</v>
      </c>
      <c r="N300">
        <v>0</v>
      </c>
      <c r="O300">
        <v>40</v>
      </c>
      <c r="P300">
        <v>40</v>
      </c>
      <c r="Q300" t="str">
        <f t="shared" si="16"/>
        <v>Weekday</v>
      </c>
      <c r="R300" t="str">
        <f t="shared" si="17"/>
        <v>Low</v>
      </c>
      <c r="S300" s="10" t="str">
        <f t="shared" si="18"/>
        <v>Clear</v>
      </c>
      <c r="T300" s="10" t="str">
        <f t="shared" si="19"/>
        <v>Cold</v>
      </c>
    </row>
    <row r="301" spans="1:20" x14ac:dyDescent="0.3">
      <c r="A301">
        <v>300</v>
      </c>
      <c r="B301" t="s">
        <v>28</v>
      </c>
      <c r="C301">
        <v>1</v>
      </c>
      <c r="D301">
        <v>0</v>
      </c>
      <c r="E301">
        <v>1</v>
      </c>
      <c r="F301">
        <v>22</v>
      </c>
      <c r="G301" t="b">
        <v>0</v>
      </c>
      <c r="H301">
        <v>4</v>
      </c>
      <c r="I301">
        <v>1</v>
      </c>
      <c r="J301">
        <v>0.14000000000000001</v>
      </c>
      <c r="K301">
        <v>0.1212</v>
      </c>
      <c r="L301">
        <v>0.46</v>
      </c>
      <c r="M301">
        <v>0.32840000000000003</v>
      </c>
      <c r="N301">
        <v>0</v>
      </c>
      <c r="O301">
        <v>30</v>
      </c>
      <c r="P301">
        <v>30</v>
      </c>
      <c r="Q301" t="str">
        <f t="shared" si="16"/>
        <v>Weekday</v>
      </c>
      <c r="R301" t="str">
        <f t="shared" si="17"/>
        <v>Low</v>
      </c>
      <c r="S301" s="10" t="str">
        <f t="shared" si="18"/>
        <v>Clear</v>
      </c>
      <c r="T301" s="10" t="str">
        <f t="shared" si="19"/>
        <v>Cold</v>
      </c>
    </row>
    <row r="302" spans="1:20" x14ac:dyDescent="0.3">
      <c r="A302">
        <v>301</v>
      </c>
      <c r="B302" t="s">
        <v>28</v>
      </c>
      <c r="C302">
        <v>1</v>
      </c>
      <c r="D302">
        <v>0</v>
      </c>
      <c r="E302">
        <v>1</v>
      </c>
      <c r="F302">
        <v>23</v>
      </c>
      <c r="G302" t="b">
        <v>0</v>
      </c>
      <c r="H302">
        <v>4</v>
      </c>
      <c r="I302">
        <v>1</v>
      </c>
      <c r="J302">
        <v>0.12</v>
      </c>
      <c r="K302">
        <v>0.13639999999999999</v>
      </c>
      <c r="L302">
        <v>0.5</v>
      </c>
      <c r="M302">
        <v>0.19400000000000001</v>
      </c>
      <c r="N302">
        <v>1</v>
      </c>
      <c r="O302">
        <v>14</v>
      </c>
      <c r="P302">
        <v>15</v>
      </c>
      <c r="Q302" t="str">
        <f t="shared" si="16"/>
        <v>Weekday</v>
      </c>
      <c r="R302" t="str">
        <f t="shared" si="17"/>
        <v>Low</v>
      </c>
      <c r="S302" s="10" t="str">
        <f t="shared" si="18"/>
        <v>Clear</v>
      </c>
      <c r="T302" s="10" t="str">
        <f t="shared" si="19"/>
        <v>Cold</v>
      </c>
    </row>
    <row r="303" spans="1:20" x14ac:dyDescent="0.3">
      <c r="A303">
        <v>302</v>
      </c>
      <c r="B303" t="s">
        <v>29</v>
      </c>
      <c r="C303">
        <v>1</v>
      </c>
      <c r="D303">
        <v>0</v>
      </c>
      <c r="E303">
        <v>1</v>
      </c>
      <c r="F303">
        <v>0</v>
      </c>
      <c r="G303" t="b">
        <v>0</v>
      </c>
      <c r="H303">
        <v>5</v>
      </c>
      <c r="I303">
        <v>1</v>
      </c>
      <c r="J303">
        <v>0.12</v>
      </c>
      <c r="K303">
        <v>0.13639999999999999</v>
      </c>
      <c r="L303">
        <v>0.5</v>
      </c>
      <c r="M303">
        <v>0.19400000000000001</v>
      </c>
      <c r="N303">
        <v>0</v>
      </c>
      <c r="O303">
        <v>14</v>
      </c>
      <c r="P303">
        <v>14</v>
      </c>
      <c r="Q303" t="str">
        <f t="shared" si="16"/>
        <v>Weekday</v>
      </c>
      <c r="R303" t="str">
        <f t="shared" si="17"/>
        <v>Low</v>
      </c>
      <c r="S303" s="10" t="str">
        <f t="shared" si="18"/>
        <v>Clear</v>
      </c>
      <c r="T303" s="10" t="str">
        <f t="shared" si="19"/>
        <v>Cold</v>
      </c>
    </row>
    <row r="304" spans="1:20" x14ac:dyDescent="0.3">
      <c r="A304">
        <v>303</v>
      </c>
      <c r="B304" t="s">
        <v>29</v>
      </c>
      <c r="C304">
        <v>1</v>
      </c>
      <c r="D304">
        <v>0</v>
      </c>
      <c r="E304">
        <v>1</v>
      </c>
      <c r="F304">
        <v>1</v>
      </c>
      <c r="G304" t="b">
        <v>0</v>
      </c>
      <c r="H304">
        <v>5</v>
      </c>
      <c r="I304">
        <v>1</v>
      </c>
      <c r="J304">
        <v>0.1</v>
      </c>
      <c r="K304">
        <v>0.1212</v>
      </c>
      <c r="L304">
        <v>0.54</v>
      </c>
      <c r="M304">
        <v>0.16420000000000001</v>
      </c>
      <c r="N304">
        <v>0</v>
      </c>
      <c r="O304">
        <v>5</v>
      </c>
      <c r="P304">
        <v>5</v>
      </c>
      <c r="Q304" t="str">
        <f t="shared" si="16"/>
        <v>Weekday</v>
      </c>
      <c r="R304" t="str">
        <f t="shared" si="17"/>
        <v>Low</v>
      </c>
      <c r="S304" s="10" t="str">
        <f t="shared" si="18"/>
        <v>Clear</v>
      </c>
      <c r="T304" s="10" t="str">
        <f t="shared" si="19"/>
        <v>Cold</v>
      </c>
    </row>
    <row r="305" spans="1:20" x14ac:dyDescent="0.3">
      <c r="A305">
        <v>304</v>
      </c>
      <c r="B305" t="s">
        <v>29</v>
      </c>
      <c r="C305">
        <v>1</v>
      </c>
      <c r="D305">
        <v>0</v>
      </c>
      <c r="E305">
        <v>1</v>
      </c>
      <c r="F305">
        <v>2</v>
      </c>
      <c r="G305" t="b">
        <v>0</v>
      </c>
      <c r="H305">
        <v>5</v>
      </c>
      <c r="I305">
        <v>1</v>
      </c>
      <c r="J305">
        <v>0.1</v>
      </c>
      <c r="K305">
        <v>0.1212</v>
      </c>
      <c r="L305">
        <v>0.54</v>
      </c>
      <c r="M305">
        <v>0.1343</v>
      </c>
      <c r="N305">
        <v>0</v>
      </c>
      <c r="O305">
        <v>1</v>
      </c>
      <c r="P305">
        <v>1</v>
      </c>
      <c r="Q305" t="str">
        <f t="shared" si="16"/>
        <v>Weekday</v>
      </c>
      <c r="R305" t="str">
        <f t="shared" si="17"/>
        <v>Low</v>
      </c>
      <c r="S305" s="10" t="str">
        <f t="shared" si="18"/>
        <v>Clear</v>
      </c>
      <c r="T305" s="10" t="str">
        <f t="shared" si="19"/>
        <v>Cold</v>
      </c>
    </row>
    <row r="306" spans="1:20" x14ac:dyDescent="0.3">
      <c r="A306">
        <v>305</v>
      </c>
      <c r="B306" t="s">
        <v>29</v>
      </c>
      <c r="C306">
        <v>1</v>
      </c>
      <c r="D306">
        <v>0</v>
      </c>
      <c r="E306">
        <v>1</v>
      </c>
      <c r="F306">
        <v>3</v>
      </c>
      <c r="G306" t="b">
        <v>0</v>
      </c>
      <c r="H306">
        <v>5</v>
      </c>
      <c r="I306">
        <v>1</v>
      </c>
      <c r="J306">
        <v>0.1</v>
      </c>
      <c r="K306">
        <v>0.13639999999999999</v>
      </c>
      <c r="L306">
        <v>0.54</v>
      </c>
      <c r="M306">
        <v>0.1045</v>
      </c>
      <c r="N306">
        <v>0</v>
      </c>
      <c r="O306">
        <v>1</v>
      </c>
      <c r="P306">
        <v>1</v>
      </c>
      <c r="Q306" t="str">
        <f t="shared" si="16"/>
        <v>Weekday</v>
      </c>
      <c r="R306" t="str">
        <f t="shared" si="17"/>
        <v>Low</v>
      </c>
      <c r="S306" s="10" t="str">
        <f t="shared" si="18"/>
        <v>Clear</v>
      </c>
      <c r="T306" s="10" t="str">
        <f t="shared" si="19"/>
        <v>Cold</v>
      </c>
    </row>
    <row r="307" spans="1:20" x14ac:dyDescent="0.3">
      <c r="A307">
        <v>306</v>
      </c>
      <c r="B307" t="s">
        <v>29</v>
      </c>
      <c r="C307">
        <v>1</v>
      </c>
      <c r="D307">
        <v>0</v>
      </c>
      <c r="E307">
        <v>1</v>
      </c>
      <c r="F307">
        <v>5</v>
      </c>
      <c r="G307" t="b">
        <v>0</v>
      </c>
      <c r="H307">
        <v>5</v>
      </c>
      <c r="I307">
        <v>1</v>
      </c>
      <c r="J307">
        <v>0.1</v>
      </c>
      <c r="K307">
        <v>0.13639999999999999</v>
      </c>
      <c r="L307">
        <v>0.54</v>
      </c>
      <c r="M307">
        <v>8.9599999999999999E-2</v>
      </c>
      <c r="N307">
        <v>0</v>
      </c>
      <c r="O307">
        <v>8</v>
      </c>
      <c r="P307">
        <v>8</v>
      </c>
      <c r="Q307" t="str">
        <f t="shared" si="16"/>
        <v>Weekday</v>
      </c>
      <c r="R307" t="str">
        <f t="shared" si="17"/>
        <v>Low</v>
      </c>
      <c r="S307" s="10" t="str">
        <f t="shared" si="18"/>
        <v>Clear</v>
      </c>
      <c r="T307" s="10" t="str">
        <f t="shared" si="19"/>
        <v>Cold</v>
      </c>
    </row>
    <row r="308" spans="1:20" x14ac:dyDescent="0.3">
      <c r="A308">
        <v>307</v>
      </c>
      <c r="B308" t="s">
        <v>29</v>
      </c>
      <c r="C308">
        <v>1</v>
      </c>
      <c r="D308">
        <v>0</v>
      </c>
      <c r="E308">
        <v>1</v>
      </c>
      <c r="F308">
        <v>6</v>
      </c>
      <c r="G308" t="b">
        <v>0</v>
      </c>
      <c r="H308">
        <v>5</v>
      </c>
      <c r="I308">
        <v>1</v>
      </c>
      <c r="J308">
        <v>0.1</v>
      </c>
      <c r="K308">
        <v>0.18179999999999999</v>
      </c>
      <c r="L308">
        <v>0.54</v>
      </c>
      <c r="M308">
        <v>0</v>
      </c>
      <c r="N308">
        <v>0</v>
      </c>
      <c r="O308">
        <v>17</v>
      </c>
      <c r="P308">
        <v>17</v>
      </c>
      <c r="Q308" t="str">
        <f t="shared" si="16"/>
        <v>Weekday</v>
      </c>
      <c r="R308" t="str">
        <f t="shared" si="17"/>
        <v>Low</v>
      </c>
      <c r="S308" s="10" t="str">
        <f t="shared" si="18"/>
        <v>Clear</v>
      </c>
      <c r="T308" s="10" t="str">
        <f t="shared" si="19"/>
        <v>Cold</v>
      </c>
    </row>
    <row r="309" spans="1:20" x14ac:dyDescent="0.3">
      <c r="A309">
        <v>308</v>
      </c>
      <c r="B309" t="s">
        <v>29</v>
      </c>
      <c r="C309">
        <v>1</v>
      </c>
      <c r="D309">
        <v>0</v>
      </c>
      <c r="E309">
        <v>1</v>
      </c>
      <c r="F309">
        <v>7</v>
      </c>
      <c r="G309" t="b">
        <v>0</v>
      </c>
      <c r="H309">
        <v>5</v>
      </c>
      <c r="I309">
        <v>1</v>
      </c>
      <c r="J309">
        <v>0.1</v>
      </c>
      <c r="K309">
        <v>0.1212</v>
      </c>
      <c r="L309">
        <v>0.74</v>
      </c>
      <c r="M309">
        <v>0.16420000000000001</v>
      </c>
      <c r="N309">
        <v>0</v>
      </c>
      <c r="O309">
        <v>70</v>
      </c>
      <c r="P309">
        <v>70</v>
      </c>
      <c r="Q309" t="str">
        <f t="shared" si="16"/>
        <v>Weekday</v>
      </c>
      <c r="R309" t="str">
        <f t="shared" si="17"/>
        <v>Medium</v>
      </c>
      <c r="S309" s="10" t="str">
        <f t="shared" si="18"/>
        <v>Clear</v>
      </c>
      <c r="T309" s="10" t="str">
        <f t="shared" si="19"/>
        <v>Cold</v>
      </c>
    </row>
    <row r="310" spans="1:20" x14ac:dyDescent="0.3">
      <c r="A310">
        <v>309</v>
      </c>
      <c r="B310" t="s">
        <v>29</v>
      </c>
      <c r="C310">
        <v>1</v>
      </c>
      <c r="D310">
        <v>0</v>
      </c>
      <c r="E310">
        <v>1</v>
      </c>
      <c r="F310">
        <v>8</v>
      </c>
      <c r="G310" t="b">
        <v>0</v>
      </c>
      <c r="H310">
        <v>5</v>
      </c>
      <c r="I310">
        <v>1</v>
      </c>
      <c r="J310">
        <v>0.12</v>
      </c>
      <c r="K310">
        <v>0.16669999999999999</v>
      </c>
      <c r="L310">
        <v>0.68</v>
      </c>
      <c r="M310">
        <v>0</v>
      </c>
      <c r="N310">
        <v>2</v>
      </c>
      <c r="O310">
        <v>156</v>
      </c>
      <c r="P310">
        <v>158</v>
      </c>
      <c r="Q310" t="str">
        <f t="shared" si="16"/>
        <v>Weekday</v>
      </c>
      <c r="R310" t="str">
        <f t="shared" si="17"/>
        <v>High</v>
      </c>
      <c r="S310" s="10" t="str">
        <f t="shared" si="18"/>
        <v>Clear</v>
      </c>
      <c r="T310" s="10" t="str">
        <f t="shared" si="19"/>
        <v>Cold</v>
      </c>
    </row>
    <row r="311" spans="1:20" x14ac:dyDescent="0.3">
      <c r="A311">
        <v>310</v>
      </c>
      <c r="B311" t="s">
        <v>29</v>
      </c>
      <c r="C311">
        <v>1</v>
      </c>
      <c r="D311">
        <v>0</v>
      </c>
      <c r="E311">
        <v>1</v>
      </c>
      <c r="F311">
        <v>9</v>
      </c>
      <c r="G311" t="b">
        <v>0</v>
      </c>
      <c r="H311">
        <v>5</v>
      </c>
      <c r="I311">
        <v>1</v>
      </c>
      <c r="J311">
        <v>0.14000000000000001</v>
      </c>
      <c r="K311">
        <v>0.1515</v>
      </c>
      <c r="L311">
        <v>0.69</v>
      </c>
      <c r="M311">
        <v>0.1343</v>
      </c>
      <c r="N311">
        <v>0</v>
      </c>
      <c r="O311">
        <v>117</v>
      </c>
      <c r="P311">
        <v>117</v>
      </c>
      <c r="Q311" t="str">
        <f t="shared" si="16"/>
        <v>Weekday</v>
      </c>
      <c r="R311" t="str">
        <f t="shared" si="17"/>
        <v>Medium</v>
      </c>
      <c r="S311" s="10" t="str">
        <f t="shared" si="18"/>
        <v>Clear</v>
      </c>
      <c r="T311" s="10" t="str">
        <f t="shared" si="19"/>
        <v>Cold</v>
      </c>
    </row>
    <row r="312" spans="1:20" x14ac:dyDescent="0.3">
      <c r="A312">
        <v>311</v>
      </c>
      <c r="B312" t="s">
        <v>29</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16"/>
        <v>Weekday</v>
      </c>
      <c r="R312" t="str">
        <f t="shared" si="17"/>
        <v>Low</v>
      </c>
      <c r="S312" s="10" t="str">
        <f t="shared" si="18"/>
        <v>Clear</v>
      </c>
      <c r="T312" s="10" t="str">
        <f t="shared" si="19"/>
        <v>Cold</v>
      </c>
    </row>
    <row r="313" spans="1:20" x14ac:dyDescent="0.3">
      <c r="A313">
        <v>312</v>
      </c>
      <c r="B313" t="s">
        <v>29</v>
      </c>
      <c r="C313">
        <v>1</v>
      </c>
      <c r="D313">
        <v>0</v>
      </c>
      <c r="E313">
        <v>1</v>
      </c>
      <c r="F313">
        <v>11</v>
      </c>
      <c r="G313" t="b">
        <v>0</v>
      </c>
      <c r="H313">
        <v>5</v>
      </c>
      <c r="I313">
        <v>1</v>
      </c>
      <c r="J313">
        <v>0.18</v>
      </c>
      <c r="K313">
        <v>0.16669999999999999</v>
      </c>
      <c r="L313">
        <v>0.51</v>
      </c>
      <c r="M313">
        <v>0.28360000000000002</v>
      </c>
      <c r="N313">
        <v>6</v>
      </c>
      <c r="O313">
        <v>47</v>
      </c>
      <c r="P313">
        <v>53</v>
      </c>
      <c r="Q313" t="str">
        <f t="shared" si="16"/>
        <v>Weekday</v>
      </c>
      <c r="R313" t="str">
        <f t="shared" si="17"/>
        <v>Medium</v>
      </c>
      <c r="S313" s="10" t="str">
        <f t="shared" si="18"/>
        <v>Clear</v>
      </c>
      <c r="T313" s="10" t="str">
        <f t="shared" si="19"/>
        <v>Cold</v>
      </c>
    </row>
    <row r="314" spans="1:20" x14ac:dyDescent="0.3">
      <c r="A314">
        <v>313</v>
      </c>
      <c r="B314" t="s">
        <v>29</v>
      </c>
      <c r="C314">
        <v>1</v>
      </c>
      <c r="D314">
        <v>0</v>
      </c>
      <c r="E314">
        <v>1</v>
      </c>
      <c r="F314">
        <v>12</v>
      </c>
      <c r="G314" t="b">
        <v>0</v>
      </c>
      <c r="H314">
        <v>5</v>
      </c>
      <c r="I314">
        <v>1</v>
      </c>
      <c r="J314">
        <v>0.2</v>
      </c>
      <c r="K314">
        <v>0.19700000000000001</v>
      </c>
      <c r="L314">
        <v>0.44</v>
      </c>
      <c r="M314">
        <v>0.25369999999999998</v>
      </c>
      <c r="N314">
        <v>2</v>
      </c>
      <c r="O314">
        <v>59</v>
      </c>
      <c r="P314">
        <v>61</v>
      </c>
      <c r="Q314" t="str">
        <f t="shared" si="16"/>
        <v>Weekday</v>
      </c>
      <c r="R314" t="str">
        <f t="shared" si="17"/>
        <v>Medium</v>
      </c>
      <c r="S314" s="10" t="str">
        <f t="shared" si="18"/>
        <v>Clear</v>
      </c>
      <c r="T314" s="10" t="str">
        <f t="shared" si="19"/>
        <v>Cold</v>
      </c>
    </row>
    <row r="315" spans="1:20" x14ac:dyDescent="0.3">
      <c r="A315">
        <v>314</v>
      </c>
      <c r="B315" t="s">
        <v>29</v>
      </c>
      <c r="C315">
        <v>1</v>
      </c>
      <c r="D315">
        <v>0</v>
      </c>
      <c r="E315">
        <v>1</v>
      </c>
      <c r="F315">
        <v>13</v>
      </c>
      <c r="G315" t="b">
        <v>0</v>
      </c>
      <c r="H315">
        <v>5</v>
      </c>
      <c r="I315">
        <v>1</v>
      </c>
      <c r="J315">
        <v>0.22</v>
      </c>
      <c r="K315">
        <v>0.19700000000000001</v>
      </c>
      <c r="L315">
        <v>0.37</v>
      </c>
      <c r="M315">
        <v>0.3881</v>
      </c>
      <c r="N315">
        <v>4</v>
      </c>
      <c r="O315">
        <v>73</v>
      </c>
      <c r="P315">
        <v>77</v>
      </c>
      <c r="Q315" t="str">
        <f t="shared" si="16"/>
        <v>Weekday</v>
      </c>
      <c r="R315" t="str">
        <f t="shared" si="17"/>
        <v>Medium</v>
      </c>
      <c r="S315" s="10" t="str">
        <f t="shared" si="18"/>
        <v>Clear</v>
      </c>
      <c r="T315" s="10" t="str">
        <f t="shared" si="19"/>
        <v>Cold</v>
      </c>
    </row>
    <row r="316" spans="1:20" x14ac:dyDescent="0.3">
      <c r="A316">
        <v>315</v>
      </c>
      <c r="B316" t="s">
        <v>29</v>
      </c>
      <c r="C316">
        <v>1</v>
      </c>
      <c r="D316">
        <v>0</v>
      </c>
      <c r="E316">
        <v>1</v>
      </c>
      <c r="F316">
        <v>14</v>
      </c>
      <c r="G316" t="b">
        <v>0</v>
      </c>
      <c r="H316">
        <v>5</v>
      </c>
      <c r="I316">
        <v>1</v>
      </c>
      <c r="J316">
        <v>0.22</v>
      </c>
      <c r="K316">
        <v>0.21210000000000001</v>
      </c>
      <c r="L316">
        <v>0.41</v>
      </c>
      <c r="M316">
        <v>0.28360000000000002</v>
      </c>
      <c r="N316">
        <v>5</v>
      </c>
      <c r="O316">
        <v>59</v>
      </c>
      <c r="P316">
        <v>64</v>
      </c>
      <c r="Q316" t="str">
        <f t="shared" si="16"/>
        <v>Weekday</v>
      </c>
      <c r="R316" t="str">
        <f t="shared" si="17"/>
        <v>Medium</v>
      </c>
      <c r="S316" s="10" t="str">
        <f t="shared" si="18"/>
        <v>Clear</v>
      </c>
      <c r="T316" s="10" t="str">
        <f t="shared" si="19"/>
        <v>Cold</v>
      </c>
    </row>
    <row r="317" spans="1:20" x14ac:dyDescent="0.3">
      <c r="A317">
        <v>316</v>
      </c>
      <c r="B317" t="s">
        <v>29</v>
      </c>
      <c r="C317">
        <v>1</v>
      </c>
      <c r="D317">
        <v>0</v>
      </c>
      <c r="E317">
        <v>1</v>
      </c>
      <c r="F317">
        <v>15</v>
      </c>
      <c r="G317" t="b">
        <v>0</v>
      </c>
      <c r="H317">
        <v>5</v>
      </c>
      <c r="I317">
        <v>1</v>
      </c>
      <c r="J317">
        <v>0.24</v>
      </c>
      <c r="K317">
        <v>0.2424</v>
      </c>
      <c r="L317">
        <v>0.38</v>
      </c>
      <c r="M317">
        <v>0.16420000000000001</v>
      </c>
      <c r="N317">
        <v>9</v>
      </c>
      <c r="O317">
        <v>59</v>
      </c>
      <c r="P317">
        <v>68</v>
      </c>
      <c r="Q317" t="str">
        <f t="shared" si="16"/>
        <v>Weekday</v>
      </c>
      <c r="R317" t="str">
        <f t="shared" si="17"/>
        <v>Medium</v>
      </c>
      <c r="S317" s="10" t="str">
        <f t="shared" si="18"/>
        <v>Clear</v>
      </c>
      <c r="T317" s="10" t="str">
        <f t="shared" si="19"/>
        <v>Cold</v>
      </c>
    </row>
    <row r="318" spans="1:20" x14ac:dyDescent="0.3">
      <c r="A318">
        <v>317</v>
      </c>
      <c r="B318" t="s">
        <v>29</v>
      </c>
      <c r="C318">
        <v>1</v>
      </c>
      <c r="D318">
        <v>0</v>
      </c>
      <c r="E318">
        <v>1</v>
      </c>
      <c r="F318">
        <v>16</v>
      </c>
      <c r="G318" t="b">
        <v>0</v>
      </c>
      <c r="H318">
        <v>5</v>
      </c>
      <c r="I318">
        <v>1</v>
      </c>
      <c r="J318">
        <v>0.22</v>
      </c>
      <c r="K318">
        <v>0.2424</v>
      </c>
      <c r="L318">
        <v>0.41</v>
      </c>
      <c r="M318">
        <v>0.1045</v>
      </c>
      <c r="N318">
        <v>3</v>
      </c>
      <c r="O318">
        <v>87</v>
      </c>
      <c r="P318">
        <v>90</v>
      </c>
      <c r="Q318" t="str">
        <f t="shared" si="16"/>
        <v>Weekday</v>
      </c>
      <c r="R318" t="str">
        <f t="shared" si="17"/>
        <v>Medium</v>
      </c>
      <c r="S318" s="10" t="str">
        <f t="shared" si="18"/>
        <v>Clear</v>
      </c>
      <c r="T318" s="10" t="str">
        <f t="shared" si="19"/>
        <v>Cold</v>
      </c>
    </row>
    <row r="319" spans="1:20" x14ac:dyDescent="0.3">
      <c r="A319">
        <v>318</v>
      </c>
      <c r="B319" t="s">
        <v>29</v>
      </c>
      <c r="C319">
        <v>1</v>
      </c>
      <c r="D319">
        <v>0</v>
      </c>
      <c r="E319">
        <v>1</v>
      </c>
      <c r="F319">
        <v>17</v>
      </c>
      <c r="G319" t="b">
        <v>0</v>
      </c>
      <c r="H319">
        <v>5</v>
      </c>
      <c r="I319">
        <v>1</v>
      </c>
      <c r="J319">
        <v>0.22</v>
      </c>
      <c r="K319">
        <v>0.2273</v>
      </c>
      <c r="L319">
        <v>0.41</v>
      </c>
      <c r="M319">
        <v>0.16420000000000001</v>
      </c>
      <c r="N319">
        <v>4</v>
      </c>
      <c r="O319">
        <v>155</v>
      </c>
      <c r="P319">
        <v>159</v>
      </c>
      <c r="Q319" t="str">
        <f t="shared" si="16"/>
        <v>Weekday</v>
      </c>
      <c r="R319" t="str">
        <f t="shared" si="17"/>
        <v>High</v>
      </c>
      <c r="S319" s="10" t="str">
        <f t="shared" si="18"/>
        <v>Clear</v>
      </c>
      <c r="T319" s="10" t="str">
        <f t="shared" si="19"/>
        <v>Cold</v>
      </c>
    </row>
    <row r="320" spans="1:20" x14ac:dyDescent="0.3">
      <c r="A320">
        <v>319</v>
      </c>
      <c r="B320" t="s">
        <v>29</v>
      </c>
      <c r="C320">
        <v>1</v>
      </c>
      <c r="D320">
        <v>0</v>
      </c>
      <c r="E320">
        <v>1</v>
      </c>
      <c r="F320">
        <v>18</v>
      </c>
      <c r="G320" t="b">
        <v>0</v>
      </c>
      <c r="H320">
        <v>5</v>
      </c>
      <c r="I320">
        <v>1</v>
      </c>
      <c r="J320">
        <v>0.2</v>
      </c>
      <c r="K320">
        <v>0.2576</v>
      </c>
      <c r="L320">
        <v>0.47</v>
      </c>
      <c r="M320">
        <v>0</v>
      </c>
      <c r="N320">
        <v>5</v>
      </c>
      <c r="O320">
        <v>134</v>
      </c>
      <c r="P320">
        <v>139</v>
      </c>
      <c r="Q320" t="str">
        <f t="shared" si="16"/>
        <v>Weekday</v>
      </c>
      <c r="R320" t="str">
        <f t="shared" si="17"/>
        <v>Medium</v>
      </c>
      <c r="S320" s="10" t="str">
        <f t="shared" si="18"/>
        <v>Clear</v>
      </c>
      <c r="T320" s="10" t="str">
        <f t="shared" si="19"/>
        <v>Cold</v>
      </c>
    </row>
    <row r="321" spans="1:20" x14ac:dyDescent="0.3">
      <c r="A321">
        <v>320</v>
      </c>
      <c r="B321" t="s">
        <v>29</v>
      </c>
      <c r="C321">
        <v>1</v>
      </c>
      <c r="D321">
        <v>0</v>
      </c>
      <c r="E321">
        <v>1</v>
      </c>
      <c r="F321">
        <v>19</v>
      </c>
      <c r="G321" t="b">
        <v>0</v>
      </c>
      <c r="H321">
        <v>5</v>
      </c>
      <c r="I321">
        <v>1</v>
      </c>
      <c r="J321">
        <v>0.16</v>
      </c>
      <c r="K321">
        <v>0.19700000000000001</v>
      </c>
      <c r="L321">
        <v>0.59</v>
      </c>
      <c r="M321">
        <v>8.9599999999999999E-2</v>
      </c>
      <c r="N321">
        <v>3</v>
      </c>
      <c r="O321">
        <v>89</v>
      </c>
      <c r="P321">
        <v>92</v>
      </c>
      <c r="Q321" t="str">
        <f t="shared" si="16"/>
        <v>Weekday</v>
      </c>
      <c r="R321" t="str">
        <f t="shared" si="17"/>
        <v>Medium</v>
      </c>
      <c r="S321" s="10" t="str">
        <f t="shared" si="18"/>
        <v>Clear</v>
      </c>
      <c r="T321" s="10" t="str">
        <f t="shared" si="19"/>
        <v>Cold</v>
      </c>
    </row>
    <row r="322" spans="1:20" x14ac:dyDescent="0.3">
      <c r="A322">
        <v>321</v>
      </c>
      <c r="B322" t="s">
        <v>29</v>
      </c>
      <c r="C322">
        <v>1</v>
      </c>
      <c r="D322">
        <v>0</v>
      </c>
      <c r="E322">
        <v>1</v>
      </c>
      <c r="F322">
        <v>20</v>
      </c>
      <c r="G322" t="b">
        <v>0</v>
      </c>
      <c r="H322">
        <v>5</v>
      </c>
      <c r="I322">
        <v>1</v>
      </c>
      <c r="J322">
        <v>0.18</v>
      </c>
      <c r="K322">
        <v>0.2424</v>
      </c>
      <c r="L322">
        <v>0.59</v>
      </c>
      <c r="M322">
        <v>0</v>
      </c>
      <c r="N322">
        <v>0</v>
      </c>
      <c r="O322">
        <v>68</v>
      </c>
      <c r="P322">
        <v>68</v>
      </c>
      <c r="Q322" t="str">
        <f t="shared" ref="Q322:Q385" si="20">IF(G322=TRUE,"Holiday",IF(H322=0,"Weekend","Weekday"))</f>
        <v>Weekday</v>
      </c>
      <c r="R322" t="str">
        <f t="shared" ref="R322:R385" si="21">IF(P322&lt;50,"Low",IF(P322&lt;150,"Medium","High"))</f>
        <v>Medium</v>
      </c>
      <c r="S322" s="10" t="str">
        <f t="shared" si="18"/>
        <v>Clear</v>
      </c>
      <c r="T322" s="10" t="str">
        <f t="shared" si="19"/>
        <v>Cold</v>
      </c>
    </row>
    <row r="323" spans="1:20" x14ac:dyDescent="0.3">
      <c r="A323">
        <v>322</v>
      </c>
      <c r="B323" t="s">
        <v>29</v>
      </c>
      <c r="C323">
        <v>1</v>
      </c>
      <c r="D323">
        <v>0</v>
      </c>
      <c r="E323">
        <v>1</v>
      </c>
      <c r="F323">
        <v>21</v>
      </c>
      <c r="G323" t="b">
        <v>0</v>
      </c>
      <c r="H323">
        <v>5</v>
      </c>
      <c r="I323">
        <v>1</v>
      </c>
      <c r="J323">
        <v>0.16</v>
      </c>
      <c r="K323">
        <v>0.2273</v>
      </c>
      <c r="L323">
        <v>0.69</v>
      </c>
      <c r="M323">
        <v>0</v>
      </c>
      <c r="N323">
        <v>4</v>
      </c>
      <c r="O323">
        <v>48</v>
      </c>
      <c r="P323">
        <v>52</v>
      </c>
      <c r="Q323" t="str">
        <f t="shared" si="20"/>
        <v>Weekday</v>
      </c>
      <c r="R323" t="str">
        <f t="shared" si="21"/>
        <v>Medium</v>
      </c>
      <c r="S323" s="10" t="str">
        <f t="shared" ref="S323:S386" si="22">IF(I323=1,"Clear",IF(I323=2,"Mist/Cloudy",IF(I323=3,"Light Rain/Snow","Heavy Rain/Ice")))</f>
        <v>Clear</v>
      </c>
      <c r="T323" s="10" t="str">
        <f t="shared" ref="T323:T386" si="23">IF(J323&lt;0.3,"Cold","Warm")</f>
        <v>Cold</v>
      </c>
    </row>
    <row r="324" spans="1:20" x14ac:dyDescent="0.3">
      <c r="A324">
        <v>323</v>
      </c>
      <c r="B324" t="s">
        <v>29</v>
      </c>
      <c r="C324">
        <v>1</v>
      </c>
      <c r="D324">
        <v>0</v>
      </c>
      <c r="E324">
        <v>1</v>
      </c>
      <c r="F324">
        <v>22</v>
      </c>
      <c r="G324" t="b">
        <v>0</v>
      </c>
      <c r="H324">
        <v>5</v>
      </c>
      <c r="I324">
        <v>2</v>
      </c>
      <c r="J324">
        <v>0.16</v>
      </c>
      <c r="K324">
        <v>0.2273</v>
      </c>
      <c r="L324">
        <v>0.69</v>
      </c>
      <c r="M324">
        <v>0</v>
      </c>
      <c r="N324">
        <v>2</v>
      </c>
      <c r="O324">
        <v>34</v>
      </c>
      <c r="P324">
        <v>36</v>
      </c>
      <c r="Q324" t="str">
        <f t="shared" si="20"/>
        <v>Weekday</v>
      </c>
      <c r="R324" t="str">
        <f t="shared" si="21"/>
        <v>Low</v>
      </c>
      <c r="S324" s="10" t="str">
        <f t="shared" si="22"/>
        <v>Mist/Cloudy</v>
      </c>
      <c r="T324" s="10" t="str">
        <f t="shared" si="23"/>
        <v>Cold</v>
      </c>
    </row>
    <row r="325" spans="1:20" x14ac:dyDescent="0.3">
      <c r="A325">
        <v>324</v>
      </c>
      <c r="B325" t="s">
        <v>29</v>
      </c>
      <c r="C325">
        <v>1</v>
      </c>
      <c r="D325">
        <v>0</v>
      </c>
      <c r="E325">
        <v>1</v>
      </c>
      <c r="F325">
        <v>23</v>
      </c>
      <c r="G325" t="b">
        <v>0</v>
      </c>
      <c r="H325">
        <v>5</v>
      </c>
      <c r="I325">
        <v>2</v>
      </c>
      <c r="J325">
        <v>0.18</v>
      </c>
      <c r="K325">
        <v>0.2424</v>
      </c>
      <c r="L325">
        <v>0.55000000000000004</v>
      </c>
      <c r="M325">
        <v>0</v>
      </c>
      <c r="N325">
        <v>1</v>
      </c>
      <c r="O325">
        <v>26</v>
      </c>
      <c r="P325">
        <v>27</v>
      </c>
      <c r="Q325" t="str">
        <f t="shared" si="20"/>
        <v>Weekday</v>
      </c>
      <c r="R325" t="str">
        <f t="shared" si="21"/>
        <v>Low</v>
      </c>
      <c r="S325" s="10" t="str">
        <f t="shared" si="22"/>
        <v>Mist/Cloudy</v>
      </c>
      <c r="T325" s="10" t="str">
        <f t="shared" si="23"/>
        <v>Cold</v>
      </c>
    </row>
    <row r="326" spans="1:20" x14ac:dyDescent="0.3">
      <c r="A326">
        <v>325</v>
      </c>
      <c r="B326" t="s">
        <v>30</v>
      </c>
      <c r="C326">
        <v>1</v>
      </c>
      <c r="D326">
        <v>0</v>
      </c>
      <c r="E326">
        <v>1</v>
      </c>
      <c r="F326">
        <v>0</v>
      </c>
      <c r="G326" t="b">
        <v>0</v>
      </c>
      <c r="H326">
        <v>6</v>
      </c>
      <c r="I326">
        <v>1</v>
      </c>
      <c r="J326">
        <v>0.18</v>
      </c>
      <c r="K326">
        <v>0.2424</v>
      </c>
      <c r="L326">
        <v>0.55000000000000004</v>
      </c>
      <c r="M326">
        <v>0</v>
      </c>
      <c r="N326">
        <v>3</v>
      </c>
      <c r="O326">
        <v>25</v>
      </c>
      <c r="P326">
        <v>28</v>
      </c>
      <c r="Q326" t="str">
        <f t="shared" si="20"/>
        <v>Weekday</v>
      </c>
      <c r="R326" t="str">
        <f t="shared" si="21"/>
        <v>Low</v>
      </c>
      <c r="S326" s="10" t="str">
        <f t="shared" si="22"/>
        <v>Clear</v>
      </c>
      <c r="T326" s="10" t="str">
        <f t="shared" si="23"/>
        <v>Cold</v>
      </c>
    </row>
    <row r="327" spans="1:20" x14ac:dyDescent="0.3">
      <c r="A327">
        <v>326</v>
      </c>
      <c r="B327" t="s">
        <v>30</v>
      </c>
      <c r="C327">
        <v>1</v>
      </c>
      <c r="D327">
        <v>0</v>
      </c>
      <c r="E327">
        <v>1</v>
      </c>
      <c r="F327">
        <v>1</v>
      </c>
      <c r="G327" t="b">
        <v>0</v>
      </c>
      <c r="H327">
        <v>6</v>
      </c>
      <c r="I327">
        <v>2</v>
      </c>
      <c r="J327">
        <v>0.16</v>
      </c>
      <c r="K327">
        <v>0.19700000000000001</v>
      </c>
      <c r="L327">
        <v>0.59</v>
      </c>
      <c r="M327">
        <v>8.9599999999999999E-2</v>
      </c>
      <c r="N327">
        <v>2</v>
      </c>
      <c r="O327">
        <v>18</v>
      </c>
      <c r="P327">
        <v>20</v>
      </c>
      <c r="Q327" t="str">
        <f t="shared" si="20"/>
        <v>Weekday</v>
      </c>
      <c r="R327" t="str">
        <f t="shared" si="21"/>
        <v>Low</v>
      </c>
      <c r="S327" s="10" t="str">
        <f t="shared" si="22"/>
        <v>Mist/Cloudy</v>
      </c>
      <c r="T327" s="10" t="str">
        <f t="shared" si="23"/>
        <v>Cold</v>
      </c>
    </row>
    <row r="328" spans="1:20" x14ac:dyDescent="0.3">
      <c r="A328">
        <v>327</v>
      </c>
      <c r="B328" t="s">
        <v>30</v>
      </c>
      <c r="C328">
        <v>1</v>
      </c>
      <c r="D328">
        <v>0</v>
      </c>
      <c r="E328">
        <v>1</v>
      </c>
      <c r="F328">
        <v>2</v>
      </c>
      <c r="G328" t="b">
        <v>0</v>
      </c>
      <c r="H328">
        <v>6</v>
      </c>
      <c r="I328">
        <v>2</v>
      </c>
      <c r="J328">
        <v>0.16</v>
      </c>
      <c r="K328">
        <v>0.19700000000000001</v>
      </c>
      <c r="L328">
        <v>0.59</v>
      </c>
      <c r="M328">
        <v>8.9599999999999999E-2</v>
      </c>
      <c r="N328">
        <v>0</v>
      </c>
      <c r="O328">
        <v>12</v>
      </c>
      <c r="P328">
        <v>12</v>
      </c>
      <c r="Q328" t="str">
        <f t="shared" si="20"/>
        <v>Weekday</v>
      </c>
      <c r="R328" t="str">
        <f t="shared" si="21"/>
        <v>Low</v>
      </c>
      <c r="S328" s="10" t="str">
        <f t="shared" si="22"/>
        <v>Mist/Cloudy</v>
      </c>
      <c r="T328" s="10" t="str">
        <f t="shared" si="23"/>
        <v>Cold</v>
      </c>
    </row>
    <row r="329" spans="1:20" x14ac:dyDescent="0.3">
      <c r="A329">
        <v>328</v>
      </c>
      <c r="B329" t="s">
        <v>30</v>
      </c>
      <c r="C329">
        <v>1</v>
      </c>
      <c r="D329">
        <v>0</v>
      </c>
      <c r="E329">
        <v>1</v>
      </c>
      <c r="F329">
        <v>3</v>
      </c>
      <c r="G329" t="b">
        <v>0</v>
      </c>
      <c r="H329">
        <v>6</v>
      </c>
      <c r="I329">
        <v>2</v>
      </c>
      <c r="J329">
        <v>0.16</v>
      </c>
      <c r="K329">
        <v>0.2273</v>
      </c>
      <c r="L329">
        <v>0.59</v>
      </c>
      <c r="M329">
        <v>0</v>
      </c>
      <c r="N329">
        <v>1</v>
      </c>
      <c r="O329">
        <v>7</v>
      </c>
      <c r="P329">
        <v>8</v>
      </c>
      <c r="Q329" t="str">
        <f t="shared" si="20"/>
        <v>Weekday</v>
      </c>
      <c r="R329" t="str">
        <f t="shared" si="21"/>
        <v>Low</v>
      </c>
      <c r="S329" s="10" t="str">
        <f t="shared" si="22"/>
        <v>Mist/Cloudy</v>
      </c>
      <c r="T329" s="10" t="str">
        <f t="shared" si="23"/>
        <v>Cold</v>
      </c>
    </row>
    <row r="330" spans="1:20" x14ac:dyDescent="0.3">
      <c r="A330">
        <v>329</v>
      </c>
      <c r="B330" t="s">
        <v>30</v>
      </c>
      <c r="C330">
        <v>1</v>
      </c>
      <c r="D330">
        <v>0</v>
      </c>
      <c r="E330">
        <v>1</v>
      </c>
      <c r="F330">
        <v>4</v>
      </c>
      <c r="G330" t="b">
        <v>0</v>
      </c>
      <c r="H330">
        <v>6</v>
      </c>
      <c r="I330">
        <v>2</v>
      </c>
      <c r="J330">
        <v>0.16</v>
      </c>
      <c r="K330">
        <v>0.2273</v>
      </c>
      <c r="L330">
        <v>0.59</v>
      </c>
      <c r="M330">
        <v>0</v>
      </c>
      <c r="N330">
        <v>0</v>
      </c>
      <c r="O330">
        <v>5</v>
      </c>
      <c r="P330">
        <v>5</v>
      </c>
      <c r="Q330" t="str">
        <f t="shared" si="20"/>
        <v>Weekday</v>
      </c>
      <c r="R330" t="str">
        <f t="shared" si="21"/>
        <v>Low</v>
      </c>
      <c r="S330" s="10" t="str">
        <f t="shared" si="22"/>
        <v>Mist/Cloudy</v>
      </c>
      <c r="T330" s="10" t="str">
        <f t="shared" si="23"/>
        <v>Cold</v>
      </c>
    </row>
    <row r="331" spans="1:20" x14ac:dyDescent="0.3">
      <c r="A331">
        <v>330</v>
      </c>
      <c r="B331" t="s">
        <v>30</v>
      </c>
      <c r="C331">
        <v>1</v>
      </c>
      <c r="D331">
        <v>0</v>
      </c>
      <c r="E331">
        <v>1</v>
      </c>
      <c r="F331">
        <v>5</v>
      </c>
      <c r="G331" t="b">
        <v>0</v>
      </c>
      <c r="H331">
        <v>6</v>
      </c>
      <c r="I331">
        <v>1</v>
      </c>
      <c r="J331">
        <v>0.16</v>
      </c>
      <c r="K331">
        <v>0.2273</v>
      </c>
      <c r="L331">
        <v>0.59</v>
      </c>
      <c r="M331">
        <v>0</v>
      </c>
      <c r="N331">
        <v>0</v>
      </c>
      <c r="O331">
        <v>1</v>
      </c>
      <c r="P331">
        <v>1</v>
      </c>
      <c r="Q331" t="str">
        <f t="shared" si="20"/>
        <v>Weekday</v>
      </c>
      <c r="R331" t="str">
        <f t="shared" si="21"/>
        <v>Low</v>
      </c>
      <c r="S331" s="10" t="str">
        <f t="shared" si="22"/>
        <v>Clear</v>
      </c>
      <c r="T331" s="10" t="str">
        <f t="shared" si="23"/>
        <v>Cold</v>
      </c>
    </row>
    <row r="332" spans="1:20" x14ac:dyDescent="0.3">
      <c r="A332">
        <v>331</v>
      </c>
      <c r="B332" t="s">
        <v>30</v>
      </c>
      <c r="C332">
        <v>1</v>
      </c>
      <c r="D332">
        <v>0</v>
      </c>
      <c r="E332">
        <v>1</v>
      </c>
      <c r="F332">
        <v>6</v>
      </c>
      <c r="G332" t="b">
        <v>0</v>
      </c>
      <c r="H332">
        <v>6</v>
      </c>
      <c r="I332">
        <v>1</v>
      </c>
      <c r="J332">
        <v>0.14000000000000001</v>
      </c>
      <c r="K332">
        <v>0.16669999999999999</v>
      </c>
      <c r="L332">
        <v>0.63</v>
      </c>
      <c r="M332">
        <v>0.1045</v>
      </c>
      <c r="N332">
        <v>1</v>
      </c>
      <c r="O332">
        <v>2</v>
      </c>
      <c r="P332">
        <v>3</v>
      </c>
      <c r="Q332" t="str">
        <f t="shared" si="20"/>
        <v>Weekday</v>
      </c>
      <c r="R332" t="str">
        <f t="shared" si="21"/>
        <v>Low</v>
      </c>
      <c r="S332" s="10" t="str">
        <f t="shared" si="22"/>
        <v>Clear</v>
      </c>
      <c r="T332" s="10" t="str">
        <f t="shared" si="23"/>
        <v>Cold</v>
      </c>
    </row>
    <row r="333" spans="1:20" x14ac:dyDescent="0.3">
      <c r="A333">
        <v>332</v>
      </c>
      <c r="B333" t="s">
        <v>30</v>
      </c>
      <c r="C333">
        <v>1</v>
      </c>
      <c r="D333">
        <v>0</v>
      </c>
      <c r="E333">
        <v>1</v>
      </c>
      <c r="F333">
        <v>7</v>
      </c>
      <c r="G333" t="b">
        <v>0</v>
      </c>
      <c r="H333">
        <v>6</v>
      </c>
      <c r="I333">
        <v>1</v>
      </c>
      <c r="J333">
        <v>0.14000000000000001</v>
      </c>
      <c r="K333">
        <v>0.21210000000000001</v>
      </c>
      <c r="L333">
        <v>0.63</v>
      </c>
      <c r="M333">
        <v>0</v>
      </c>
      <c r="N333">
        <v>1</v>
      </c>
      <c r="O333">
        <v>9</v>
      </c>
      <c r="P333">
        <v>10</v>
      </c>
      <c r="Q333" t="str">
        <f t="shared" si="20"/>
        <v>Weekday</v>
      </c>
      <c r="R333" t="str">
        <f t="shared" si="21"/>
        <v>Low</v>
      </c>
      <c r="S333" s="10" t="str">
        <f t="shared" si="22"/>
        <v>Clear</v>
      </c>
      <c r="T333" s="10" t="str">
        <f t="shared" si="23"/>
        <v>Cold</v>
      </c>
    </row>
    <row r="334" spans="1:20" x14ac:dyDescent="0.3">
      <c r="A334">
        <v>333</v>
      </c>
      <c r="B334" t="s">
        <v>30</v>
      </c>
      <c r="C334">
        <v>1</v>
      </c>
      <c r="D334">
        <v>0</v>
      </c>
      <c r="E334">
        <v>1</v>
      </c>
      <c r="F334">
        <v>8</v>
      </c>
      <c r="G334" t="b">
        <v>0</v>
      </c>
      <c r="H334">
        <v>6</v>
      </c>
      <c r="I334">
        <v>1</v>
      </c>
      <c r="J334">
        <v>0.14000000000000001</v>
      </c>
      <c r="K334">
        <v>0.1515</v>
      </c>
      <c r="L334">
        <v>0.63</v>
      </c>
      <c r="M334">
        <v>0.1343</v>
      </c>
      <c r="N334">
        <v>1</v>
      </c>
      <c r="O334">
        <v>22</v>
      </c>
      <c r="P334">
        <v>23</v>
      </c>
      <c r="Q334" t="str">
        <f t="shared" si="20"/>
        <v>Weekday</v>
      </c>
      <c r="R334" t="str">
        <f t="shared" si="21"/>
        <v>Low</v>
      </c>
      <c r="S334" s="10" t="str">
        <f t="shared" si="22"/>
        <v>Clear</v>
      </c>
      <c r="T334" s="10" t="str">
        <f t="shared" si="23"/>
        <v>Cold</v>
      </c>
    </row>
    <row r="335" spans="1:20" x14ac:dyDescent="0.3">
      <c r="A335">
        <v>334</v>
      </c>
      <c r="B335" t="s">
        <v>30</v>
      </c>
      <c r="C335">
        <v>1</v>
      </c>
      <c r="D335">
        <v>0</v>
      </c>
      <c r="E335">
        <v>1</v>
      </c>
      <c r="F335">
        <v>9</v>
      </c>
      <c r="G335" t="b">
        <v>0</v>
      </c>
      <c r="H335">
        <v>6</v>
      </c>
      <c r="I335">
        <v>1</v>
      </c>
      <c r="J335">
        <v>0.16</v>
      </c>
      <c r="K335">
        <v>0.18179999999999999</v>
      </c>
      <c r="L335">
        <v>0.64</v>
      </c>
      <c r="M335">
        <v>0.1343</v>
      </c>
      <c r="N335">
        <v>2</v>
      </c>
      <c r="O335">
        <v>31</v>
      </c>
      <c r="P335">
        <v>33</v>
      </c>
      <c r="Q335" t="str">
        <f t="shared" si="20"/>
        <v>Weekday</v>
      </c>
      <c r="R335" t="str">
        <f t="shared" si="21"/>
        <v>Low</v>
      </c>
      <c r="S335" s="10" t="str">
        <f t="shared" si="22"/>
        <v>Clear</v>
      </c>
      <c r="T335" s="10" t="str">
        <f t="shared" si="23"/>
        <v>Cold</v>
      </c>
    </row>
    <row r="336" spans="1:20" x14ac:dyDescent="0.3">
      <c r="A336">
        <v>335</v>
      </c>
      <c r="B336" t="s">
        <v>30</v>
      </c>
      <c r="C336">
        <v>1</v>
      </c>
      <c r="D336">
        <v>0</v>
      </c>
      <c r="E336">
        <v>1</v>
      </c>
      <c r="F336">
        <v>10</v>
      </c>
      <c r="G336" t="b">
        <v>0</v>
      </c>
      <c r="H336">
        <v>6</v>
      </c>
      <c r="I336">
        <v>1</v>
      </c>
      <c r="J336">
        <v>0.18</v>
      </c>
      <c r="K336">
        <v>0.19700000000000001</v>
      </c>
      <c r="L336">
        <v>0.59</v>
      </c>
      <c r="M336">
        <v>0.16420000000000001</v>
      </c>
      <c r="N336">
        <v>2</v>
      </c>
      <c r="O336">
        <v>57</v>
      </c>
      <c r="P336">
        <v>59</v>
      </c>
      <c r="Q336" t="str">
        <f t="shared" si="20"/>
        <v>Weekday</v>
      </c>
      <c r="R336" t="str">
        <f t="shared" si="21"/>
        <v>Medium</v>
      </c>
      <c r="S336" s="10" t="str">
        <f t="shared" si="22"/>
        <v>Clear</v>
      </c>
      <c r="T336" s="10" t="str">
        <f t="shared" si="23"/>
        <v>Cold</v>
      </c>
    </row>
    <row r="337" spans="1:20" x14ac:dyDescent="0.3">
      <c r="A337">
        <v>336</v>
      </c>
      <c r="B337" t="s">
        <v>30</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20"/>
        <v>Weekday</v>
      </c>
      <c r="R337" t="str">
        <f t="shared" si="21"/>
        <v>Medium</v>
      </c>
      <c r="S337" s="10" t="str">
        <f t="shared" si="22"/>
        <v>Clear</v>
      </c>
      <c r="T337" s="10" t="str">
        <f t="shared" si="23"/>
        <v>Cold</v>
      </c>
    </row>
    <row r="338" spans="1:20" x14ac:dyDescent="0.3">
      <c r="A338">
        <v>337</v>
      </c>
      <c r="B338" t="s">
        <v>30</v>
      </c>
      <c r="C338">
        <v>1</v>
      </c>
      <c r="D338">
        <v>0</v>
      </c>
      <c r="E338">
        <v>1</v>
      </c>
      <c r="F338">
        <v>12</v>
      </c>
      <c r="G338" t="b">
        <v>0</v>
      </c>
      <c r="H338">
        <v>6</v>
      </c>
      <c r="I338">
        <v>1</v>
      </c>
      <c r="J338">
        <v>0.24</v>
      </c>
      <c r="K338">
        <v>0.2273</v>
      </c>
      <c r="L338">
        <v>0.48</v>
      </c>
      <c r="M338">
        <v>0.22389999999999999</v>
      </c>
      <c r="N338">
        <v>15</v>
      </c>
      <c r="O338">
        <v>74</v>
      </c>
      <c r="P338">
        <v>89</v>
      </c>
      <c r="Q338" t="str">
        <f t="shared" si="20"/>
        <v>Weekday</v>
      </c>
      <c r="R338" t="str">
        <f t="shared" si="21"/>
        <v>Medium</v>
      </c>
      <c r="S338" s="10" t="str">
        <f t="shared" si="22"/>
        <v>Clear</v>
      </c>
      <c r="T338" s="10" t="str">
        <f t="shared" si="23"/>
        <v>Cold</v>
      </c>
    </row>
    <row r="339" spans="1:20" x14ac:dyDescent="0.3">
      <c r="A339">
        <v>338</v>
      </c>
      <c r="B339" t="s">
        <v>30</v>
      </c>
      <c r="C339">
        <v>1</v>
      </c>
      <c r="D339">
        <v>0</v>
      </c>
      <c r="E339">
        <v>1</v>
      </c>
      <c r="F339">
        <v>13</v>
      </c>
      <c r="G339" t="b">
        <v>0</v>
      </c>
      <c r="H339">
        <v>6</v>
      </c>
      <c r="I339">
        <v>1</v>
      </c>
      <c r="J339">
        <v>0.28000000000000003</v>
      </c>
      <c r="K339">
        <v>0.2576</v>
      </c>
      <c r="L339">
        <v>0.38</v>
      </c>
      <c r="M339">
        <v>0.29849999999999999</v>
      </c>
      <c r="N339">
        <v>21</v>
      </c>
      <c r="O339">
        <v>80</v>
      </c>
      <c r="P339">
        <v>101</v>
      </c>
      <c r="Q339" t="str">
        <f t="shared" si="20"/>
        <v>Weekday</v>
      </c>
      <c r="R339" t="str">
        <f t="shared" si="21"/>
        <v>Medium</v>
      </c>
      <c r="S339" s="10" t="str">
        <f t="shared" si="22"/>
        <v>Clear</v>
      </c>
      <c r="T339" s="10" t="str">
        <f t="shared" si="23"/>
        <v>Cold</v>
      </c>
    </row>
    <row r="340" spans="1:20" x14ac:dyDescent="0.3">
      <c r="A340">
        <v>339</v>
      </c>
      <c r="B340" t="s">
        <v>30</v>
      </c>
      <c r="C340">
        <v>1</v>
      </c>
      <c r="D340">
        <v>0</v>
      </c>
      <c r="E340">
        <v>1</v>
      </c>
      <c r="F340">
        <v>14</v>
      </c>
      <c r="G340" t="b">
        <v>0</v>
      </c>
      <c r="H340">
        <v>6</v>
      </c>
      <c r="I340">
        <v>1</v>
      </c>
      <c r="J340">
        <v>0.3</v>
      </c>
      <c r="K340">
        <v>0.28789999999999999</v>
      </c>
      <c r="L340">
        <v>0.39</v>
      </c>
      <c r="M340">
        <v>0.28360000000000002</v>
      </c>
      <c r="N340">
        <v>26</v>
      </c>
      <c r="O340">
        <v>92</v>
      </c>
      <c r="P340">
        <v>118</v>
      </c>
      <c r="Q340" t="str">
        <f t="shared" si="20"/>
        <v>Weekday</v>
      </c>
      <c r="R340" t="str">
        <f t="shared" si="21"/>
        <v>Medium</v>
      </c>
      <c r="S340" s="10" t="str">
        <f t="shared" si="22"/>
        <v>Clear</v>
      </c>
      <c r="T340" s="10" t="str">
        <f t="shared" si="23"/>
        <v>Warm</v>
      </c>
    </row>
    <row r="341" spans="1:20" x14ac:dyDescent="0.3">
      <c r="A341">
        <v>340</v>
      </c>
      <c r="B341" t="s">
        <v>30</v>
      </c>
      <c r="C341">
        <v>1</v>
      </c>
      <c r="D341">
        <v>0</v>
      </c>
      <c r="E341">
        <v>1</v>
      </c>
      <c r="F341">
        <v>15</v>
      </c>
      <c r="G341" t="b">
        <v>0</v>
      </c>
      <c r="H341">
        <v>6</v>
      </c>
      <c r="I341">
        <v>2</v>
      </c>
      <c r="J341">
        <v>0.32</v>
      </c>
      <c r="K341">
        <v>0.31819999999999998</v>
      </c>
      <c r="L341">
        <v>0.36</v>
      </c>
      <c r="M341">
        <v>0.19400000000000001</v>
      </c>
      <c r="N341">
        <v>21</v>
      </c>
      <c r="O341">
        <v>108</v>
      </c>
      <c r="P341">
        <v>129</v>
      </c>
      <c r="Q341" t="str">
        <f t="shared" si="20"/>
        <v>Weekday</v>
      </c>
      <c r="R341" t="str">
        <f t="shared" si="21"/>
        <v>Medium</v>
      </c>
      <c r="S341" s="10" t="str">
        <f t="shared" si="22"/>
        <v>Mist/Cloudy</v>
      </c>
      <c r="T341" s="10" t="str">
        <f t="shared" si="23"/>
        <v>Warm</v>
      </c>
    </row>
    <row r="342" spans="1:20" x14ac:dyDescent="0.3">
      <c r="A342">
        <v>341</v>
      </c>
      <c r="B342" t="s">
        <v>30</v>
      </c>
      <c r="C342">
        <v>1</v>
      </c>
      <c r="D342">
        <v>0</v>
      </c>
      <c r="E342">
        <v>1</v>
      </c>
      <c r="F342">
        <v>16</v>
      </c>
      <c r="G342" t="b">
        <v>0</v>
      </c>
      <c r="H342">
        <v>6</v>
      </c>
      <c r="I342">
        <v>2</v>
      </c>
      <c r="J342">
        <v>0.34</v>
      </c>
      <c r="K342">
        <v>0.33329999999999999</v>
      </c>
      <c r="L342">
        <v>0.34</v>
      </c>
      <c r="M342">
        <v>0.19400000000000001</v>
      </c>
      <c r="N342">
        <v>33</v>
      </c>
      <c r="O342">
        <v>95</v>
      </c>
      <c r="P342">
        <v>128</v>
      </c>
      <c r="Q342" t="str">
        <f t="shared" si="20"/>
        <v>Weekday</v>
      </c>
      <c r="R342" t="str">
        <f t="shared" si="21"/>
        <v>Medium</v>
      </c>
      <c r="S342" s="10" t="str">
        <f t="shared" si="22"/>
        <v>Mist/Cloudy</v>
      </c>
      <c r="T342" s="10" t="str">
        <f t="shared" si="23"/>
        <v>Warm</v>
      </c>
    </row>
    <row r="343" spans="1:20" x14ac:dyDescent="0.3">
      <c r="A343">
        <v>342</v>
      </c>
      <c r="B343" t="s">
        <v>30</v>
      </c>
      <c r="C343">
        <v>1</v>
      </c>
      <c r="D343">
        <v>0</v>
      </c>
      <c r="E343">
        <v>1</v>
      </c>
      <c r="F343">
        <v>17</v>
      </c>
      <c r="G343" t="b">
        <v>0</v>
      </c>
      <c r="H343">
        <v>6</v>
      </c>
      <c r="I343">
        <v>2</v>
      </c>
      <c r="J343">
        <v>0.32</v>
      </c>
      <c r="K343">
        <v>0.30299999999999999</v>
      </c>
      <c r="L343">
        <v>0.36</v>
      </c>
      <c r="M343">
        <v>0.28360000000000002</v>
      </c>
      <c r="N343">
        <v>29</v>
      </c>
      <c r="O343">
        <v>54</v>
      </c>
      <c r="P343">
        <v>83</v>
      </c>
      <c r="Q343" t="str">
        <f t="shared" si="20"/>
        <v>Weekday</v>
      </c>
      <c r="R343" t="str">
        <f t="shared" si="21"/>
        <v>Medium</v>
      </c>
      <c r="S343" s="10" t="str">
        <f t="shared" si="22"/>
        <v>Mist/Cloudy</v>
      </c>
      <c r="T343" s="10" t="str">
        <f t="shared" si="23"/>
        <v>Warm</v>
      </c>
    </row>
    <row r="344" spans="1:20" x14ac:dyDescent="0.3">
      <c r="A344">
        <v>343</v>
      </c>
      <c r="B344" t="s">
        <v>30</v>
      </c>
      <c r="C344">
        <v>1</v>
      </c>
      <c r="D344">
        <v>0</v>
      </c>
      <c r="E344">
        <v>1</v>
      </c>
      <c r="F344">
        <v>18</v>
      </c>
      <c r="G344" t="b">
        <v>0</v>
      </c>
      <c r="H344">
        <v>6</v>
      </c>
      <c r="I344">
        <v>2</v>
      </c>
      <c r="J344">
        <v>0.3</v>
      </c>
      <c r="K344">
        <v>0.28789999999999999</v>
      </c>
      <c r="L344">
        <v>0.45</v>
      </c>
      <c r="M344">
        <v>0.25369999999999998</v>
      </c>
      <c r="N344">
        <v>15</v>
      </c>
      <c r="O344">
        <v>69</v>
      </c>
      <c r="P344">
        <v>84</v>
      </c>
      <c r="Q344" t="str">
        <f t="shared" si="20"/>
        <v>Weekday</v>
      </c>
      <c r="R344" t="str">
        <f t="shared" si="21"/>
        <v>Medium</v>
      </c>
      <c r="S344" s="10" t="str">
        <f t="shared" si="22"/>
        <v>Mist/Cloudy</v>
      </c>
      <c r="T344" s="10" t="str">
        <f t="shared" si="23"/>
        <v>Warm</v>
      </c>
    </row>
    <row r="345" spans="1:20" x14ac:dyDescent="0.3">
      <c r="A345">
        <v>344</v>
      </c>
      <c r="B345" t="s">
        <v>30</v>
      </c>
      <c r="C345">
        <v>1</v>
      </c>
      <c r="D345">
        <v>0</v>
      </c>
      <c r="E345">
        <v>1</v>
      </c>
      <c r="F345">
        <v>19</v>
      </c>
      <c r="G345" t="b">
        <v>0</v>
      </c>
      <c r="H345">
        <v>6</v>
      </c>
      <c r="I345">
        <v>2</v>
      </c>
      <c r="J345">
        <v>0.32</v>
      </c>
      <c r="K345">
        <v>0.30299999999999999</v>
      </c>
      <c r="L345">
        <v>0.39</v>
      </c>
      <c r="M345">
        <v>0.25369999999999998</v>
      </c>
      <c r="N345">
        <v>14</v>
      </c>
      <c r="O345">
        <v>60</v>
      </c>
      <c r="P345">
        <v>74</v>
      </c>
      <c r="Q345" t="str">
        <f t="shared" si="20"/>
        <v>Weekday</v>
      </c>
      <c r="R345" t="str">
        <f t="shared" si="21"/>
        <v>Medium</v>
      </c>
      <c r="S345" s="10" t="str">
        <f t="shared" si="22"/>
        <v>Mist/Cloudy</v>
      </c>
      <c r="T345" s="10" t="str">
        <f t="shared" si="23"/>
        <v>Warm</v>
      </c>
    </row>
    <row r="346" spans="1:20" x14ac:dyDescent="0.3">
      <c r="A346">
        <v>345</v>
      </c>
      <c r="B346" t="s">
        <v>30</v>
      </c>
      <c r="C346">
        <v>1</v>
      </c>
      <c r="D346">
        <v>0</v>
      </c>
      <c r="E346">
        <v>1</v>
      </c>
      <c r="F346">
        <v>20</v>
      </c>
      <c r="G346" t="b">
        <v>0</v>
      </c>
      <c r="H346">
        <v>6</v>
      </c>
      <c r="I346">
        <v>2</v>
      </c>
      <c r="J346">
        <v>0.32</v>
      </c>
      <c r="K346">
        <v>0.30299999999999999</v>
      </c>
      <c r="L346">
        <v>0.39</v>
      </c>
      <c r="M346">
        <v>0.25369999999999998</v>
      </c>
      <c r="N346">
        <v>6</v>
      </c>
      <c r="O346">
        <v>35</v>
      </c>
      <c r="P346">
        <v>41</v>
      </c>
      <c r="Q346" t="str">
        <f t="shared" si="20"/>
        <v>Weekday</v>
      </c>
      <c r="R346" t="str">
        <f t="shared" si="21"/>
        <v>Low</v>
      </c>
      <c r="S346" s="10" t="str">
        <f t="shared" si="22"/>
        <v>Mist/Cloudy</v>
      </c>
      <c r="T346" s="10" t="str">
        <f t="shared" si="23"/>
        <v>Warm</v>
      </c>
    </row>
    <row r="347" spans="1:20" x14ac:dyDescent="0.3">
      <c r="A347">
        <v>346</v>
      </c>
      <c r="B347" t="s">
        <v>30</v>
      </c>
      <c r="C347">
        <v>1</v>
      </c>
      <c r="D347">
        <v>0</v>
      </c>
      <c r="E347">
        <v>1</v>
      </c>
      <c r="F347">
        <v>21</v>
      </c>
      <c r="G347" t="b">
        <v>0</v>
      </c>
      <c r="H347">
        <v>6</v>
      </c>
      <c r="I347">
        <v>2</v>
      </c>
      <c r="J347">
        <v>0.32</v>
      </c>
      <c r="K347">
        <v>0.30299999999999999</v>
      </c>
      <c r="L347">
        <v>0.39</v>
      </c>
      <c r="M347">
        <v>0.22389999999999999</v>
      </c>
      <c r="N347">
        <v>6</v>
      </c>
      <c r="O347">
        <v>51</v>
      </c>
      <c r="P347">
        <v>57</v>
      </c>
      <c r="Q347" t="str">
        <f t="shared" si="20"/>
        <v>Weekday</v>
      </c>
      <c r="R347" t="str">
        <f t="shared" si="21"/>
        <v>Medium</v>
      </c>
      <c r="S347" s="10" t="str">
        <f t="shared" si="22"/>
        <v>Mist/Cloudy</v>
      </c>
      <c r="T347" s="10" t="str">
        <f t="shared" si="23"/>
        <v>Warm</v>
      </c>
    </row>
    <row r="348" spans="1:20" x14ac:dyDescent="0.3">
      <c r="A348">
        <v>347</v>
      </c>
      <c r="B348" t="s">
        <v>30</v>
      </c>
      <c r="C348">
        <v>1</v>
      </c>
      <c r="D348">
        <v>0</v>
      </c>
      <c r="E348">
        <v>1</v>
      </c>
      <c r="F348">
        <v>22</v>
      </c>
      <c r="G348" t="b">
        <v>0</v>
      </c>
      <c r="H348">
        <v>6</v>
      </c>
      <c r="I348">
        <v>2</v>
      </c>
      <c r="J348">
        <v>0.3</v>
      </c>
      <c r="K348">
        <v>0.31819999999999998</v>
      </c>
      <c r="L348">
        <v>0.42</v>
      </c>
      <c r="M348">
        <v>0.1045</v>
      </c>
      <c r="N348">
        <v>0</v>
      </c>
      <c r="O348">
        <v>26</v>
      </c>
      <c r="P348">
        <v>26</v>
      </c>
      <c r="Q348" t="str">
        <f t="shared" si="20"/>
        <v>Weekday</v>
      </c>
      <c r="R348" t="str">
        <f t="shared" si="21"/>
        <v>Low</v>
      </c>
      <c r="S348" s="10" t="str">
        <f t="shared" si="22"/>
        <v>Mist/Cloudy</v>
      </c>
      <c r="T348" s="10" t="str">
        <f t="shared" si="23"/>
        <v>Warm</v>
      </c>
    </row>
    <row r="349" spans="1:20" x14ac:dyDescent="0.3">
      <c r="A349">
        <v>348</v>
      </c>
      <c r="B349" t="s">
        <v>30</v>
      </c>
      <c r="C349">
        <v>1</v>
      </c>
      <c r="D349">
        <v>0</v>
      </c>
      <c r="E349">
        <v>1</v>
      </c>
      <c r="F349">
        <v>23</v>
      </c>
      <c r="G349" t="b">
        <v>0</v>
      </c>
      <c r="H349">
        <v>6</v>
      </c>
      <c r="I349">
        <v>1</v>
      </c>
      <c r="J349">
        <v>0.3</v>
      </c>
      <c r="K349">
        <v>0.28789999999999999</v>
      </c>
      <c r="L349">
        <v>0.45</v>
      </c>
      <c r="M349">
        <v>0.28360000000000002</v>
      </c>
      <c r="N349">
        <v>5</v>
      </c>
      <c r="O349">
        <v>39</v>
      </c>
      <c r="P349">
        <v>44</v>
      </c>
      <c r="Q349" t="str">
        <f t="shared" si="20"/>
        <v>Weekday</v>
      </c>
      <c r="R349" t="str">
        <f t="shared" si="21"/>
        <v>Low</v>
      </c>
      <c r="S349" s="10" t="str">
        <f t="shared" si="22"/>
        <v>Clear</v>
      </c>
      <c r="T349" s="10" t="str">
        <f t="shared" si="23"/>
        <v>Warm</v>
      </c>
    </row>
    <row r="350" spans="1:20" x14ac:dyDescent="0.3">
      <c r="A350">
        <v>349</v>
      </c>
      <c r="B350" t="s">
        <v>31</v>
      </c>
      <c r="C350">
        <v>1</v>
      </c>
      <c r="D350">
        <v>0</v>
      </c>
      <c r="E350">
        <v>1</v>
      </c>
      <c r="F350">
        <v>0</v>
      </c>
      <c r="G350" t="b">
        <v>0</v>
      </c>
      <c r="H350">
        <v>0</v>
      </c>
      <c r="I350">
        <v>1</v>
      </c>
      <c r="J350">
        <v>0.26</v>
      </c>
      <c r="K350">
        <v>0.30299999999999999</v>
      </c>
      <c r="L350">
        <v>0.56000000000000005</v>
      </c>
      <c r="M350">
        <v>0</v>
      </c>
      <c r="N350">
        <v>6</v>
      </c>
      <c r="O350">
        <v>33</v>
      </c>
      <c r="P350">
        <v>39</v>
      </c>
      <c r="Q350" t="str">
        <f t="shared" si="20"/>
        <v>Weekend</v>
      </c>
      <c r="R350" t="str">
        <f t="shared" si="21"/>
        <v>Low</v>
      </c>
      <c r="S350" s="10" t="str">
        <f t="shared" si="22"/>
        <v>Clear</v>
      </c>
      <c r="T350" s="10" t="str">
        <f t="shared" si="23"/>
        <v>Cold</v>
      </c>
    </row>
    <row r="351" spans="1:20" x14ac:dyDescent="0.3">
      <c r="A351">
        <v>350</v>
      </c>
      <c r="B351" t="s">
        <v>31</v>
      </c>
      <c r="C351">
        <v>1</v>
      </c>
      <c r="D351">
        <v>0</v>
      </c>
      <c r="E351">
        <v>1</v>
      </c>
      <c r="F351">
        <v>1</v>
      </c>
      <c r="G351" t="b">
        <v>0</v>
      </c>
      <c r="H351">
        <v>0</v>
      </c>
      <c r="I351">
        <v>1</v>
      </c>
      <c r="J351">
        <v>0.26</v>
      </c>
      <c r="K351">
        <v>0.2727</v>
      </c>
      <c r="L351">
        <v>0.56000000000000005</v>
      </c>
      <c r="M351">
        <v>0.1343</v>
      </c>
      <c r="N351">
        <v>4</v>
      </c>
      <c r="O351">
        <v>19</v>
      </c>
      <c r="P351">
        <v>23</v>
      </c>
      <c r="Q351" t="str">
        <f t="shared" si="20"/>
        <v>Weekend</v>
      </c>
      <c r="R351" t="str">
        <f t="shared" si="21"/>
        <v>Low</v>
      </c>
      <c r="S351" s="10" t="str">
        <f t="shared" si="22"/>
        <v>Clear</v>
      </c>
      <c r="T351" s="10" t="str">
        <f t="shared" si="23"/>
        <v>Cold</v>
      </c>
    </row>
    <row r="352" spans="1:20" x14ac:dyDescent="0.3">
      <c r="A352">
        <v>351</v>
      </c>
      <c r="B352" t="s">
        <v>31</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20"/>
        <v>Weekend</v>
      </c>
      <c r="R352" t="str">
        <f t="shared" si="21"/>
        <v>Low</v>
      </c>
      <c r="S352" s="10" t="str">
        <f t="shared" si="22"/>
        <v>Clear</v>
      </c>
      <c r="T352" s="10" t="str">
        <f t="shared" si="23"/>
        <v>Cold</v>
      </c>
    </row>
    <row r="353" spans="1:20" x14ac:dyDescent="0.3">
      <c r="A353">
        <v>352</v>
      </c>
      <c r="B353" t="s">
        <v>31</v>
      </c>
      <c r="C353">
        <v>1</v>
      </c>
      <c r="D353">
        <v>0</v>
      </c>
      <c r="E353">
        <v>1</v>
      </c>
      <c r="F353">
        <v>3</v>
      </c>
      <c r="G353" t="b">
        <v>0</v>
      </c>
      <c r="H353">
        <v>0</v>
      </c>
      <c r="I353">
        <v>1</v>
      </c>
      <c r="J353">
        <v>0.22</v>
      </c>
      <c r="K353">
        <v>0.2727</v>
      </c>
      <c r="L353">
        <v>0.69</v>
      </c>
      <c r="M353">
        <v>0</v>
      </c>
      <c r="N353">
        <v>9</v>
      </c>
      <c r="O353">
        <v>6</v>
      </c>
      <c r="P353">
        <v>15</v>
      </c>
      <c r="Q353" t="str">
        <f t="shared" si="20"/>
        <v>Weekend</v>
      </c>
      <c r="R353" t="str">
        <f t="shared" si="21"/>
        <v>Low</v>
      </c>
      <c r="S353" s="10" t="str">
        <f t="shared" si="22"/>
        <v>Clear</v>
      </c>
      <c r="T353" s="10" t="str">
        <f t="shared" si="23"/>
        <v>Cold</v>
      </c>
    </row>
    <row r="354" spans="1:20" x14ac:dyDescent="0.3">
      <c r="A354">
        <v>353</v>
      </c>
      <c r="B354" t="s">
        <v>31</v>
      </c>
      <c r="C354">
        <v>1</v>
      </c>
      <c r="D354">
        <v>0</v>
      </c>
      <c r="E354">
        <v>1</v>
      </c>
      <c r="F354">
        <v>4</v>
      </c>
      <c r="G354" t="b">
        <v>0</v>
      </c>
      <c r="H354">
        <v>0</v>
      </c>
      <c r="I354">
        <v>1</v>
      </c>
      <c r="J354">
        <v>0.26</v>
      </c>
      <c r="K354">
        <v>0.2576</v>
      </c>
      <c r="L354">
        <v>0.56000000000000005</v>
      </c>
      <c r="M354">
        <v>0.16420000000000001</v>
      </c>
      <c r="N354">
        <v>0</v>
      </c>
      <c r="O354">
        <v>1</v>
      </c>
      <c r="P354">
        <v>1</v>
      </c>
      <c r="Q354" t="str">
        <f t="shared" si="20"/>
        <v>Weekend</v>
      </c>
      <c r="R354" t="str">
        <f t="shared" si="21"/>
        <v>Low</v>
      </c>
      <c r="S354" s="10" t="str">
        <f t="shared" si="22"/>
        <v>Clear</v>
      </c>
      <c r="T354" s="10" t="str">
        <f t="shared" si="23"/>
        <v>Cold</v>
      </c>
    </row>
    <row r="355" spans="1:20" x14ac:dyDescent="0.3">
      <c r="A355">
        <v>354</v>
      </c>
      <c r="B355" t="s">
        <v>31</v>
      </c>
      <c r="C355">
        <v>1</v>
      </c>
      <c r="D355">
        <v>0</v>
      </c>
      <c r="E355">
        <v>1</v>
      </c>
      <c r="F355">
        <v>5</v>
      </c>
      <c r="G355" t="b">
        <v>0</v>
      </c>
      <c r="H355">
        <v>0</v>
      </c>
      <c r="I355">
        <v>2</v>
      </c>
      <c r="J355">
        <v>0.26</v>
      </c>
      <c r="K355">
        <v>0.2576</v>
      </c>
      <c r="L355">
        <v>0.56000000000000005</v>
      </c>
      <c r="M355">
        <v>0.16420000000000001</v>
      </c>
      <c r="N355">
        <v>1</v>
      </c>
      <c r="O355">
        <v>1</v>
      </c>
      <c r="P355">
        <v>2</v>
      </c>
      <c r="Q355" t="str">
        <f t="shared" si="20"/>
        <v>Weekend</v>
      </c>
      <c r="R355" t="str">
        <f t="shared" si="21"/>
        <v>Low</v>
      </c>
      <c r="S355" s="10" t="str">
        <f t="shared" si="22"/>
        <v>Mist/Cloudy</v>
      </c>
      <c r="T355" s="10" t="str">
        <f t="shared" si="23"/>
        <v>Cold</v>
      </c>
    </row>
    <row r="356" spans="1:20" x14ac:dyDescent="0.3">
      <c r="A356">
        <v>355</v>
      </c>
      <c r="B356" t="s">
        <v>31</v>
      </c>
      <c r="C356">
        <v>1</v>
      </c>
      <c r="D356">
        <v>0</v>
      </c>
      <c r="E356">
        <v>1</v>
      </c>
      <c r="F356">
        <v>6</v>
      </c>
      <c r="G356" t="b">
        <v>0</v>
      </c>
      <c r="H356">
        <v>0</v>
      </c>
      <c r="I356">
        <v>2</v>
      </c>
      <c r="J356">
        <v>0.26</v>
      </c>
      <c r="K356">
        <v>0.2576</v>
      </c>
      <c r="L356">
        <v>0.56000000000000005</v>
      </c>
      <c r="M356">
        <v>0.16420000000000001</v>
      </c>
      <c r="N356">
        <v>0</v>
      </c>
      <c r="O356">
        <v>1</v>
      </c>
      <c r="P356">
        <v>1</v>
      </c>
      <c r="Q356" t="str">
        <f t="shared" si="20"/>
        <v>Weekend</v>
      </c>
      <c r="R356" t="str">
        <f t="shared" si="21"/>
        <v>Low</v>
      </c>
      <c r="S356" s="10" t="str">
        <f t="shared" si="22"/>
        <v>Mist/Cloudy</v>
      </c>
      <c r="T356" s="10" t="str">
        <f t="shared" si="23"/>
        <v>Cold</v>
      </c>
    </row>
    <row r="357" spans="1:20" x14ac:dyDescent="0.3">
      <c r="A357">
        <v>356</v>
      </c>
      <c r="B357" t="s">
        <v>31</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20"/>
        <v>Weekend</v>
      </c>
      <c r="R357" t="str">
        <f t="shared" si="21"/>
        <v>Low</v>
      </c>
      <c r="S357" s="10" t="str">
        <f t="shared" si="22"/>
        <v>Mist/Cloudy</v>
      </c>
      <c r="T357" s="10" t="str">
        <f t="shared" si="23"/>
        <v>Cold</v>
      </c>
    </row>
    <row r="358" spans="1:20" x14ac:dyDescent="0.3">
      <c r="A358">
        <v>357</v>
      </c>
      <c r="B358" t="s">
        <v>31</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20"/>
        <v>Weekend</v>
      </c>
      <c r="R358" t="str">
        <f t="shared" si="21"/>
        <v>Low</v>
      </c>
      <c r="S358" s="10" t="str">
        <f t="shared" si="22"/>
        <v>Clear</v>
      </c>
      <c r="T358" s="10" t="str">
        <f t="shared" si="23"/>
        <v>Cold</v>
      </c>
    </row>
    <row r="359" spans="1:20" x14ac:dyDescent="0.3">
      <c r="A359">
        <v>358</v>
      </c>
      <c r="B359" t="s">
        <v>31</v>
      </c>
      <c r="C359">
        <v>1</v>
      </c>
      <c r="D359">
        <v>0</v>
      </c>
      <c r="E359">
        <v>1</v>
      </c>
      <c r="F359">
        <v>9</v>
      </c>
      <c r="G359" t="b">
        <v>0</v>
      </c>
      <c r="H359">
        <v>0</v>
      </c>
      <c r="I359">
        <v>1</v>
      </c>
      <c r="J359">
        <v>0.22</v>
      </c>
      <c r="K359">
        <v>0.21210000000000001</v>
      </c>
      <c r="L359">
        <v>0.51</v>
      </c>
      <c r="M359">
        <v>0.25369999999999998</v>
      </c>
      <c r="N359">
        <v>3</v>
      </c>
      <c r="O359">
        <v>29</v>
      </c>
      <c r="P359">
        <v>32</v>
      </c>
      <c r="Q359" t="str">
        <f t="shared" si="20"/>
        <v>Weekend</v>
      </c>
      <c r="R359" t="str">
        <f t="shared" si="21"/>
        <v>Low</v>
      </c>
      <c r="S359" s="10" t="str">
        <f t="shared" si="22"/>
        <v>Clear</v>
      </c>
      <c r="T359" s="10" t="str">
        <f t="shared" si="23"/>
        <v>Cold</v>
      </c>
    </row>
    <row r="360" spans="1:20" x14ac:dyDescent="0.3">
      <c r="A360">
        <v>359</v>
      </c>
      <c r="B360" t="s">
        <v>31</v>
      </c>
      <c r="C360">
        <v>1</v>
      </c>
      <c r="D360">
        <v>0</v>
      </c>
      <c r="E360">
        <v>1</v>
      </c>
      <c r="F360">
        <v>10</v>
      </c>
      <c r="G360" t="b">
        <v>0</v>
      </c>
      <c r="H360">
        <v>0</v>
      </c>
      <c r="I360">
        <v>1</v>
      </c>
      <c r="J360">
        <v>0.22</v>
      </c>
      <c r="K360">
        <v>0.21210000000000001</v>
      </c>
      <c r="L360">
        <v>0.51</v>
      </c>
      <c r="M360">
        <v>0.28360000000000002</v>
      </c>
      <c r="N360">
        <v>8</v>
      </c>
      <c r="O360">
        <v>71</v>
      </c>
      <c r="P360">
        <v>79</v>
      </c>
      <c r="Q360" t="str">
        <f t="shared" si="20"/>
        <v>Weekend</v>
      </c>
      <c r="R360" t="str">
        <f t="shared" si="21"/>
        <v>Medium</v>
      </c>
      <c r="S360" s="10" t="str">
        <f t="shared" si="22"/>
        <v>Clear</v>
      </c>
      <c r="T360" s="10" t="str">
        <f t="shared" si="23"/>
        <v>Cold</v>
      </c>
    </row>
    <row r="361" spans="1:20" x14ac:dyDescent="0.3">
      <c r="A361">
        <v>360</v>
      </c>
      <c r="B361" t="s">
        <v>31</v>
      </c>
      <c r="C361">
        <v>1</v>
      </c>
      <c r="D361">
        <v>0</v>
      </c>
      <c r="E361">
        <v>1</v>
      </c>
      <c r="F361">
        <v>11</v>
      </c>
      <c r="G361" t="b">
        <v>0</v>
      </c>
      <c r="H361">
        <v>0</v>
      </c>
      <c r="I361">
        <v>1</v>
      </c>
      <c r="J361">
        <v>0.24</v>
      </c>
      <c r="K361">
        <v>0.2273</v>
      </c>
      <c r="L361">
        <v>0.44</v>
      </c>
      <c r="M361">
        <v>0.25369999999999998</v>
      </c>
      <c r="N361">
        <v>23</v>
      </c>
      <c r="O361">
        <v>70</v>
      </c>
      <c r="P361">
        <v>93</v>
      </c>
      <c r="Q361" t="str">
        <f t="shared" si="20"/>
        <v>Weekend</v>
      </c>
      <c r="R361" t="str">
        <f t="shared" si="21"/>
        <v>Medium</v>
      </c>
      <c r="S361" s="10" t="str">
        <f t="shared" si="22"/>
        <v>Clear</v>
      </c>
      <c r="T361" s="10" t="str">
        <f t="shared" si="23"/>
        <v>Cold</v>
      </c>
    </row>
    <row r="362" spans="1:20" x14ac:dyDescent="0.3">
      <c r="A362">
        <v>361</v>
      </c>
      <c r="B362" t="s">
        <v>31</v>
      </c>
      <c r="C362">
        <v>1</v>
      </c>
      <c r="D362">
        <v>0</v>
      </c>
      <c r="E362">
        <v>1</v>
      </c>
      <c r="F362">
        <v>12</v>
      </c>
      <c r="G362" t="b">
        <v>0</v>
      </c>
      <c r="H362">
        <v>0</v>
      </c>
      <c r="I362">
        <v>1</v>
      </c>
      <c r="J362">
        <v>0.24</v>
      </c>
      <c r="K362">
        <v>0.21210000000000001</v>
      </c>
      <c r="L362">
        <v>0.41</v>
      </c>
      <c r="M362">
        <v>0.28360000000000002</v>
      </c>
      <c r="N362">
        <v>29</v>
      </c>
      <c r="O362">
        <v>75</v>
      </c>
      <c r="P362">
        <v>104</v>
      </c>
      <c r="Q362" t="str">
        <f t="shared" si="20"/>
        <v>Weekend</v>
      </c>
      <c r="R362" t="str">
        <f t="shared" si="21"/>
        <v>Medium</v>
      </c>
      <c r="S362" s="10" t="str">
        <f t="shared" si="22"/>
        <v>Clear</v>
      </c>
      <c r="T362" s="10" t="str">
        <f t="shared" si="23"/>
        <v>Cold</v>
      </c>
    </row>
    <row r="363" spans="1:20" x14ac:dyDescent="0.3">
      <c r="A363">
        <v>362</v>
      </c>
      <c r="B363" t="s">
        <v>31</v>
      </c>
      <c r="C363">
        <v>1</v>
      </c>
      <c r="D363">
        <v>0</v>
      </c>
      <c r="E363">
        <v>1</v>
      </c>
      <c r="F363">
        <v>13</v>
      </c>
      <c r="G363" t="b">
        <v>0</v>
      </c>
      <c r="H363">
        <v>0</v>
      </c>
      <c r="I363">
        <v>1</v>
      </c>
      <c r="J363">
        <v>0.26</v>
      </c>
      <c r="K363">
        <v>0.2273</v>
      </c>
      <c r="L363">
        <v>0.35</v>
      </c>
      <c r="M363">
        <v>0.29849999999999999</v>
      </c>
      <c r="N363">
        <v>23</v>
      </c>
      <c r="O363">
        <v>95</v>
      </c>
      <c r="P363">
        <v>118</v>
      </c>
      <c r="Q363" t="str">
        <f t="shared" si="20"/>
        <v>Weekend</v>
      </c>
      <c r="R363" t="str">
        <f t="shared" si="21"/>
        <v>Medium</v>
      </c>
      <c r="S363" s="10" t="str">
        <f t="shared" si="22"/>
        <v>Clear</v>
      </c>
      <c r="T363" s="10" t="str">
        <f t="shared" si="23"/>
        <v>Cold</v>
      </c>
    </row>
    <row r="364" spans="1:20" x14ac:dyDescent="0.3">
      <c r="A364">
        <v>363</v>
      </c>
      <c r="B364" t="s">
        <v>31</v>
      </c>
      <c r="C364">
        <v>1</v>
      </c>
      <c r="D364">
        <v>0</v>
      </c>
      <c r="E364">
        <v>1</v>
      </c>
      <c r="F364">
        <v>14</v>
      </c>
      <c r="G364" t="b">
        <v>0</v>
      </c>
      <c r="H364">
        <v>0</v>
      </c>
      <c r="I364">
        <v>1</v>
      </c>
      <c r="J364">
        <v>0.28000000000000003</v>
      </c>
      <c r="K364">
        <v>0.2727</v>
      </c>
      <c r="L364">
        <v>0.36</v>
      </c>
      <c r="M364">
        <v>0.25369999999999998</v>
      </c>
      <c r="N364">
        <v>22</v>
      </c>
      <c r="O364">
        <v>69</v>
      </c>
      <c r="P364">
        <v>91</v>
      </c>
      <c r="Q364" t="str">
        <f t="shared" si="20"/>
        <v>Weekend</v>
      </c>
      <c r="R364" t="str">
        <f t="shared" si="21"/>
        <v>Medium</v>
      </c>
      <c r="S364" s="10" t="str">
        <f t="shared" si="22"/>
        <v>Clear</v>
      </c>
      <c r="T364" s="10" t="str">
        <f t="shared" si="23"/>
        <v>Cold</v>
      </c>
    </row>
    <row r="365" spans="1:20" x14ac:dyDescent="0.3">
      <c r="A365">
        <v>364</v>
      </c>
      <c r="B365" t="s">
        <v>31</v>
      </c>
      <c r="C365">
        <v>1</v>
      </c>
      <c r="D365">
        <v>0</v>
      </c>
      <c r="E365">
        <v>1</v>
      </c>
      <c r="F365">
        <v>15</v>
      </c>
      <c r="G365" t="b">
        <v>0</v>
      </c>
      <c r="H365">
        <v>0</v>
      </c>
      <c r="I365">
        <v>1</v>
      </c>
      <c r="J365">
        <v>0.26</v>
      </c>
      <c r="K365">
        <v>0.2424</v>
      </c>
      <c r="L365">
        <v>0.38</v>
      </c>
      <c r="M365">
        <v>0.25369999999999998</v>
      </c>
      <c r="N365">
        <v>35</v>
      </c>
      <c r="O365">
        <v>78</v>
      </c>
      <c r="P365">
        <v>113</v>
      </c>
      <c r="Q365" t="str">
        <f t="shared" si="20"/>
        <v>Weekend</v>
      </c>
      <c r="R365" t="str">
        <f t="shared" si="21"/>
        <v>Medium</v>
      </c>
      <c r="S365" s="10" t="str">
        <f t="shared" si="22"/>
        <v>Clear</v>
      </c>
      <c r="T365" s="10" t="str">
        <f t="shared" si="23"/>
        <v>Cold</v>
      </c>
    </row>
    <row r="366" spans="1:20" x14ac:dyDescent="0.3">
      <c r="A366">
        <v>365</v>
      </c>
      <c r="B366" t="s">
        <v>31</v>
      </c>
      <c r="C366">
        <v>1</v>
      </c>
      <c r="D366">
        <v>0</v>
      </c>
      <c r="E366">
        <v>1</v>
      </c>
      <c r="F366">
        <v>16</v>
      </c>
      <c r="G366" t="b">
        <v>0</v>
      </c>
      <c r="H366">
        <v>0</v>
      </c>
      <c r="I366">
        <v>1</v>
      </c>
      <c r="J366">
        <v>0.24</v>
      </c>
      <c r="K366">
        <v>0.2273</v>
      </c>
      <c r="L366">
        <v>0.38</v>
      </c>
      <c r="M366">
        <v>0.22389999999999999</v>
      </c>
      <c r="N366">
        <v>22</v>
      </c>
      <c r="O366">
        <v>77</v>
      </c>
      <c r="P366">
        <v>99</v>
      </c>
      <c r="Q366" t="str">
        <f t="shared" si="20"/>
        <v>Weekend</v>
      </c>
      <c r="R366" t="str">
        <f t="shared" si="21"/>
        <v>Medium</v>
      </c>
      <c r="S366" s="10" t="str">
        <f t="shared" si="22"/>
        <v>Clear</v>
      </c>
      <c r="T366" s="10" t="str">
        <f t="shared" si="23"/>
        <v>Cold</v>
      </c>
    </row>
    <row r="367" spans="1:20" x14ac:dyDescent="0.3">
      <c r="A367">
        <v>366</v>
      </c>
      <c r="B367" t="s">
        <v>31</v>
      </c>
      <c r="C367">
        <v>1</v>
      </c>
      <c r="D367">
        <v>0</v>
      </c>
      <c r="E367">
        <v>1</v>
      </c>
      <c r="F367">
        <v>17</v>
      </c>
      <c r="G367" t="b">
        <v>0</v>
      </c>
      <c r="H367">
        <v>0</v>
      </c>
      <c r="I367">
        <v>1</v>
      </c>
      <c r="J367">
        <v>0.22</v>
      </c>
      <c r="K367">
        <v>0.21210000000000001</v>
      </c>
      <c r="L367">
        <v>0.37</v>
      </c>
      <c r="M367">
        <v>0.25369999999999998</v>
      </c>
      <c r="N367">
        <v>23</v>
      </c>
      <c r="O367">
        <v>82</v>
      </c>
      <c r="P367">
        <v>105</v>
      </c>
      <c r="Q367" t="str">
        <f t="shared" si="20"/>
        <v>Weekend</v>
      </c>
      <c r="R367" t="str">
        <f t="shared" si="21"/>
        <v>Medium</v>
      </c>
      <c r="S367" s="10" t="str">
        <f t="shared" si="22"/>
        <v>Clear</v>
      </c>
      <c r="T367" s="10" t="str">
        <f t="shared" si="23"/>
        <v>Cold</v>
      </c>
    </row>
    <row r="368" spans="1:20" x14ac:dyDescent="0.3">
      <c r="A368">
        <v>367</v>
      </c>
      <c r="B368" t="s">
        <v>31</v>
      </c>
      <c r="C368">
        <v>1</v>
      </c>
      <c r="D368">
        <v>0</v>
      </c>
      <c r="E368">
        <v>1</v>
      </c>
      <c r="F368">
        <v>18</v>
      </c>
      <c r="G368" t="b">
        <v>0</v>
      </c>
      <c r="H368">
        <v>0</v>
      </c>
      <c r="I368">
        <v>1</v>
      </c>
      <c r="J368">
        <v>0.2</v>
      </c>
      <c r="K368">
        <v>0.21210000000000001</v>
      </c>
      <c r="L368">
        <v>0.4</v>
      </c>
      <c r="M368">
        <v>0.16420000000000001</v>
      </c>
      <c r="N368">
        <v>11</v>
      </c>
      <c r="O368">
        <v>56</v>
      </c>
      <c r="P368">
        <v>67</v>
      </c>
      <c r="Q368" t="str">
        <f t="shared" si="20"/>
        <v>Weekend</v>
      </c>
      <c r="R368" t="str">
        <f t="shared" si="21"/>
        <v>Medium</v>
      </c>
      <c r="S368" s="10" t="str">
        <f t="shared" si="22"/>
        <v>Clear</v>
      </c>
      <c r="T368" s="10" t="str">
        <f t="shared" si="23"/>
        <v>Cold</v>
      </c>
    </row>
    <row r="369" spans="1:20" x14ac:dyDescent="0.3">
      <c r="A369">
        <v>368</v>
      </c>
      <c r="B369" t="s">
        <v>31</v>
      </c>
      <c r="C369">
        <v>1</v>
      </c>
      <c r="D369">
        <v>0</v>
      </c>
      <c r="E369">
        <v>1</v>
      </c>
      <c r="F369">
        <v>19</v>
      </c>
      <c r="G369" t="b">
        <v>0</v>
      </c>
      <c r="H369">
        <v>0</v>
      </c>
      <c r="I369">
        <v>1</v>
      </c>
      <c r="J369">
        <v>0.18</v>
      </c>
      <c r="K369">
        <v>0.19700000000000001</v>
      </c>
      <c r="L369">
        <v>0.47</v>
      </c>
      <c r="M369">
        <v>0.1343</v>
      </c>
      <c r="N369">
        <v>14</v>
      </c>
      <c r="O369">
        <v>47</v>
      </c>
      <c r="P369">
        <v>61</v>
      </c>
      <c r="Q369" t="str">
        <f t="shared" si="20"/>
        <v>Weekend</v>
      </c>
      <c r="R369" t="str">
        <f t="shared" si="21"/>
        <v>Medium</v>
      </c>
      <c r="S369" s="10" t="str">
        <f t="shared" si="22"/>
        <v>Clear</v>
      </c>
      <c r="T369" s="10" t="str">
        <f t="shared" si="23"/>
        <v>Cold</v>
      </c>
    </row>
    <row r="370" spans="1:20" x14ac:dyDescent="0.3">
      <c r="A370">
        <v>369</v>
      </c>
      <c r="B370" t="s">
        <v>31</v>
      </c>
      <c r="C370">
        <v>1</v>
      </c>
      <c r="D370">
        <v>0</v>
      </c>
      <c r="E370">
        <v>1</v>
      </c>
      <c r="F370">
        <v>20</v>
      </c>
      <c r="G370" t="b">
        <v>0</v>
      </c>
      <c r="H370">
        <v>0</v>
      </c>
      <c r="I370">
        <v>1</v>
      </c>
      <c r="J370">
        <v>0.18</v>
      </c>
      <c r="K370">
        <v>0.19700000000000001</v>
      </c>
      <c r="L370">
        <v>0.47</v>
      </c>
      <c r="M370">
        <v>0.16420000000000001</v>
      </c>
      <c r="N370">
        <v>7</v>
      </c>
      <c r="O370">
        <v>50</v>
      </c>
      <c r="P370">
        <v>57</v>
      </c>
      <c r="Q370" t="str">
        <f t="shared" si="20"/>
        <v>Weekend</v>
      </c>
      <c r="R370" t="str">
        <f t="shared" si="21"/>
        <v>Medium</v>
      </c>
      <c r="S370" s="10" t="str">
        <f t="shared" si="22"/>
        <v>Clear</v>
      </c>
      <c r="T370" s="10" t="str">
        <f t="shared" si="23"/>
        <v>Cold</v>
      </c>
    </row>
    <row r="371" spans="1:20" x14ac:dyDescent="0.3">
      <c r="A371">
        <v>370</v>
      </c>
      <c r="B371" t="s">
        <v>31</v>
      </c>
      <c r="C371">
        <v>1</v>
      </c>
      <c r="D371">
        <v>0</v>
      </c>
      <c r="E371">
        <v>1</v>
      </c>
      <c r="F371">
        <v>21</v>
      </c>
      <c r="G371" t="b">
        <v>0</v>
      </c>
      <c r="H371">
        <v>0</v>
      </c>
      <c r="I371">
        <v>1</v>
      </c>
      <c r="J371">
        <v>0.18</v>
      </c>
      <c r="K371">
        <v>0.19700000000000001</v>
      </c>
      <c r="L371">
        <v>0.51</v>
      </c>
      <c r="M371">
        <v>0.16420000000000001</v>
      </c>
      <c r="N371">
        <v>6</v>
      </c>
      <c r="O371">
        <v>22</v>
      </c>
      <c r="P371">
        <v>28</v>
      </c>
      <c r="Q371" t="str">
        <f t="shared" si="20"/>
        <v>Weekend</v>
      </c>
      <c r="R371" t="str">
        <f t="shared" si="21"/>
        <v>Low</v>
      </c>
      <c r="S371" s="10" t="str">
        <f t="shared" si="22"/>
        <v>Clear</v>
      </c>
      <c r="T371" s="10" t="str">
        <f t="shared" si="23"/>
        <v>Cold</v>
      </c>
    </row>
    <row r="372" spans="1:20" x14ac:dyDescent="0.3">
      <c r="A372">
        <v>371</v>
      </c>
      <c r="B372" t="s">
        <v>31</v>
      </c>
      <c r="C372">
        <v>1</v>
      </c>
      <c r="D372">
        <v>0</v>
      </c>
      <c r="E372">
        <v>1</v>
      </c>
      <c r="F372">
        <v>22</v>
      </c>
      <c r="G372" t="b">
        <v>0</v>
      </c>
      <c r="H372">
        <v>0</v>
      </c>
      <c r="I372">
        <v>2</v>
      </c>
      <c r="J372">
        <v>0.2</v>
      </c>
      <c r="K372">
        <v>0.21210000000000001</v>
      </c>
      <c r="L372">
        <v>0.49</v>
      </c>
      <c r="M372">
        <v>0.1343</v>
      </c>
      <c r="N372">
        <v>2</v>
      </c>
      <c r="O372">
        <v>19</v>
      </c>
      <c r="P372">
        <v>21</v>
      </c>
      <c r="Q372" t="str">
        <f t="shared" si="20"/>
        <v>Weekend</v>
      </c>
      <c r="R372" t="str">
        <f t="shared" si="21"/>
        <v>Low</v>
      </c>
      <c r="S372" s="10" t="str">
        <f t="shared" si="22"/>
        <v>Mist/Cloudy</v>
      </c>
      <c r="T372" s="10" t="str">
        <f t="shared" si="23"/>
        <v>Cold</v>
      </c>
    </row>
    <row r="373" spans="1:20" x14ac:dyDescent="0.3">
      <c r="A373">
        <v>372</v>
      </c>
      <c r="B373" t="s">
        <v>31</v>
      </c>
      <c r="C373">
        <v>1</v>
      </c>
      <c r="D373">
        <v>0</v>
      </c>
      <c r="E373">
        <v>1</v>
      </c>
      <c r="F373">
        <v>23</v>
      </c>
      <c r="G373" t="b">
        <v>0</v>
      </c>
      <c r="H373">
        <v>0</v>
      </c>
      <c r="I373">
        <v>2</v>
      </c>
      <c r="J373">
        <v>0.2</v>
      </c>
      <c r="K373">
        <v>0.2273</v>
      </c>
      <c r="L373">
        <v>0.4</v>
      </c>
      <c r="M373">
        <v>0.1045</v>
      </c>
      <c r="N373">
        <v>0</v>
      </c>
      <c r="O373">
        <v>18</v>
      </c>
      <c r="P373">
        <v>18</v>
      </c>
      <c r="Q373" t="str">
        <f t="shared" si="20"/>
        <v>Weekend</v>
      </c>
      <c r="R373" t="str">
        <f t="shared" si="21"/>
        <v>Low</v>
      </c>
      <c r="S373" s="10" t="str">
        <f t="shared" si="22"/>
        <v>Mist/Cloudy</v>
      </c>
      <c r="T373" s="10" t="str">
        <f t="shared" si="23"/>
        <v>Cold</v>
      </c>
    </row>
    <row r="374" spans="1:20" x14ac:dyDescent="0.3">
      <c r="A374">
        <v>373</v>
      </c>
      <c r="B374" t="s">
        <v>32</v>
      </c>
      <c r="C374">
        <v>1</v>
      </c>
      <c r="D374">
        <v>0</v>
      </c>
      <c r="E374">
        <v>1</v>
      </c>
      <c r="F374">
        <v>0</v>
      </c>
      <c r="G374" t="b">
        <v>1</v>
      </c>
      <c r="H374">
        <v>1</v>
      </c>
      <c r="I374">
        <v>2</v>
      </c>
      <c r="J374">
        <v>0.2</v>
      </c>
      <c r="K374">
        <v>0.19700000000000001</v>
      </c>
      <c r="L374">
        <v>0.47</v>
      </c>
      <c r="M374">
        <v>0.22389999999999999</v>
      </c>
      <c r="N374">
        <v>1</v>
      </c>
      <c r="O374">
        <v>16</v>
      </c>
      <c r="P374">
        <v>17</v>
      </c>
      <c r="Q374" t="str">
        <f t="shared" si="20"/>
        <v>Holiday</v>
      </c>
      <c r="R374" t="str">
        <f t="shared" si="21"/>
        <v>Low</v>
      </c>
      <c r="S374" s="10" t="str">
        <f t="shared" si="22"/>
        <v>Mist/Cloudy</v>
      </c>
      <c r="T374" s="10" t="str">
        <f t="shared" si="23"/>
        <v>Cold</v>
      </c>
    </row>
    <row r="375" spans="1:20" x14ac:dyDescent="0.3">
      <c r="A375">
        <v>374</v>
      </c>
      <c r="B375" t="s">
        <v>32</v>
      </c>
      <c r="C375">
        <v>1</v>
      </c>
      <c r="D375">
        <v>0</v>
      </c>
      <c r="E375">
        <v>1</v>
      </c>
      <c r="F375">
        <v>1</v>
      </c>
      <c r="G375" t="b">
        <v>1</v>
      </c>
      <c r="H375">
        <v>1</v>
      </c>
      <c r="I375">
        <v>2</v>
      </c>
      <c r="J375">
        <v>0.2</v>
      </c>
      <c r="K375">
        <v>0.19700000000000001</v>
      </c>
      <c r="L375">
        <v>0.44</v>
      </c>
      <c r="M375">
        <v>0.19400000000000001</v>
      </c>
      <c r="N375">
        <v>1</v>
      </c>
      <c r="O375">
        <v>15</v>
      </c>
      <c r="P375">
        <v>16</v>
      </c>
      <c r="Q375" t="str">
        <f t="shared" si="20"/>
        <v>Holiday</v>
      </c>
      <c r="R375" t="str">
        <f t="shared" si="21"/>
        <v>Low</v>
      </c>
      <c r="S375" s="10" t="str">
        <f t="shared" si="22"/>
        <v>Mist/Cloudy</v>
      </c>
      <c r="T375" s="10" t="str">
        <f t="shared" si="23"/>
        <v>Cold</v>
      </c>
    </row>
    <row r="376" spans="1:20" x14ac:dyDescent="0.3">
      <c r="A376">
        <v>375</v>
      </c>
      <c r="B376" t="s">
        <v>32</v>
      </c>
      <c r="C376">
        <v>1</v>
      </c>
      <c r="D376">
        <v>0</v>
      </c>
      <c r="E376">
        <v>1</v>
      </c>
      <c r="F376">
        <v>2</v>
      </c>
      <c r="G376" t="b">
        <v>1</v>
      </c>
      <c r="H376">
        <v>1</v>
      </c>
      <c r="I376">
        <v>2</v>
      </c>
      <c r="J376">
        <v>0.18</v>
      </c>
      <c r="K376">
        <v>0.16669999999999999</v>
      </c>
      <c r="L376">
        <v>0.43</v>
      </c>
      <c r="M376">
        <v>0.25369999999999998</v>
      </c>
      <c r="N376">
        <v>0</v>
      </c>
      <c r="O376">
        <v>8</v>
      </c>
      <c r="P376">
        <v>8</v>
      </c>
      <c r="Q376" t="str">
        <f t="shared" si="20"/>
        <v>Holiday</v>
      </c>
      <c r="R376" t="str">
        <f t="shared" si="21"/>
        <v>Low</v>
      </c>
      <c r="S376" s="10" t="str">
        <f t="shared" si="22"/>
        <v>Mist/Cloudy</v>
      </c>
      <c r="T376" s="10" t="str">
        <f t="shared" si="23"/>
        <v>Cold</v>
      </c>
    </row>
    <row r="377" spans="1:20" x14ac:dyDescent="0.3">
      <c r="A377">
        <v>376</v>
      </c>
      <c r="B377" t="s">
        <v>32</v>
      </c>
      <c r="C377">
        <v>1</v>
      </c>
      <c r="D377">
        <v>0</v>
      </c>
      <c r="E377">
        <v>1</v>
      </c>
      <c r="F377">
        <v>3</v>
      </c>
      <c r="G377" t="b">
        <v>1</v>
      </c>
      <c r="H377">
        <v>1</v>
      </c>
      <c r="I377">
        <v>2</v>
      </c>
      <c r="J377">
        <v>0.18</v>
      </c>
      <c r="K377">
        <v>0.18179999999999999</v>
      </c>
      <c r="L377">
        <v>0.43</v>
      </c>
      <c r="M377">
        <v>0.19400000000000001</v>
      </c>
      <c r="N377">
        <v>0</v>
      </c>
      <c r="O377">
        <v>2</v>
      </c>
      <c r="P377">
        <v>2</v>
      </c>
      <c r="Q377" t="str">
        <f t="shared" si="20"/>
        <v>Holiday</v>
      </c>
      <c r="R377" t="str">
        <f t="shared" si="21"/>
        <v>Low</v>
      </c>
      <c r="S377" s="10" t="str">
        <f t="shared" si="22"/>
        <v>Mist/Cloudy</v>
      </c>
      <c r="T377" s="10" t="str">
        <f t="shared" si="23"/>
        <v>Cold</v>
      </c>
    </row>
    <row r="378" spans="1:20" x14ac:dyDescent="0.3">
      <c r="A378">
        <v>377</v>
      </c>
      <c r="B378" t="s">
        <v>32</v>
      </c>
      <c r="C378">
        <v>1</v>
      </c>
      <c r="D378">
        <v>0</v>
      </c>
      <c r="E378">
        <v>1</v>
      </c>
      <c r="F378">
        <v>4</v>
      </c>
      <c r="G378" t="b">
        <v>1</v>
      </c>
      <c r="H378">
        <v>1</v>
      </c>
      <c r="I378">
        <v>2</v>
      </c>
      <c r="J378">
        <v>0.18</v>
      </c>
      <c r="K378">
        <v>0.19700000000000001</v>
      </c>
      <c r="L378">
        <v>0.43</v>
      </c>
      <c r="M378">
        <v>0.1343</v>
      </c>
      <c r="N378">
        <v>1</v>
      </c>
      <c r="O378">
        <v>2</v>
      </c>
      <c r="P378">
        <v>3</v>
      </c>
      <c r="Q378" t="str">
        <f t="shared" si="20"/>
        <v>Holiday</v>
      </c>
      <c r="R378" t="str">
        <f t="shared" si="21"/>
        <v>Low</v>
      </c>
      <c r="S378" s="10" t="str">
        <f t="shared" si="22"/>
        <v>Mist/Cloudy</v>
      </c>
      <c r="T378" s="10" t="str">
        <f t="shared" si="23"/>
        <v>Cold</v>
      </c>
    </row>
    <row r="379" spans="1:20" x14ac:dyDescent="0.3">
      <c r="A379">
        <v>378</v>
      </c>
      <c r="B379" t="s">
        <v>32</v>
      </c>
      <c r="C379">
        <v>1</v>
      </c>
      <c r="D379">
        <v>0</v>
      </c>
      <c r="E379">
        <v>1</v>
      </c>
      <c r="F379">
        <v>5</v>
      </c>
      <c r="G379" t="b">
        <v>1</v>
      </c>
      <c r="H379">
        <v>1</v>
      </c>
      <c r="I379">
        <v>2</v>
      </c>
      <c r="J379">
        <v>0.18</v>
      </c>
      <c r="K379">
        <v>0.19700000000000001</v>
      </c>
      <c r="L379">
        <v>0.43</v>
      </c>
      <c r="M379">
        <v>0.16420000000000001</v>
      </c>
      <c r="N379">
        <v>0</v>
      </c>
      <c r="O379">
        <v>1</v>
      </c>
      <c r="P379">
        <v>1</v>
      </c>
      <c r="Q379" t="str">
        <f t="shared" si="20"/>
        <v>Holiday</v>
      </c>
      <c r="R379" t="str">
        <f t="shared" si="21"/>
        <v>Low</v>
      </c>
      <c r="S379" s="10" t="str">
        <f t="shared" si="22"/>
        <v>Mist/Cloudy</v>
      </c>
      <c r="T379" s="10" t="str">
        <f t="shared" si="23"/>
        <v>Cold</v>
      </c>
    </row>
    <row r="380" spans="1:20" x14ac:dyDescent="0.3">
      <c r="A380">
        <v>379</v>
      </c>
      <c r="B380" t="s">
        <v>32</v>
      </c>
      <c r="C380">
        <v>1</v>
      </c>
      <c r="D380">
        <v>0</v>
      </c>
      <c r="E380">
        <v>1</v>
      </c>
      <c r="F380">
        <v>6</v>
      </c>
      <c r="G380" t="b">
        <v>1</v>
      </c>
      <c r="H380">
        <v>1</v>
      </c>
      <c r="I380">
        <v>2</v>
      </c>
      <c r="J380">
        <v>0.18</v>
      </c>
      <c r="K380">
        <v>0.18179999999999999</v>
      </c>
      <c r="L380">
        <v>0.43</v>
      </c>
      <c r="M380">
        <v>0.19400000000000001</v>
      </c>
      <c r="N380">
        <v>0</v>
      </c>
      <c r="O380">
        <v>5</v>
      </c>
      <c r="P380">
        <v>5</v>
      </c>
      <c r="Q380" t="str">
        <f t="shared" si="20"/>
        <v>Holiday</v>
      </c>
      <c r="R380" t="str">
        <f t="shared" si="21"/>
        <v>Low</v>
      </c>
      <c r="S380" s="10" t="str">
        <f t="shared" si="22"/>
        <v>Mist/Cloudy</v>
      </c>
      <c r="T380" s="10" t="str">
        <f t="shared" si="23"/>
        <v>Cold</v>
      </c>
    </row>
    <row r="381" spans="1:20" x14ac:dyDescent="0.3">
      <c r="A381">
        <v>380</v>
      </c>
      <c r="B381" t="s">
        <v>32</v>
      </c>
      <c r="C381">
        <v>1</v>
      </c>
      <c r="D381">
        <v>0</v>
      </c>
      <c r="E381">
        <v>1</v>
      </c>
      <c r="F381">
        <v>7</v>
      </c>
      <c r="G381" t="b">
        <v>1</v>
      </c>
      <c r="H381">
        <v>1</v>
      </c>
      <c r="I381">
        <v>2</v>
      </c>
      <c r="J381">
        <v>0.16</v>
      </c>
      <c r="K381">
        <v>0.18179999999999999</v>
      </c>
      <c r="L381">
        <v>0.5</v>
      </c>
      <c r="M381">
        <v>0.1343</v>
      </c>
      <c r="N381">
        <v>4</v>
      </c>
      <c r="O381">
        <v>9</v>
      </c>
      <c r="P381">
        <v>13</v>
      </c>
      <c r="Q381" t="str">
        <f t="shared" si="20"/>
        <v>Holiday</v>
      </c>
      <c r="R381" t="str">
        <f t="shared" si="21"/>
        <v>Low</v>
      </c>
      <c r="S381" s="10" t="str">
        <f t="shared" si="22"/>
        <v>Mist/Cloudy</v>
      </c>
      <c r="T381" s="10" t="str">
        <f t="shared" si="23"/>
        <v>Cold</v>
      </c>
    </row>
    <row r="382" spans="1:20" x14ac:dyDescent="0.3">
      <c r="A382">
        <v>381</v>
      </c>
      <c r="B382" t="s">
        <v>32</v>
      </c>
      <c r="C382">
        <v>1</v>
      </c>
      <c r="D382">
        <v>0</v>
      </c>
      <c r="E382">
        <v>1</v>
      </c>
      <c r="F382">
        <v>8</v>
      </c>
      <c r="G382" t="b">
        <v>1</v>
      </c>
      <c r="H382">
        <v>1</v>
      </c>
      <c r="I382">
        <v>2</v>
      </c>
      <c r="J382">
        <v>0.16</v>
      </c>
      <c r="K382">
        <v>0.1515</v>
      </c>
      <c r="L382">
        <v>0.47</v>
      </c>
      <c r="M382">
        <v>0.22389999999999999</v>
      </c>
      <c r="N382">
        <v>3</v>
      </c>
      <c r="O382">
        <v>30</v>
      </c>
      <c r="P382">
        <v>33</v>
      </c>
      <c r="Q382" t="str">
        <f t="shared" si="20"/>
        <v>Holiday</v>
      </c>
      <c r="R382" t="str">
        <f t="shared" si="21"/>
        <v>Low</v>
      </c>
      <c r="S382" s="10" t="str">
        <f t="shared" si="22"/>
        <v>Mist/Cloudy</v>
      </c>
      <c r="T382" s="10" t="str">
        <f t="shared" si="23"/>
        <v>Cold</v>
      </c>
    </row>
    <row r="383" spans="1:20" x14ac:dyDescent="0.3">
      <c r="A383">
        <v>382</v>
      </c>
      <c r="B383" t="s">
        <v>32</v>
      </c>
      <c r="C383">
        <v>1</v>
      </c>
      <c r="D383">
        <v>0</v>
      </c>
      <c r="E383">
        <v>1</v>
      </c>
      <c r="F383">
        <v>9</v>
      </c>
      <c r="G383" t="b">
        <v>1</v>
      </c>
      <c r="H383">
        <v>1</v>
      </c>
      <c r="I383">
        <v>2</v>
      </c>
      <c r="J383">
        <v>0.16</v>
      </c>
      <c r="K383">
        <v>0.1515</v>
      </c>
      <c r="L383">
        <v>0.47</v>
      </c>
      <c r="M383">
        <v>0.22389999999999999</v>
      </c>
      <c r="N383">
        <v>8</v>
      </c>
      <c r="O383">
        <v>39</v>
      </c>
      <c r="P383">
        <v>47</v>
      </c>
      <c r="Q383" t="str">
        <f t="shared" si="20"/>
        <v>Holiday</v>
      </c>
      <c r="R383" t="str">
        <f t="shared" si="21"/>
        <v>Low</v>
      </c>
      <c r="S383" s="10" t="str">
        <f t="shared" si="22"/>
        <v>Mist/Cloudy</v>
      </c>
      <c r="T383" s="10" t="str">
        <f t="shared" si="23"/>
        <v>Cold</v>
      </c>
    </row>
    <row r="384" spans="1:20" x14ac:dyDescent="0.3">
      <c r="A384">
        <v>383</v>
      </c>
      <c r="B384" t="s">
        <v>32</v>
      </c>
      <c r="C384">
        <v>1</v>
      </c>
      <c r="D384">
        <v>0</v>
      </c>
      <c r="E384">
        <v>1</v>
      </c>
      <c r="F384">
        <v>10</v>
      </c>
      <c r="G384" t="b">
        <v>1</v>
      </c>
      <c r="H384">
        <v>1</v>
      </c>
      <c r="I384">
        <v>2</v>
      </c>
      <c r="J384">
        <v>0.16</v>
      </c>
      <c r="K384">
        <v>0.1515</v>
      </c>
      <c r="L384">
        <v>0.5</v>
      </c>
      <c r="M384">
        <v>0.25369999999999998</v>
      </c>
      <c r="N384">
        <v>7</v>
      </c>
      <c r="O384">
        <v>50</v>
      </c>
      <c r="P384">
        <v>57</v>
      </c>
      <c r="Q384" t="str">
        <f t="shared" si="20"/>
        <v>Holiday</v>
      </c>
      <c r="R384" t="str">
        <f t="shared" si="21"/>
        <v>Medium</v>
      </c>
      <c r="S384" s="10" t="str">
        <f t="shared" si="22"/>
        <v>Mist/Cloudy</v>
      </c>
      <c r="T384" s="10" t="str">
        <f t="shared" si="23"/>
        <v>Cold</v>
      </c>
    </row>
    <row r="385" spans="1:20" x14ac:dyDescent="0.3">
      <c r="A385">
        <v>384</v>
      </c>
      <c r="B385" t="s">
        <v>32</v>
      </c>
      <c r="C385">
        <v>1</v>
      </c>
      <c r="D385">
        <v>0</v>
      </c>
      <c r="E385">
        <v>1</v>
      </c>
      <c r="F385">
        <v>11</v>
      </c>
      <c r="G385" t="b">
        <v>1</v>
      </c>
      <c r="H385">
        <v>1</v>
      </c>
      <c r="I385">
        <v>2</v>
      </c>
      <c r="J385">
        <v>0.16</v>
      </c>
      <c r="K385">
        <v>0.1515</v>
      </c>
      <c r="L385">
        <v>0.55000000000000004</v>
      </c>
      <c r="M385">
        <v>0.19400000000000001</v>
      </c>
      <c r="N385">
        <v>9</v>
      </c>
      <c r="O385">
        <v>55</v>
      </c>
      <c r="P385">
        <v>64</v>
      </c>
      <c r="Q385" t="str">
        <f t="shared" si="20"/>
        <v>Holiday</v>
      </c>
      <c r="R385" t="str">
        <f t="shared" si="21"/>
        <v>Medium</v>
      </c>
      <c r="S385" s="10" t="str">
        <f t="shared" si="22"/>
        <v>Mist/Cloudy</v>
      </c>
      <c r="T385" s="10" t="str">
        <f t="shared" si="23"/>
        <v>Cold</v>
      </c>
    </row>
    <row r="386" spans="1:20" x14ac:dyDescent="0.3">
      <c r="A386">
        <v>385</v>
      </c>
      <c r="B386" t="s">
        <v>32</v>
      </c>
      <c r="C386">
        <v>1</v>
      </c>
      <c r="D386">
        <v>0</v>
      </c>
      <c r="E386">
        <v>1</v>
      </c>
      <c r="F386">
        <v>12</v>
      </c>
      <c r="G386" t="b">
        <v>1</v>
      </c>
      <c r="H386">
        <v>1</v>
      </c>
      <c r="I386">
        <v>2</v>
      </c>
      <c r="J386">
        <v>0.18</v>
      </c>
      <c r="K386">
        <v>0.19700000000000001</v>
      </c>
      <c r="L386">
        <v>0.47</v>
      </c>
      <c r="M386">
        <v>0.1343</v>
      </c>
      <c r="N386">
        <v>10</v>
      </c>
      <c r="O386">
        <v>70</v>
      </c>
      <c r="P386">
        <v>80</v>
      </c>
      <c r="Q386" t="str">
        <f t="shared" ref="Q386:Q449" si="24">IF(G386=TRUE,"Holiday",IF(H386=0,"Weekend","Weekday"))</f>
        <v>Holiday</v>
      </c>
      <c r="R386" t="str">
        <f t="shared" ref="R386:R449" si="25">IF(P386&lt;50,"Low",IF(P386&lt;150,"Medium","High"))</f>
        <v>Medium</v>
      </c>
      <c r="S386" s="10" t="str">
        <f t="shared" si="22"/>
        <v>Mist/Cloudy</v>
      </c>
      <c r="T386" s="10" t="str">
        <f t="shared" si="23"/>
        <v>Cold</v>
      </c>
    </row>
    <row r="387" spans="1:20" x14ac:dyDescent="0.3">
      <c r="A387">
        <v>386</v>
      </c>
      <c r="B387" t="s">
        <v>32</v>
      </c>
      <c r="C387">
        <v>1</v>
      </c>
      <c r="D387">
        <v>0</v>
      </c>
      <c r="E387">
        <v>1</v>
      </c>
      <c r="F387">
        <v>13</v>
      </c>
      <c r="G387" t="b">
        <v>1</v>
      </c>
      <c r="H387">
        <v>1</v>
      </c>
      <c r="I387">
        <v>2</v>
      </c>
      <c r="J387">
        <v>0.18</v>
      </c>
      <c r="K387">
        <v>0.19700000000000001</v>
      </c>
      <c r="L387">
        <v>0.47</v>
      </c>
      <c r="M387">
        <v>0.1343</v>
      </c>
      <c r="N387">
        <v>13</v>
      </c>
      <c r="O387">
        <v>80</v>
      </c>
      <c r="P387">
        <v>93</v>
      </c>
      <c r="Q387" t="str">
        <f t="shared" si="24"/>
        <v>Holiday</v>
      </c>
      <c r="R387" t="str">
        <f t="shared" si="25"/>
        <v>Medium</v>
      </c>
      <c r="S387" s="10" t="str">
        <f t="shared" ref="S387:S450" si="26">IF(I387=1,"Clear",IF(I387=2,"Mist/Cloudy",IF(I387=3,"Light Rain/Snow","Heavy Rain/Ice")))</f>
        <v>Mist/Cloudy</v>
      </c>
      <c r="T387" s="10" t="str">
        <f t="shared" ref="T387:T450" si="27">IF(J387&lt;0.3,"Cold","Warm")</f>
        <v>Cold</v>
      </c>
    </row>
    <row r="388" spans="1:20" x14ac:dyDescent="0.3">
      <c r="A388">
        <v>387</v>
      </c>
      <c r="B388" t="s">
        <v>32</v>
      </c>
      <c r="C388">
        <v>1</v>
      </c>
      <c r="D388">
        <v>0</v>
      </c>
      <c r="E388">
        <v>1</v>
      </c>
      <c r="F388">
        <v>14</v>
      </c>
      <c r="G388" t="b">
        <v>1</v>
      </c>
      <c r="H388">
        <v>1</v>
      </c>
      <c r="I388">
        <v>2</v>
      </c>
      <c r="J388">
        <v>0.18</v>
      </c>
      <c r="K388">
        <v>0.21210000000000001</v>
      </c>
      <c r="L388">
        <v>0.43</v>
      </c>
      <c r="M388">
        <v>0.1045</v>
      </c>
      <c r="N388">
        <v>12</v>
      </c>
      <c r="O388">
        <v>74</v>
      </c>
      <c r="P388">
        <v>86</v>
      </c>
      <c r="Q388" t="str">
        <f t="shared" si="24"/>
        <v>Holiday</v>
      </c>
      <c r="R388" t="str">
        <f t="shared" si="25"/>
        <v>Medium</v>
      </c>
      <c r="S388" s="10" t="str">
        <f t="shared" si="26"/>
        <v>Mist/Cloudy</v>
      </c>
      <c r="T388" s="10" t="str">
        <f t="shared" si="27"/>
        <v>Cold</v>
      </c>
    </row>
    <row r="389" spans="1:20" x14ac:dyDescent="0.3">
      <c r="A389">
        <v>388</v>
      </c>
      <c r="B389" t="s">
        <v>32</v>
      </c>
      <c r="C389">
        <v>1</v>
      </c>
      <c r="D389">
        <v>0</v>
      </c>
      <c r="E389">
        <v>1</v>
      </c>
      <c r="F389">
        <v>15</v>
      </c>
      <c r="G389" t="b">
        <v>1</v>
      </c>
      <c r="H389">
        <v>1</v>
      </c>
      <c r="I389">
        <v>2</v>
      </c>
      <c r="J389">
        <v>0.2</v>
      </c>
      <c r="K389">
        <v>0.21210000000000001</v>
      </c>
      <c r="L389">
        <v>0.47</v>
      </c>
      <c r="M389">
        <v>0.16420000000000001</v>
      </c>
      <c r="N389">
        <v>21</v>
      </c>
      <c r="O389">
        <v>72</v>
      </c>
      <c r="P389">
        <v>93</v>
      </c>
      <c r="Q389" t="str">
        <f t="shared" si="24"/>
        <v>Holiday</v>
      </c>
      <c r="R389" t="str">
        <f t="shared" si="25"/>
        <v>Medium</v>
      </c>
      <c r="S389" s="10" t="str">
        <f t="shared" si="26"/>
        <v>Mist/Cloudy</v>
      </c>
      <c r="T389" s="10" t="str">
        <f t="shared" si="27"/>
        <v>Cold</v>
      </c>
    </row>
    <row r="390" spans="1:20" x14ac:dyDescent="0.3">
      <c r="A390">
        <v>389</v>
      </c>
      <c r="B390" t="s">
        <v>32</v>
      </c>
      <c r="C390">
        <v>1</v>
      </c>
      <c r="D390">
        <v>0</v>
      </c>
      <c r="E390">
        <v>1</v>
      </c>
      <c r="F390">
        <v>16</v>
      </c>
      <c r="G390" t="b">
        <v>1</v>
      </c>
      <c r="H390">
        <v>1</v>
      </c>
      <c r="I390">
        <v>2</v>
      </c>
      <c r="J390">
        <v>0.2</v>
      </c>
      <c r="K390">
        <v>0.21210000000000001</v>
      </c>
      <c r="L390">
        <v>0.47</v>
      </c>
      <c r="M390">
        <v>0.16420000000000001</v>
      </c>
      <c r="N390">
        <v>6</v>
      </c>
      <c r="O390">
        <v>76</v>
      </c>
      <c r="P390">
        <v>82</v>
      </c>
      <c r="Q390" t="str">
        <f t="shared" si="24"/>
        <v>Holiday</v>
      </c>
      <c r="R390" t="str">
        <f t="shared" si="25"/>
        <v>Medium</v>
      </c>
      <c r="S390" s="10" t="str">
        <f t="shared" si="26"/>
        <v>Mist/Cloudy</v>
      </c>
      <c r="T390" s="10" t="str">
        <f t="shared" si="27"/>
        <v>Cold</v>
      </c>
    </row>
    <row r="391" spans="1:20" x14ac:dyDescent="0.3">
      <c r="A391">
        <v>390</v>
      </c>
      <c r="B391" t="s">
        <v>32</v>
      </c>
      <c r="C391">
        <v>1</v>
      </c>
      <c r="D391">
        <v>0</v>
      </c>
      <c r="E391">
        <v>1</v>
      </c>
      <c r="F391">
        <v>17</v>
      </c>
      <c r="G391" t="b">
        <v>1</v>
      </c>
      <c r="H391">
        <v>1</v>
      </c>
      <c r="I391">
        <v>1</v>
      </c>
      <c r="J391">
        <v>0.2</v>
      </c>
      <c r="K391">
        <v>0.19700000000000001</v>
      </c>
      <c r="L391">
        <v>0.51</v>
      </c>
      <c r="M391">
        <v>0.19400000000000001</v>
      </c>
      <c r="N391">
        <v>4</v>
      </c>
      <c r="O391">
        <v>67</v>
      </c>
      <c r="P391">
        <v>71</v>
      </c>
      <c r="Q391" t="str">
        <f t="shared" si="24"/>
        <v>Holiday</v>
      </c>
      <c r="R391" t="str">
        <f t="shared" si="25"/>
        <v>Medium</v>
      </c>
      <c r="S391" s="10" t="str">
        <f t="shared" si="26"/>
        <v>Clear</v>
      </c>
      <c r="T391" s="10" t="str">
        <f t="shared" si="27"/>
        <v>Cold</v>
      </c>
    </row>
    <row r="392" spans="1:20" x14ac:dyDescent="0.3">
      <c r="A392">
        <v>391</v>
      </c>
      <c r="B392" t="s">
        <v>32</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24"/>
        <v>Holiday</v>
      </c>
      <c r="R392" t="str">
        <f t="shared" si="25"/>
        <v>Medium</v>
      </c>
      <c r="S392" s="10" t="str">
        <f t="shared" si="26"/>
        <v>Mist/Cloudy</v>
      </c>
      <c r="T392" s="10" t="str">
        <f t="shared" si="27"/>
        <v>Cold</v>
      </c>
    </row>
    <row r="393" spans="1:20" x14ac:dyDescent="0.3">
      <c r="A393">
        <v>392</v>
      </c>
      <c r="B393" t="s">
        <v>32</v>
      </c>
      <c r="C393">
        <v>1</v>
      </c>
      <c r="D393">
        <v>0</v>
      </c>
      <c r="E393">
        <v>1</v>
      </c>
      <c r="F393">
        <v>19</v>
      </c>
      <c r="G393" t="b">
        <v>1</v>
      </c>
      <c r="H393">
        <v>1</v>
      </c>
      <c r="I393">
        <v>3</v>
      </c>
      <c r="J393">
        <v>0.18</v>
      </c>
      <c r="K393">
        <v>0.18179999999999999</v>
      </c>
      <c r="L393">
        <v>0.59</v>
      </c>
      <c r="M393">
        <v>0.19400000000000001</v>
      </c>
      <c r="N393">
        <v>2</v>
      </c>
      <c r="O393">
        <v>58</v>
      </c>
      <c r="P393">
        <v>60</v>
      </c>
      <c r="Q393" t="str">
        <f t="shared" si="24"/>
        <v>Holiday</v>
      </c>
      <c r="R393" t="str">
        <f t="shared" si="25"/>
        <v>Medium</v>
      </c>
      <c r="S393" s="10" t="str">
        <f t="shared" si="26"/>
        <v>Light Rain/Snow</v>
      </c>
      <c r="T393" s="10" t="str">
        <f t="shared" si="27"/>
        <v>Cold</v>
      </c>
    </row>
    <row r="394" spans="1:20" x14ac:dyDescent="0.3">
      <c r="A394">
        <v>393</v>
      </c>
      <c r="B394" t="s">
        <v>32</v>
      </c>
      <c r="C394">
        <v>1</v>
      </c>
      <c r="D394">
        <v>0</v>
      </c>
      <c r="E394">
        <v>1</v>
      </c>
      <c r="F394">
        <v>20</v>
      </c>
      <c r="G394" t="b">
        <v>1</v>
      </c>
      <c r="H394">
        <v>1</v>
      </c>
      <c r="I394">
        <v>3</v>
      </c>
      <c r="J394">
        <v>0.16</v>
      </c>
      <c r="K394">
        <v>0.1515</v>
      </c>
      <c r="L394">
        <v>0.8</v>
      </c>
      <c r="M394">
        <v>0.19400000000000001</v>
      </c>
      <c r="N394">
        <v>4</v>
      </c>
      <c r="O394">
        <v>29</v>
      </c>
      <c r="P394">
        <v>33</v>
      </c>
      <c r="Q394" t="str">
        <f t="shared" si="24"/>
        <v>Holiday</v>
      </c>
      <c r="R394" t="str">
        <f t="shared" si="25"/>
        <v>Low</v>
      </c>
      <c r="S394" s="10" t="str">
        <f t="shared" si="26"/>
        <v>Light Rain/Snow</v>
      </c>
      <c r="T394" s="10" t="str">
        <f t="shared" si="27"/>
        <v>Cold</v>
      </c>
    </row>
    <row r="395" spans="1:20" x14ac:dyDescent="0.3">
      <c r="A395">
        <v>394</v>
      </c>
      <c r="B395" t="s">
        <v>32</v>
      </c>
      <c r="C395">
        <v>1</v>
      </c>
      <c r="D395">
        <v>0</v>
      </c>
      <c r="E395">
        <v>1</v>
      </c>
      <c r="F395">
        <v>21</v>
      </c>
      <c r="G395" t="b">
        <v>1</v>
      </c>
      <c r="H395">
        <v>1</v>
      </c>
      <c r="I395">
        <v>3</v>
      </c>
      <c r="J395">
        <v>0.16</v>
      </c>
      <c r="K395">
        <v>0.1515</v>
      </c>
      <c r="L395">
        <v>0.8</v>
      </c>
      <c r="M395">
        <v>0.19400000000000001</v>
      </c>
      <c r="N395">
        <v>3</v>
      </c>
      <c r="O395">
        <v>24</v>
      </c>
      <c r="P395">
        <v>27</v>
      </c>
      <c r="Q395" t="str">
        <f t="shared" si="24"/>
        <v>Holiday</v>
      </c>
      <c r="R395" t="str">
        <f t="shared" si="25"/>
        <v>Low</v>
      </c>
      <c r="S395" s="10" t="str">
        <f t="shared" si="26"/>
        <v>Light Rain/Snow</v>
      </c>
      <c r="T395" s="10" t="str">
        <f t="shared" si="27"/>
        <v>Cold</v>
      </c>
    </row>
    <row r="396" spans="1:20" x14ac:dyDescent="0.3">
      <c r="A396">
        <v>395</v>
      </c>
      <c r="B396" t="s">
        <v>32</v>
      </c>
      <c r="C396">
        <v>1</v>
      </c>
      <c r="D396">
        <v>0</v>
      </c>
      <c r="E396">
        <v>1</v>
      </c>
      <c r="F396">
        <v>22</v>
      </c>
      <c r="G396" t="b">
        <v>1</v>
      </c>
      <c r="H396">
        <v>1</v>
      </c>
      <c r="I396">
        <v>3</v>
      </c>
      <c r="J396">
        <v>0.14000000000000001</v>
      </c>
      <c r="K396">
        <v>0.1212</v>
      </c>
      <c r="L396">
        <v>0.93</v>
      </c>
      <c r="M396">
        <v>0.25369999999999998</v>
      </c>
      <c r="N396">
        <v>0</v>
      </c>
      <c r="O396">
        <v>13</v>
      </c>
      <c r="P396">
        <v>13</v>
      </c>
      <c r="Q396" t="str">
        <f t="shared" si="24"/>
        <v>Holiday</v>
      </c>
      <c r="R396" t="str">
        <f t="shared" si="25"/>
        <v>Low</v>
      </c>
      <c r="S396" s="10" t="str">
        <f t="shared" si="26"/>
        <v>Light Rain/Snow</v>
      </c>
      <c r="T396" s="10" t="str">
        <f t="shared" si="27"/>
        <v>Cold</v>
      </c>
    </row>
    <row r="397" spans="1:20" x14ac:dyDescent="0.3">
      <c r="A397">
        <v>396</v>
      </c>
      <c r="B397" t="s">
        <v>32</v>
      </c>
      <c r="C397">
        <v>1</v>
      </c>
      <c r="D397">
        <v>0</v>
      </c>
      <c r="E397">
        <v>1</v>
      </c>
      <c r="F397">
        <v>23</v>
      </c>
      <c r="G397" t="b">
        <v>1</v>
      </c>
      <c r="H397">
        <v>1</v>
      </c>
      <c r="I397">
        <v>3</v>
      </c>
      <c r="J397">
        <v>0.16</v>
      </c>
      <c r="K397">
        <v>0.13639999999999999</v>
      </c>
      <c r="L397">
        <v>0.86</v>
      </c>
      <c r="M397">
        <v>0.28360000000000002</v>
      </c>
      <c r="N397">
        <v>1</v>
      </c>
      <c r="O397">
        <v>3</v>
      </c>
      <c r="P397">
        <v>4</v>
      </c>
      <c r="Q397" t="str">
        <f t="shared" si="24"/>
        <v>Holiday</v>
      </c>
      <c r="R397" t="str">
        <f t="shared" si="25"/>
        <v>Low</v>
      </c>
      <c r="S397" s="10" t="str">
        <f t="shared" si="26"/>
        <v>Light Rain/Snow</v>
      </c>
      <c r="T397" s="10" t="str">
        <f t="shared" si="27"/>
        <v>Cold</v>
      </c>
    </row>
    <row r="398" spans="1:20" x14ac:dyDescent="0.3">
      <c r="A398">
        <v>397</v>
      </c>
      <c r="B398" t="s">
        <v>33</v>
      </c>
      <c r="C398">
        <v>1</v>
      </c>
      <c r="D398">
        <v>0</v>
      </c>
      <c r="E398">
        <v>1</v>
      </c>
      <c r="F398">
        <v>12</v>
      </c>
      <c r="G398" t="b">
        <v>0</v>
      </c>
      <c r="H398">
        <v>2</v>
      </c>
      <c r="I398">
        <v>2</v>
      </c>
      <c r="J398">
        <v>0.2</v>
      </c>
      <c r="K398">
        <v>0.18179999999999999</v>
      </c>
      <c r="L398">
        <v>0.86</v>
      </c>
      <c r="M398">
        <v>0.32840000000000003</v>
      </c>
      <c r="N398">
        <v>0</v>
      </c>
      <c r="O398">
        <v>3</v>
      </c>
      <c r="P398">
        <v>3</v>
      </c>
      <c r="Q398" t="str">
        <f t="shared" si="24"/>
        <v>Weekday</v>
      </c>
      <c r="R398" t="str">
        <f t="shared" si="25"/>
        <v>Low</v>
      </c>
      <c r="S398" s="10" t="str">
        <f t="shared" si="26"/>
        <v>Mist/Cloudy</v>
      </c>
      <c r="T398" s="10" t="str">
        <f t="shared" si="27"/>
        <v>Cold</v>
      </c>
    </row>
    <row r="399" spans="1:20" x14ac:dyDescent="0.3">
      <c r="A399">
        <v>398</v>
      </c>
      <c r="B399" t="s">
        <v>33</v>
      </c>
      <c r="C399">
        <v>1</v>
      </c>
      <c r="D399">
        <v>0</v>
      </c>
      <c r="E399">
        <v>1</v>
      </c>
      <c r="F399">
        <v>13</v>
      </c>
      <c r="G399" t="b">
        <v>0</v>
      </c>
      <c r="H399">
        <v>2</v>
      </c>
      <c r="I399">
        <v>2</v>
      </c>
      <c r="J399">
        <v>0.2</v>
      </c>
      <c r="K399">
        <v>0.19700000000000001</v>
      </c>
      <c r="L399">
        <v>0.86</v>
      </c>
      <c r="M399">
        <v>0.22389999999999999</v>
      </c>
      <c r="N399">
        <v>0</v>
      </c>
      <c r="O399">
        <v>22</v>
      </c>
      <c r="P399">
        <v>22</v>
      </c>
      <c r="Q399" t="str">
        <f t="shared" si="24"/>
        <v>Weekday</v>
      </c>
      <c r="R399" t="str">
        <f t="shared" si="25"/>
        <v>Low</v>
      </c>
      <c r="S399" s="10" t="str">
        <f t="shared" si="26"/>
        <v>Mist/Cloudy</v>
      </c>
      <c r="T399" s="10" t="str">
        <f t="shared" si="27"/>
        <v>Cold</v>
      </c>
    </row>
    <row r="400" spans="1:20" x14ac:dyDescent="0.3">
      <c r="A400">
        <v>399</v>
      </c>
      <c r="B400" t="s">
        <v>33</v>
      </c>
      <c r="C400">
        <v>1</v>
      </c>
      <c r="D400">
        <v>0</v>
      </c>
      <c r="E400">
        <v>1</v>
      </c>
      <c r="F400">
        <v>14</v>
      </c>
      <c r="G400" t="b">
        <v>0</v>
      </c>
      <c r="H400">
        <v>2</v>
      </c>
      <c r="I400">
        <v>2</v>
      </c>
      <c r="J400">
        <v>0.22</v>
      </c>
      <c r="K400">
        <v>0.2273</v>
      </c>
      <c r="L400">
        <v>0.8</v>
      </c>
      <c r="M400">
        <v>0.16420000000000001</v>
      </c>
      <c r="N400">
        <v>2</v>
      </c>
      <c r="O400">
        <v>26</v>
      </c>
      <c r="P400">
        <v>28</v>
      </c>
      <c r="Q400" t="str">
        <f t="shared" si="24"/>
        <v>Weekday</v>
      </c>
      <c r="R400" t="str">
        <f t="shared" si="25"/>
        <v>Low</v>
      </c>
      <c r="S400" s="10" t="str">
        <f t="shared" si="26"/>
        <v>Mist/Cloudy</v>
      </c>
      <c r="T400" s="10" t="str">
        <f t="shared" si="27"/>
        <v>Cold</v>
      </c>
    </row>
    <row r="401" spans="1:20" x14ac:dyDescent="0.3">
      <c r="A401">
        <v>400</v>
      </c>
      <c r="B401" t="s">
        <v>33</v>
      </c>
      <c r="C401">
        <v>1</v>
      </c>
      <c r="D401">
        <v>0</v>
      </c>
      <c r="E401">
        <v>1</v>
      </c>
      <c r="F401">
        <v>15</v>
      </c>
      <c r="G401" t="b">
        <v>0</v>
      </c>
      <c r="H401">
        <v>2</v>
      </c>
      <c r="I401">
        <v>2</v>
      </c>
      <c r="J401">
        <v>0.22</v>
      </c>
      <c r="K401">
        <v>0.2273</v>
      </c>
      <c r="L401">
        <v>0.87</v>
      </c>
      <c r="M401">
        <v>0.16420000000000001</v>
      </c>
      <c r="N401">
        <v>3</v>
      </c>
      <c r="O401">
        <v>32</v>
      </c>
      <c r="P401">
        <v>35</v>
      </c>
      <c r="Q401" t="str">
        <f t="shared" si="24"/>
        <v>Weekday</v>
      </c>
      <c r="R401" t="str">
        <f t="shared" si="25"/>
        <v>Low</v>
      </c>
      <c r="S401" s="10" t="str">
        <f t="shared" si="26"/>
        <v>Mist/Cloudy</v>
      </c>
      <c r="T401" s="10" t="str">
        <f t="shared" si="27"/>
        <v>Cold</v>
      </c>
    </row>
    <row r="402" spans="1:20" x14ac:dyDescent="0.3">
      <c r="A402">
        <v>401</v>
      </c>
      <c r="B402" t="s">
        <v>33</v>
      </c>
      <c r="C402">
        <v>1</v>
      </c>
      <c r="D402">
        <v>0</v>
      </c>
      <c r="E402">
        <v>1</v>
      </c>
      <c r="F402">
        <v>16</v>
      </c>
      <c r="G402" t="b">
        <v>0</v>
      </c>
      <c r="H402">
        <v>2</v>
      </c>
      <c r="I402">
        <v>2</v>
      </c>
      <c r="J402">
        <v>0.22</v>
      </c>
      <c r="K402">
        <v>0.2273</v>
      </c>
      <c r="L402">
        <v>0.87</v>
      </c>
      <c r="M402">
        <v>0.19400000000000001</v>
      </c>
      <c r="N402">
        <v>0</v>
      </c>
      <c r="O402">
        <v>61</v>
      </c>
      <c r="P402">
        <v>61</v>
      </c>
      <c r="Q402" t="str">
        <f t="shared" si="24"/>
        <v>Weekday</v>
      </c>
      <c r="R402" t="str">
        <f t="shared" si="25"/>
        <v>Medium</v>
      </c>
      <c r="S402" s="10" t="str">
        <f t="shared" si="26"/>
        <v>Mist/Cloudy</v>
      </c>
      <c r="T402" s="10" t="str">
        <f t="shared" si="27"/>
        <v>Cold</v>
      </c>
    </row>
    <row r="403" spans="1:20" x14ac:dyDescent="0.3">
      <c r="A403">
        <v>402</v>
      </c>
      <c r="B403" t="s">
        <v>33</v>
      </c>
      <c r="C403">
        <v>1</v>
      </c>
      <c r="D403">
        <v>0</v>
      </c>
      <c r="E403">
        <v>1</v>
      </c>
      <c r="F403">
        <v>17</v>
      </c>
      <c r="G403" t="b">
        <v>0</v>
      </c>
      <c r="H403">
        <v>2</v>
      </c>
      <c r="I403">
        <v>2</v>
      </c>
      <c r="J403">
        <v>0.22</v>
      </c>
      <c r="K403">
        <v>0.2273</v>
      </c>
      <c r="L403">
        <v>0.82</v>
      </c>
      <c r="M403">
        <v>0.19400000000000001</v>
      </c>
      <c r="N403">
        <v>1</v>
      </c>
      <c r="O403">
        <v>124</v>
      </c>
      <c r="P403">
        <v>125</v>
      </c>
      <c r="Q403" t="str">
        <f t="shared" si="24"/>
        <v>Weekday</v>
      </c>
      <c r="R403" t="str">
        <f t="shared" si="25"/>
        <v>Medium</v>
      </c>
      <c r="S403" s="10" t="str">
        <f t="shared" si="26"/>
        <v>Mist/Cloudy</v>
      </c>
      <c r="T403" s="10" t="str">
        <f t="shared" si="27"/>
        <v>Cold</v>
      </c>
    </row>
    <row r="404" spans="1:20" x14ac:dyDescent="0.3">
      <c r="A404">
        <v>403</v>
      </c>
      <c r="B404" t="s">
        <v>33</v>
      </c>
      <c r="C404">
        <v>1</v>
      </c>
      <c r="D404">
        <v>0</v>
      </c>
      <c r="E404">
        <v>1</v>
      </c>
      <c r="F404">
        <v>18</v>
      </c>
      <c r="G404" t="b">
        <v>0</v>
      </c>
      <c r="H404">
        <v>2</v>
      </c>
      <c r="I404">
        <v>2</v>
      </c>
      <c r="J404">
        <v>0.22</v>
      </c>
      <c r="K404">
        <v>0.2273</v>
      </c>
      <c r="L404">
        <v>0.8</v>
      </c>
      <c r="M404">
        <v>0.16420000000000001</v>
      </c>
      <c r="N404">
        <v>1</v>
      </c>
      <c r="O404">
        <v>132</v>
      </c>
      <c r="P404">
        <v>133</v>
      </c>
      <c r="Q404" t="str">
        <f t="shared" si="24"/>
        <v>Weekday</v>
      </c>
      <c r="R404" t="str">
        <f t="shared" si="25"/>
        <v>Medium</v>
      </c>
      <c r="S404" s="10" t="str">
        <f t="shared" si="26"/>
        <v>Mist/Cloudy</v>
      </c>
      <c r="T404" s="10" t="str">
        <f t="shared" si="27"/>
        <v>Cold</v>
      </c>
    </row>
    <row r="405" spans="1:20" x14ac:dyDescent="0.3">
      <c r="A405">
        <v>404</v>
      </c>
      <c r="B405" t="s">
        <v>33</v>
      </c>
      <c r="C405">
        <v>1</v>
      </c>
      <c r="D405">
        <v>0</v>
      </c>
      <c r="E405">
        <v>1</v>
      </c>
      <c r="F405">
        <v>19</v>
      </c>
      <c r="G405" t="b">
        <v>0</v>
      </c>
      <c r="H405">
        <v>2</v>
      </c>
      <c r="I405">
        <v>2</v>
      </c>
      <c r="J405">
        <v>0.22</v>
      </c>
      <c r="K405">
        <v>0.2273</v>
      </c>
      <c r="L405">
        <v>0.8</v>
      </c>
      <c r="M405">
        <v>0.1343</v>
      </c>
      <c r="N405">
        <v>1</v>
      </c>
      <c r="O405">
        <v>98</v>
      </c>
      <c r="P405">
        <v>99</v>
      </c>
      <c r="Q405" t="str">
        <f t="shared" si="24"/>
        <v>Weekday</v>
      </c>
      <c r="R405" t="str">
        <f t="shared" si="25"/>
        <v>Medium</v>
      </c>
      <c r="S405" s="10" t="str">
        <f t="shared" si="26"/>
        <v>Mist/Cloudy</v>
      </c>
      <c r="T405" s="10" t="str">
        <f t="shared" si="27"/>
        <v>Cold</v>
      </c>
    </row>
    <row r="406" spans="1:20" x14ac:dyDescent="0.3">
      <c r="A406">
        <v>405</v>
      </c>
      <c r="B406" t="s">
        <v>33</v>
      </c>
      <c r="C406">
        <v>1</v>
      </c>
      <c r="D406">
        <v>0</v>
      </c>
      <c r="E406">
        <v>1</v>
      </c>
      <c r="F406">
        <v>20</v>
      </c>
      <c r="G406" t="b">
        <v>0</v>
      </c>
      <c r="H406">
        <v>2</v>
      </c>
      <c r="I406">
        <v>2</v>
      </c>
      <c r="J406">
        <v>0.22</v>
      </c>
      <c r="K406">
        <v>0.2727</v>
      </c>
      <c r="L406">
        <v>0.87</v>
      </c>
      <c r="M406">
        <v>0</v>
      </c>
      <c r="N406">
        <v>0</v>
      </c>
      <c r="O406">
        <v>83</v>
      </c>
      <c r="P406">
        <v>83</v>
      </c>
      <c r="Q406" t="str">
        <f t="shared" si="24"/>
        <v>Weekday</v>
      </c>
      <c r="R406" t="str">
        <f t="shared" si="25"/>
        <v>Medium</v>
      </c>
      <c r="S406" s="10" t="str">
        <f t="shared" si="26"/>
        <v>Mist/Cloudy</v>
      </c>
      <c r="T406" s="10" t="str">
        <f t="shared" si="27"/>
        <v>Cold</v>
      </c>
    </row>
    <row r="407" spans="1:20" x14ac:dyDescent="0.3">
      <c r="A407">
        <v>406</v>
      </c>
      <c r="B407" t="s">
        <v>33</v>
      </c>
      <c r="C407">
        <v>1</v>
      </c>
      <c r="D407">
        <v>0</v>
      </c>
      <c r="E407">
        <v>1</v>
      </c>
      <c r="F407">
        <v>21</v>
      </c>
      <c r="G407" t="b">
        <v>0</v>
      </c>
      <c r="H407">
        <v>2</v>
      </c>
      <c r="I407">
        <v>2</v>
      </c>
      <c r="J407">
        <v>0.22</v>
      </c>
      <c r="K407">
        <v>0.2424</v>
      </c>
      <c r="L407">
        <v>0.93</v>
      </c>
      <c r="M407">
        <v>0.1045</v>
      </c>
      <c r="N407">
        <v>0</v>
      </c>
      <c r="O407">
        <v>41</v>
      </c>
      <c r="P407">
        <v>41</v>
      </c>
      <c r="Q407" t="str">
        <f t="shared" si="24"/>
        <v>Weekday</v>
      </c>
      <c r="R407" t="str">
        <f t="shared" si="25"/>
        <v>Low</v>
      </c>
      <c r="S407" s="10" t="str">
        <f t="shared" si="26"/>
        <v>Mist/Cloudy</v>
      </c>
      <c r="T407" s="10" t="str">
        <f t="shared" si="27"/>
        <v>Cold</v>
      </c>
    </row>
    <row r="408" spans="1:20" x14ac:dyDescent="0.3">
      <c r="A408">
        <v>407</v>
      </c>
      <c r="B408" t="s">
        <v>33</v>
      </c>
      <c r="C408">
        <v>1</v>
      </c>
      <c r="D408">
        <v>0</v>
      </c>
      <c r="E408">
        <v>1</v>
      </c>
      <c r="F408">
        <v>22</v>
      </c>
      <c r="G408" t="b">
        <v>0</v>
      </c>
      <c r="H408">
        <v>2</v>
      </c>
      <c r="I408">
        <v>2</v>
      </c>
      <c r="J408">
        <v>0.22</v>
      </c>
      <c r="K408">
        <v>0.2576</v>
      </c>
      <c r="L408">
        <v>0.93</v>
      </c>
      <c r="M408">
        <v>8.9599999999999999E-2</v>
      </c>
      <c r="N408">
        <v>0</v>
      </c>
      <c r="O408">
        <v>33</v>
      </c>
      <c r="P408">
        <v>33</v>
      </c>
      <c r="Q408" t="str">
        <f t="shared" si="24"/>
        <v>Weekday</v>
      </c>
      <c r="R408" t="str">
        <f t="shared" si="25"/>
        <v>Low</v>
      </c>
      <c r="S408" s="10" t="str">
        <f t="shared" si="26"/>
        <v>Mist/Cloudy</v>
      </c>
      <c r="T408" s="10" t="str">
        <f t="shared" si="27"/>
        <v>Cold</v>
      </c>
    </row>
    <row r="409" spans="1:20" x14ac:dyDescent="0.3">
      <c r="A409">
        <v>408</v>
      </c>
      <c r="B409" t="s">
        <v>33</v>
      </c>
      <c r="C409">
        <v>1</v>
      </c>
      <c r="D409">
        <v>0</v>
      </c>
      <c r="E409">
        <v>1</v>
      </c>
      <c r="F409">
        <v>23</v>
      </c>
      <c r="G409" t="b">
        <v>0</v>
      </c>
      <c r="H409">
        <v>2</v>
      </c>
      <c r="I409">
        <v>2</v>
      </c>
      <c r="J409">
        <v>0.22</v>
      </c>
      <c r="K409">
        <v>0.2727</v>
      </c>
      <c r="L409">
        <v>0.93</v>
      </c>
      <c r="M409">
        <v>0</v>
      </c>
      <c r="N409">
        <v>1</v>
      </c>
      <c r="O409">
        <v>19</v>
      </c>
      <c r="P409">
        <v>20</v>
      </c>
      <c r="Q409" t="str">
        <f t="shared" si="24"/>
        <v>Weekday</v>
      </c>
      <c r="R409" t="str">
        <f t="shared" si="25"/>
        <v>Low</v>
      </c>
      <c r="S409" s="10" t="str">
        <f t="shared" si="26"/>
        <v>Mist/Cloudy</v>
      </c>
      <c r="T409" s="10" t="str">
        <f t="shared" si="27"/>
        <v>Cold</v>
      </c>
    </row>
    <row r="410" spans="1:20" x14ac:dyDescent="0.3">
      <c r="A410">
        <v>409</v>
      </c>
      <c r="B410" t="s">
        <v>34</v>
      </c>
      <c r="C410">
        <v>1</v>
      </c>
      <c r="D410">
        <v>0</v>
      </c>
      <c r="E410">
        <v>1</v>
      </c>
      <c r="F410">
        <v>0</v>
      </c>
      <c r="G410" t="b">
        <v>0</v>
      </c>
      <c r="H410">
        <v>3</v>
      </c>
      <c r="I410">
        <v>2</v>
      </c>
      <c r="J410">
        <v>0.22</v>
      </c>
      <c r="K410">
        <v>0.2727</v>
      </c>
      <c r="L410">
        <v>0.93</v>
      </c>
      <c r="M410">
        <v>0</v>
      </c>
      <c r="N410">
        <v>0</v>
      </c>
      <c r="O410">
        <v>3</v>
      </c>
      <c r="P410">
        <v>3</v>
      </c>
      <c r="Q410" t="str">
        <f t="shared" si="24"/>
        <v>Weekday</v>
      </c>
      <c r="R410" t="str">
        <f t="shared" si="25"/>
        <v>Low</v>
      </c>
      <c r="S410" s="10" t="str">
        <f t="shared" si="26"/>
        <v>Mist/Cloudy</v>
      </c>
      <c r="T410" s="10" t="str">
        <f t="shared" si="27"/>
        <v>Cold</v>
      </c>
    </row>
    <row r="411" spans="1:20" x14ac:dyDescent="0.3">
      <c r="A411">
        <v>410</v>
      </c>
      <c r="B411" t="s">
        <v>34</v>
      </c>
      <c r="C411">
        <v>1</v>
      </c>
      <c r="D411">
        <v>0</v>
      </c>
      <c r="E411">
        <v>1</v>
      </c>
      <c r="F411">
        <v>1</v>
      </c>
      <c r="G411" t="b">
        <v>0</v>
      </c>
      <c r="H411">
        <v>3</v>
      </c>
      <c r="I411">
        <v>3</v>
      </c>
      <c r="J411">
        <v>0.22</v>
      </c>
      <c r="K411">
        <v>0.2273</v>
      </c>
      <c r="L411">
        <v>0.93</v>
      </c>
      <c r="M411">
        <v>0.1343</v>
      </c>
      <c r="N411">
        <v>1</v>
      </c>
      <c r="O411">
        <v>6</v>
      </c>
      <c r="P411">
        <v>7</v>
      </c>
      <c r="Q411" t="str">
        <f t="shared" si="24"/>
        <v>Weekday</v>
      </c>
      <c r="R411" t="str">
        <f t="shared" si="25"/>
        <v>Low</v>
      </c>
      <c r="S411" s="10" t="str">
        <f t="shared" si="26"/>
        <v>Light Rain/Snow</v>
      </c>
      <c r="T411" s="10" t="str">
        <f t="shared" si="27"/>
        <v>Cold</v>
      </c>
    </row>
    <row r="412" spans="1:20" x14ac:dyDescent="0.3">
      <c r="A412">
        <v>411</v>
      </c>
      <c r="B412" t="s">
        <v>34</v>
      </c>
      <c r="C412">
        <v>1</v>
      </c>
      <c r="D412">
        <v>0</v>
      </c>
      <c r="E412">
        <v>1</v>
      </c>
      <c r="F412">
        <v>2</v>
      </c>
      <c r="G412" t="b">
        <v>0</v>
      </c>
      <c r="H412">
        <v>3</v>
      </c>
      <c r="I412">
        <v>3</v>
      </c>
      <c r="J412">
        <v>0.22</v>
      </c>
      <c r="K412">
        <v>0.2273</v>
      </c>
      <c r="L412">
        <v>0.93</v>
      </c>
      <c r="M412">
        <v>0.1343</v>
      </c>
      <c r="N412">
        <v>0</v>
      </c>
      <c r="O412">
        <v>3</v>
      </c>
      <c r="P412">
        <v>3</v>
      </c>
      <c r="Q412" t="str">
        <f t="shared" si="24"/>
        <v>Weekday</v>
      </c>
      <c r="R412" t="str">
        <f t="shared" si="25"/>
        <v>Low</v>
      </c>
      <c r="S412" s="10" t="str">
        <f t="shared" si="26"/>
        <v>Light Rain/Snow</v>
      </c>
      <c r="T412" s="10" t="str">
        <f t="shared" si="27"/>
        <v>Cold</v>
      </c>
    </row>
    <row r="413" spans="1:20" x14ac:dyDescent="0.3">
      <c r="A413">
        <v>412</v>
      </c>
      <c r="B413" t="s">
        <v>34</v>
      </c>
      <c r="C413">
        <v>1</v>
      </c>
      <c r="D413">
        <v>0</v>
      </c>
      <c r="E413">
        <v>1</v>
      </c>
      <c r="F413">
        <v>4</v>
      </c>
      <c r="G413" t="b">
        <v>0</v>
      </c>
      <c r="H413">
        <v>3</v>
      </c>
      <c r="I413">
        <v>3</v>
      </c>
      <c r="J413">
        <v>0.22</v>
      </c>
      <c r="K413">
        <v>0.2273</v>
      </c>
      <c r="L413">
        <v>0.93</v>
      </c>
      <c r="M413">
        <v>0.1343</v>
      </c>
      <c r="N413">
        <v>1</v>
      </c>
      <c r="O413">
        <v>1</v>
      </c>
      <c r="P413">
        <v>2</v>
      </c>
      <c r="Q413" t="str">
        <f t="shared" si="24"/>
        <v>Weekday</v>
      </c>
      <c r="R413" t="str">
        <f t="shared" si="25"/>
        <v>Low</v>
      </c>
      <c r="S413" s="10" t="str">
        <f t="shared" si="26"/>
        <v>Light Rain/Snow</v>
      </c>
      <c r="T413" s="10" t="str">
        <f t="shared" si="27"/>
        <v>Cold</v>
      </c>
    </row>
    <row r="414" spans="1:20" x14ac:dyDescent="0.3">
      <c r="A414">
        <v>413</v>
      </c>
      <c r="B414" t="s">
        <v>34</v>
      </c>
      <c r="C414">
        <v>1</v>
      </c>
      <c r="D414">
        <v>0</v>
      </c>
      <c r="E414">
        <v>1</v>
      </c>
      <c r="F414">
        <v>5</v>
      </c>
      <c r="G414" t="b">
        <v>0</v>
      </c>
      <c r="H414">
        <v>3</v>
      </c>
      <c r="I414">
        <v>2</v>
      </c>
      <c r="J414">
        <v>0.22</v>
      </c>
      <c r="K414">
        <v>0.2576</v>
      </c>
      <c r="L414">
        <v>0.93</v>
      </c>
      <c r="M414">
        <v>8.9599999999999999E-2</v>
      </c>
      <c r="N414">
        <v>0</v>
      </c>
      <c r="O414">
        <v>7</v>
      </c>
      <c r="P414">
        <v>7</v>
      </c>
      <c r="Q414" t="str">
        <f t="shared" si="24"/>
        <v>Weekday</v>
      </c>
      <c r="R414" t="str">
        <f t="shared" si="25"/>
        <v>Low</v>
      </c>
      <c r="S414" s="10" t="str">
        <f t="shared" si="26"/>
        <v>Mist/Cloudy</v>
      </c>
      <c r="T414" s="10" t="str">
        <f t="shared" si="27"/>
        <v>Cold</v>
      </c>
    </row>
    <row r="415" spans="1:20" x14ac:dyDescent="0.3">
      <c r="A415">
        <v>414</v>
      </c>
      <c r="B415" t="s">
        <v>34</v>
      </c>
      <c r="C415">
        <v>1</v>
      </c>
      <c r="D415">
        <v>0</v>
      </c>
      <c r="E415">
        <v>1</v>
      </c>
      <c r="F415">
        <v>6</v>
      </c>
      <c r="G415" t="b">
        <v>0</v>
      </c>
      <c r="H415">
        <v>3</v>
      </c>
      <c r="I415">
        <v>2</v>
      </c>
      <c r="J415">
        <v>0.22</v>
      </c>
      <c r="K415">
        <v>0.2576</v>
      </c>
      <c r="L415">
        <v>0.93</v>
      </c>
      <c r="M415">
        <v>8.9599999999999999E-2</v>
      </c>
      <c r="N415">
        <v>0</v>
      </c>
      <c r="O415">
        <v>32</v>
      </c>
      <c r="P415">
        <v>32</v>
      </c>
      <c r="Q415" t="str">
        <f t="shared" si="24"/>
        <v>Weekday</v>
      </c>
      <c r="R415" t="str">
        <f t="shared" si="25"/>
        <v>Low</v>
      </c>
      <c r="S415" s="10" t="str">
        <f t="shared" si="26"/>
        <v>Mist/Cloudy</v>
      </c>
      <c r="T415" s="10" t="str">
        <f t="shared" si="27"/>
        <v>Cold</v>
      </c>
    </row>
    <row r="416" spans="1:20" x14ac:dyDescent="0.3">
      <c r="A416">
        <v>415</v>
      </c>
      <c r="B416" t="s">
        <v>34</v>
      </c>
      <c r="C416">
        <v>1</v>
      </c>
      <c r="D416">
        <v>0</v>
      </c>
      <c r="E416">
        <v>1</v>
      </c>
      <c r="F416">
        <v>7</v>
      </c>
      <c r="G416" t="b">
        <v>0</v>
      </c>
      <c r="H416">
        <v>3</v>
      </c>
      <c r="I416">
        <v>2</v>
      </c>
      <c r="J416">
        <v>0.24</v>
      </c>
      <c r="K416">
        <v>0.2576</v>
      </c>
      <c r="L416">
        <v>0.92</v>
      </c>
      <c r="M416">
        <v>0.1045</v>
      </c>
      <c r="N416">
        <v>1</v>
      </c>
      <c r="O416">
        <v>89</v>
      </c>
      <c r="P416">
        <v>90</v>
      </c>
      <c r="Q416" t="str">
        <f t="shared" si="24"/>
        <v>Weekday</v>
      </c>
      <c r="R416" t="str">
        <f t="shared" si="25"/>
        <v>Medium</v>
      </c>
      <c r="S416" s="10" t="str">
        <f t="shared" si="26"/>
        <v>Mist/Cloudy</v>
      </c>
      <c r="T416" s="10" t="str">
        <f t="shared" si="27"/>
        <v>Cold</v>
      </c>
    </row>
    <row r="417" spans="1:20" x14ac:dyDescent="0.3">
      <c r="A417">
        <v>416</v>
      </c>
      <c r="B417" t="s">
        <v>34</v>
      </c>
      <c r="C417">
        <v>1</v>
      </c>
      <c r="D417">
        <v>0</v>
      </c>
      <c r="E417">
        <v>1</v>
      </c>
      <c r="F417">
        <v>8</v>
      </c>
      <c r="G417" t="b">
        <v>0</v>
      </c>
      <c r="H417">
        <v>3</v>
      </c>
      <c r="I417">
        <v>2</v>
      </c>
      <c r="J417">
        <v>0.24</v>
      </c>
      <c r="K417">
        <v>0.2576</v>
      </c>
      <c r="L417">
        <v>0.93</v>
      </c>
      <c r="M417">
        <v>0.1045</v>
      </c>
      <c r="N417">
        <v>1</v>
      </c>
      <c r="O417">
        <v>196</v>
      </c>
      <c r="P417">
        <v>197</v>
      </c>
      <c r="Q417" t="str">
        <f t="shared" si="24"/>
        <v>Weekday</v>
      </c>
      <c r="R417" t="str">
        <f t="shared" si="25"/>
        <v>High</v>
      </c>
      <c r="S417" s="10" t="str">
        <f t="shared" si="26"/>
        <v>Mist/Cloudy</v>
      </c>
      <c r="T417" s="10" t="str">
        <f t="shared" si="27"/>
        <v>Cold</v>
      </c>
    </row>
    <row r="418" spans="1:20" x14ac:dyDescent="0.3">
      <c r="A418">
        <v>417</v>
      </c>
      <c r="B418" t="s">
        <v>34</v>
      </c>
      <c r="C418">
        <v>1</v>
      </c>
      <c r="D418">
        <v>0</v>
      </c>
      <c r="E418">
        <v>1</v>
      </c>
      <c r="F418">
        <v>9</v>
      </c>
      <c r="G418" t="b">
        <v>0</v>
      </c>
      <c r="H418">
        <v>3</v>
      </c>
      <c r="I418">
        <v>2</v>
      </c>
      <c r="J418">
        <v>0.24</v>
      </c>
      <c r="K418">
        <v>0.2576</v>
      </c>
      <c r="L418">
        <v>0.93</v>
      </c>
      <c r="M418">
        <v>0.1045</v>
      </c>
      <c r="N418">
        <v>2</v>
      </c>
      <c r="O418">
        <v>107</v>
      </c>
      <c r="P418">
        <v>109</v>
      </c>
      <c r="Q418" t="str">
        <f t="shared" si="24"/>
        <v>Weekday</v>
      </c>
      <c r="R418" t="str">
        <f t="shared" si="25"/>
        <v>Medium</v>
      </c>
      <c r="S418" s="10" t="str">
        <f t="shared" si="26"/>
        <v>Mist/Cloudy</v>
      </c>
      <c r="T418" s="10" t="str">
        <f t="shared" si="27"/>
        <v>Cold</v>
      </c>
    </row>
    <row r="419" spans="1:20" x14ac:dyDescent="0.3">
      <c r="A419">
        <v>418</v>
      </c>
      <c r="B419" t="s">
        <v>34</v>
      </c>
      <c r="C419">
        <v>1</v>
      </c>
      <c r="D419">
        <v>0</v>
      </c>
      <c r="E419">
        <v>1</v>
      </c>
      <c r="F419">
        <v>10</v>
      </c>
      <c r="G419" t="b">
        <v>0</v>
      </c>
      <c r="H419">
        <v>3</v>
      </c>
      <c r="I419">
        <v>2</v>
      </c>
      <c r="J419">
        <v>0.26</v>
      </c>
      <c r="K419">
        <v>0.2727</v>
      </c>
      <c r="L419">
        <v>0.93</v>
      </c>
      <c r="M419">
        <v>0.1343</v>
      </c>
      <c r="N419">
        <v>1</v>
      </c>
      <c r="O419">
        <v>46</v>
      </c>
      <c r="P419">
        <v>47</v>
      </c>
      <c r="Q419" t="str">
        <f t="shared" si="24"/>
        <v>Weekday</v>
      </c>
      <c r="R419" t="str">
        <f t="shared" si="25"/>
        <v>Low</v>
      </c>
      <c r="S419" s="10" t="str">
        <f t="shared" si="26"/>
        <v>Mist/Cloudy</v>
      </c>
      <c r="T419" s="10" t="str">
        <f t="shared" si="27"/>
        <v>Cold</v>
      </c>
    </row>
    <row r="420" spans="1:20" x14ac:dyDescent="0.3">
      <c r="A420">
        <v>419</v>
      </c>
      <c r="B420" t="s">
        <v>34</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24"/>
        <v>Weekday</v>
      </c>
      <c r="R420" t="str">
        <f t="shared" si="25"/>
        <v>Medium</v>
      </c>
      <c r="S420" s="10" t="str">
        <f t="shared" si="26"/>
        <v>Mist/Cloudy</v>
      </c>
      <c r="T420" s="10" t="str">
        <f t="shared" si="27"/>
        <v>Cold</v>
      </c>
    </row>
    <row r="421" spans="1:20" x14ac:dyDescent="0.3">
      <c r="A421">
        <v>420</v>
      </c>
      <c r="B421" t="s">
        <v>34</v>
      </c>
      <c r="C421">
        <v>1</v>
      </c>
      <c r="D421">
        <v>0</v>
      </c>
      <c r="E421">
        <v>1</v>
      </c>
      <c r="F421">
        <v>12</v>
      </c>
      <c r="G421" t="b">
        <v>0</v>
      </c>
      <c r="H421">
        <v>3</v>
      </c>
      <c r="I421">
        <v>2</v>
      </c>
      <c r="J421">
        <v>0.3</v>
      </c>
      <c r="K421">
        <v>0.31819999999999998</v>
      </c>
      <c r="L421">
        <v>0.81</v>
      </c>
      <c r="M421">
        <v>8.9599999999999999E-2</v>
      </c>
      <c r="N421">
        <v>5</v>
      </c>
      <c r="O421">
        <v>65</v>
      </c>
      <c r="P421">
        <v>70</v>
      </c>
      <c r="Q421" t="str">
        <f t="shared" si="24"/>
        <v>Weekday</v>
      </c>
      <c r="R421" t="str">
        <f t="shared" si="25"/>
        <v>Medium</v>
      </c>
      <c r="S421" s="10" t="str">
        <f t="shared" si="26"/>
        <v>Mist/Cloudy</v>
      </c>
      <c r="T421" s="10" t="str">
        <f t="shared" si="27"/>
        <v>Warm</v>
      </c>
    </row>
    <row r="422" spans="1:20" x14ac:dyDescent="0.3">
      <c r="A422">
        <v>421</v>
      </c>
      <c r="B422" t="s">
        <v>34</v>
      </c>
      <c r="C422">
        <v>1</v>
      </c>
      <c r="D422">
        <v>0</v>
      </c>
      <c r="E422">
        <v>1</v>
      </c>
      <c r="F422">
        <v>13</v>
      </c>
      <c r="G422" t="b">
        <v>0</v>
      </c>
      <c r="H422">
        <v>3</v>
      </c>
      <c r="I422">
        <v>1</v>
      </c>
      <c r="J422">
        <v>0.4</v>
      </c>
      <c r="K422">
        <v>0.40910000000000002</v>
      </c>
      <c r="L422">
        <v>0.62</v>
      </c>
      <c r="M422">
        <v>0.28360000000000002</v>
      </c>
      <c r="N422">
        <v>11</v>
      </c>
      <c r="O422">
        <v>67</v>
      </c>
      <c r="P422">
        <v>78</v>
      </c>
      <c r="Q422" t="str">
        <f t="shared" si="24"/>
        <v>Weekday</v>
      </c>
      <c r="R422" t="str">
        <f t="shared" si="25"/>
        <v>Medium</v>
      </c>
      <c r="S422" s="10" t="str">
        <f t="shared" si="26"/>
        <v>Clear</v>
      </c>
      <c r="T422" s="10" t="str">
        <f t="shared" si="27"/>
        <v>Warm</v>
      </c>
    </row>
    <row r="423" spans="1:20" x14ac:dyDescent="0.3">
      <c r="A423">
        <v>422</v>
      </c>
      <c r="B423" t="s">
        <v>34</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24"/>
        <v>Weekday</v>
      </c>
      <c r="R423" t="str">
        <f t="shared" si="25"/>
        <v>Medium</v>
      </c>
      <c r="S423" s="10" t="str">
        <f t="shared" si="26"/>
        <v>Clear</v>
      </c>
      <c r="T423" s="10" t="str">
        <f t="shared" si="27"/>
        <v>Warm</v>
      </c>
    </row>
    <row r="424" spans="1:20" x14ac:dyDescent="0.3">
      <c r="A424">
        <v>423</v>
      </c>
      <c r="B424" t="s">
        <v>34</v>
      </c>
      <c r="C424">
        <v>1</v>
      </c>
      <c r="D424">
        <v>0</v>
      </c>
      <c r="E424">
        <v>1</v>
      </c>
      <c r="F424">
        <v>15</v>
      </c>
      <c r="G424" t="b">
        <v>0</v>
      </c>
      <c r="H424">
        <v>3</v>
      </c>
      <c r="I424">
        <v>1</v>
      </c>
      <c r="J424">
        <v>0.4</v>
      </c>
      <c r="K424">
        <v>0.40910000000000002</v>
      </c>
      <c r="L424">
        <v>0.54</v>
      </c>
      <c r="M424">
        <v>0.28360000000000002</v>
      </c>
      <c r="N424">
        <v>4</v>
      </c>
      <c r="O424">
        <v>78</v>
      </c>
      <c r="P424">
        <v>82</v>
      </c>
      <c r="Q424" t="str">
        <f t="shared" si="24"/>
        <v>Weekday</v>
      </c>
      <c r="R424" t="str">
        <f t="shared" si="25"/>
        <v>Medium</v>
      </c>
      <c r="S424" s="10" t="str">
        <f t="shared" si="26"/>
        <v>Clear</v>
      </c>
      <c r="T424" s="10" t="str">
        <f t="shared" si="27"/>
        <v>Warm</v>
      </c>
    </row>
    <row r="425" spans="1:20" x14ac:dyDescent="0.3">
      <c r="A425">
        <v>424</v>
      </c>
      <c r="B425" t="s">
        <v>34</v>
      </c>
      <c r="C425">
        <v>1</v>
      </c>
      <c r="D425">
        <v>0</v>
      </c>
      <c r="E425">
        <v>1</v>
      </c>
      <c r="F425">
        <v>16</v>
      </c>
      <c r="G425" t="b">
        <v>0</v>
      </c>
      <c r="H425">
        <v>3</v>
      </c>
      <c r="I425">
        <v>1</v>
      </c>
      <c r="J425">
        <v>0.38</v>
      </c>
      <c r="K425">
        <v>0.39389999999999997</v>
      </c>
      <c r="L425">
        <v>0.57999999999999996</v>
      </c>
      <c r="M425">
        <v>0.3881</v>
      </c>
      <c r="N425">
        <v>10</v>
      </c>
      <c r="O425">
        <v>94</v>
      </c>
      <c r="P425">
        <v>104</v>
      </c>
      <c r="Q425" t="str">
        <f t="shared" si="24"/>
        <v>Weekday</v>
      </c>
      <c r="R425" t="str">
        <f t="shared" si="25"/>
        <v>Medium</v>
      </c>
      <c r="S425" s="10" t="str">
        <f t="shared" si="26"/>
        <v>Clear</v>
      </c>
      <c r="T425" s="10" t="str">
        <f t="shared" si="27"/>
        <v>Warm</v>
      </c>
    </row>
    <row r="426" spans="1:20" x14ac:dyDescent="0.3">
      <c r="A426">
        <v>425</v>
      </c>
      <c r="B426" t="s">
        <v>34</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24"/>
        <v>Weekday</v>
      </c>
      <c r="R426" t="str">
        <f t="shared" si="25"/>
        <v>High</v>
      </c>
      <c r="S426" s="10" t="str">
        <f t="shared" si="26"/>
        <v>Clear</v>
      </c>
      <c r="T426" s="10" t="str">
        <f t="shared" si="27"/>
        <v>Warm</v>
      </c>
    </row>
    <row r="427" spans="1:20" x14ac:dyDescent="0.3">
      <c r="A427">
        <v>426</v>
      </c>
      <c r="B427" t="s">
        <v>34</v>
      </c>
      <c r="C427">
        <v>1</v>
      </c>
      <c r="D427">
        <v>0</v>
      </c>
      <c r="E427">
        <v>1</v>
      </c>
      <c r="F427">
        <v>18</v>
      </c>
      <c r="G427" t="b">
        <v>0</v>
      </c>
      <c r="H427">
        <v>3</v>
      </c>
      <c r="I427">
        <v>1</v>
      </c>
      <c r="J427">
        <v>0.34</v>
      </c>
      <c r="K427">
        <v>0.31819999999999998</v>
      </c>
      <c r="L427">
        <v>0.61</v>
      </c>
      <c r="M427">
        <v>0.28360000000000002</v>
      </c>
      <c r="N427">
        <v>5</v>
      </c>
      <c r="O427">
        <v>156</v>
      </c>
      <c r="P427">
        <v>161</v>
      </c>
      <c r="Q427" t="str">
        <f t="shared" si="24"/>
        <v>Weekday</v>
      </c>
      <c r="R427" t="str">
        <f t="shared" si="25"/>
        <v>High</v>
      </c>
      <c r="S427" s="10" t="str">
        <f t="shared" si="26"/>
        <v>Clear</v>
      </c>
      <c r="T427" s="10" t="str">
        <f t="shared" si="27"/>
        <v>Warm</v>
      </c>
    </row>
    <row r="428" spans="1:20" x14ac:dyDescent="0.3">
      <c r="A428">
        <v>427</v>
      </c>
      <c r="B428" t="s">
        <v>34</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24"/>
        <v>Weekday</v>
      </c>
      <c r="R428" t="str">
        <f t="shared" si="25"/>
        <v>Medium</v>
      </c>
      <c r="S428" s="10" t="str">
        <f t="shared" si="26"/>
        <v>Clear</v>
      </c>
      <c r="T428" s="10" t="str">
        <f t="shared" si="27"/>
        <v>Warm</v>
      </c>
    </row>
    <row r="429" spans="1:20" x14ac:dyDescent="0.3">
      <c r="A429">
        <v>428</v>
      </c>
      <c r="B429" t="s">
        <v>34</v>
      </c>
      <c r="C429">
        <v>1</v>
      </c>
      <c r="D429">
        <v>0</v>
      </c>
      <c r="E429">
        <v>1</v>
      </c>
      <c r="F429">
        <v>20</v>
      </c>
      <c r="G429" t="b">
        <v>0</v>
      </c>
      <c r="H429">
        <v>3</v>
      </c>
      <c r="I429">
        <v>1</v>
      </c>
      <c r="J429">
        <v>0.32</v>
      </c>
      <c r="K429">
        <v>0.30299999999999999</v>
      </c>
      <c r="L429">
        <v>0.49</v>
      </c>
      <c r="M429">
        <v>0.29849999999999999</v>
      </c>
      <c r="N429">
        <v>2</v>
      </c>
      <c r="O429">
        <v>74</v>
      </c>
      <c r="P429">
        <v>76</v>
      </c>
      <c r="Q429" t="str">
        <f t="shared" si="24"/>
        <v>Weekday</v>
      </c>
      <c r="R429" t="str">
        <f t="shared" si="25"/>
        <v>Medium</v>
      </c>
      <c r="S429" s="10" t="str">
        <f t="shared" si="26"/>
        <v>Clear</v>
      </c>
      <c r="T429" s="10" t="str">
        <f t="shared" si="27"/>
        <v>Warm</v>
      </c>
    </row>
    <row r="430" spans="1:20" x14ac:dyDescent="0.3">
      <c r="A430">
        <v>429</v>
      </c>
      <c r="B430" t="s">
        <v>34</v>
      </c>
      <c r="C430">
        <v>1</v>
      </c>
      <c r="D430">
        <v>0</v>
      </c>
      <c r="E430">
        <v>1</v>
      </c>
      <c r="F430">
        <v>21</v>
      </c>
      <c r="G430" t="b">
        <v>0</v>
      </c>
      <c r="H430">
        <v>3</v>
      </c>
      <c r="I430">
        <v>1</v>
      </c>
      <c r="J430">
        <v>0.32</v>
      </c>
      <c r="K430">
        <v>0.28789999999999999</v>
      </c>
      <c r="L430">
        <v>0.49</v>
      </c>
      <c r="M430">
        <v>0.41789999999999999</v>
      </c>
      <c r="N430">
        <v>4</v>
      </c>
      <c r="O430">
        <v>55</v>
      </c>
      <c r="P430">
        <v>59</v>
      </c>
      <c r="Q430" t="str">
        <f t="shared" si="24"/>
        <v>Weekday</v>
      </c>
      <c r="R430" t="str">
        <f t="shared" si="25"/>
        <v>Medium</v>
      </c>
      <c r="S430" s="10" t="str">
        <f t="shared" si="26"/>
        <v>Clear</v>
      </c>
      <c r="T430" s="10" t="str">
        <f t="shared" si="27"/>
        <v>Warm</v>
      </c>
    </row>
    <row r="431" spans="1:20" x14ac:dyDescent="0.3">
      <c r="A431">
        <v>430</v>
      </c>
      <c r="B431" t="s">
        <v>34</v>
      </c>
      <c r="C431">
        <v>1</v>
      </c>
      <c r="D431">
        <v>0</v>
      </c>
      <c r="E431">
        <v>1</v>
      </c>
      <c r="F431">
        <v>22</v>
      </c>
      <c r="G431" t="b">
        <v>0</v>
      </c>
      <c r="H431">
        <v>3</v>
      </c>
      <c r="I431">
        <v>1</v>
      </c>
      <c r="J431">
        <v>0.3</v>
      </c>
      <c r="K431">
        <v>0.30299999999999999</v>
      </c>
      <c r="L431">
        <v>0.52</v>
      </c>
      <c r="M431">
        <v>0.16420000000000001</v>
      </c>
      <c r="N431">
        <v>6</v>
      </c>
      <c r="O431">
        <v>53</v>
      </c>
      <c r="P431">
        <v>59</v>
      </c>
      <c r="Q431" t="str">
        <f t="shared" si="24"/>
        <v>Weekday</v>
      </c>
      <c r="R431" t="str">
        <f t="shared" si="25"/>
        <v>Medium</v>
      </c>
      <c r="S431" s="10" t="str">
        <f t="shared" si="26"/>
        <v>Clear</v>
      </c>
      <c r="T431" s="10" t="str">
        <f t="shared" si="27"/>
        <v>Warm</v>
      </c>
    </row>
    <row r="432" spans="1:20" x14ac:dyDescent="0.3">
      <c r="A432">
        <v>431</v>
      </c>
      <c r="B432" t="s">
        <v>34</v>
      </c>
      <c r="C432">
        <v>1</v>
      </c>
      <c r="D432">
        <v>0</v>
      </c>
      <c r="E432">
        <v>1</v>
      </c>
      <c r="F432">
        <v>23</v>
      </c>
      <c r="G432" t="b">
        <v>0</v>
      </c>
      <c r="H432">
        <v>3</v>
      </c>
      <c r="I432">
        <v>1</v>
      </c>
      <c r="J432">
        <v>0.3</v>
      </c>
      <c r="K432">
        <v>0.2727</v>
      </c>
      <c r="L432">
        <v>0.52</v>
      </c>
      <c r="M432">
        <v>0.4627</v>
      </c>
      <c r="N432">
        <v>1</v>
      </c>
      <c r="O432">
        <v>27</v>
      </c>
      <c r="P432">
        <v>28</v>
      </c>
      <c r="Q432" t="str">
        <f t="shared" si="24"/>
        <v>Weekday</v>
      </c>
      <c r="R432" t="str">
        <f t="shared" si="25"/>
        <v>Low</v>
      </c>
      <c r="S432" s="10" t="str">
        <f t="shared" si="26"/>
        <v>Clear</v>
      </c>
      <c r="T432" s="10" t="str">
        <f t="shared" si="27"/>
        <v>Warm</v>
      </c>
    </row>
    <row r="433" spans="1:20" x14ac:dyDescent="0.3">
      <c r="A433">
        <v>432</v>
      </c>
      <c r="B433" t="s">
        <v>35</v>
      </c>
      <c r="C433">
        <v>1</v>
      </c>
      <c r="D433">
        <v>0</v>
      </c>
      <c r="E433">
        <v>1</v>
      </c>
      <c r="F433">
        <v>0</v>
      </c>
      <c r="G433" t="b">
        <v>0</v>
      </c>
      <c r="H433">
        <v>4</v>
      </c>
      <c r="I433">
        <v>1</v>
      </c>
      <c r="J433">
        <v>0.26</v>
      </c>
      <c r="K433">
        <v>0.2273</v>
      </c>
      <c r="L433">
        <v>0.56000000000000005</v>
      </c>
      <c r="M433">
        <v>0.3881</v>
      </c>
      <c r="N433">
        <v>5</v>
      </c>
      <c r="O433">
        <v>8</v>
      </c>
      <c r="P433">
        <v>13</v>
      </c>
      <c r="Q433" t="str">
        <f t="shared" si="24"/>
        <v>Weekday</v>
      </c>
      <c r="R433" t="str">
        <f t="shared" si="25"/>
        <v>Low</v>
      </c>
      <c r="S433" s="10" t="str">
        <f t="shared" si="26"/>
        <v>Clear</v>
      </c>
      <c r="T433" s="10" t="str">
        <f t="shared" si="27"/>
        <v>Cold</v>
      </c>
    </row>
    <row r="434" spans="1:20" x14ac:dyDescent="0.3">
      <c r="A434">
        <v>433</v>
      </c>
      <c r="B434" t="s">
        <v>35</v>
      </c>
      <c r="C434">
        <v>1</v>
      </c>
      <c r="D434">
        <v>0</v>
      </c>
      <c r="E434">
        <v>1</v>
      </c>
      <c r="F434">
        <v>1</v>
      </c>
      <c r="G434" t="b">
        <v>0</v>
      </c>
      <c r="H434">
        <v>4</v>
      </c>
      <c r="I434">
        <v>1</v>
      </c>
      <c r="J434">
        <v>0.26</v>
      </c>
      <c r="K434">
        <v>0.2727</v>
      </c>
      <c r="L434">
        <v>0.56000000000000005</v>
      </c>
      <c r="M434">
        <v>0</v>
      </c>
      <c r="N434">
        <v>2</v>
      </c>
      <c r="O434">
        <v>3</v>
      </c>
      <c r="P434">
        <v>5</v>
      </c>
      <c r="Q434" t="str">
        <f t="shared" si="24"/>
        <v>Weekday</v>
      </c>
      <c r="R434" t="str">
        <f t="shared" si="25"/>
        <v>Low</v>
      </c>
      <c r="S434" s="10" t="str">
        <f t="shared" si="26"/>
        <v>Clear</v>
      </c>
      <c r="T434" s="10" t="str">
        <f t="shared" si="27"/>
        <v>Cold</v>
      </c>
    </row>
    <row r="435" spans="1:20" x14ac:dyDescent="0.3">
      <c r="A435">
        <v>434</v>
      </c>
      <c r="B435" t="s">
        <v>35</v>
      </c>
      <c r="C435">
        <v>1</v>
      </c>
      <c r="D435">
        <v>0</v>
      </c>
      <c r="E435">
        <v>1</v>
      </c>
      <c r="F435">
        <v>2</v>
      </c>
      <c r="G435" t="b">
        <v>0</v>
      </c>
      <c r="H435">
        <v>4</v>
      </c>
      <c r="I435">
        <v>1</v>
      </c>
      <c r="J435">
        <v>0.26</v>
      </c>
      <c r="K435">
        <v>0.2727</v>
      </c>
      <c r="L435">
        <v>0.56000000000000005</v>
      </c>
      <c r="M435">
        <v>0</v>
      </c>
      <c r="N435">
        <v>0</v>
      </c>
      <c r="O435">
        <v>2</v>
      </c>
      <c r="P435">
        <v>2</v>
      </c>
      <c r="Q435" t="str">
        <f t="shared" si="24"/>
        <v>Weekday</v>
      </c>
      <c r="R435" t="str">
        <f t="shared" si="25"/>
        <v>Low</v>
      </c>
      <c r="S435" s="10" t="str">
        <f t="shared" si="26"/>
        <v>Clear</v>
      </c>
      <c r="T435" s="10" t="str">
        <f t="shared" si="27"/>
        <v>Cold</v>
      </c>
    </row>
    <row r="436" spans="1:20" x14ac:dyDescent="0.3">
      <c r="A436">
        <v>435</v>
      </c>
      <c r="B436" t="s">
        <v>35</v>
      </c>
      <c r="C436">
        <v>1</v>
      </c>
      <c r="D436">
        <v>0</v>
      </c>
      <c r="E436">
        <v>1</v>
      </c>
      <c r="F436">
        <v>3</v>
      </c>
      <c r="G436" t="b">
        <v>0</v>
      </c>
      <c r="H436">
        <v>4</v>
      </c>
      <c r="I436">
        <v>1</v>
      </c>
      <c r="J436">
        <v>0.26</v>
      </c>
      <c r="K436">
        <v>0.2576</v>
      </c>
      <c r="L436">
        <v>0.56000000000000005</v>
      </c>
      <c r="M436">
        <v>0.16420000000000001</v>
      </c>
      <c r="N436">
        <v>0</v>
      </c>
      <c r="O436">
        <v>1</v>
      </c>
      <c r="P436">
        <v>1</v>
      </c>
      <c r="Q436" t="str">
        <f t="shared" si="24"/>
        <v>Weekday</v>
      </c>
      <c r="R436" t="str">
        <f t="shared" si="25"/>
        <v>Low</v>
      </c>
      <c r="S436" s="10" t="str">
        <f t="shared" si="26"/>
        <v>Clear</v>
      </c>
      <c r="T436" s="10" t="str">
        <f t="shared" si="27"/>
        <v>Cold</v>
      </c>
    </row>
    <row r="437" spans="1:20" x14ac:dyDescent="0.3">
      <c r="A437">
        <v>436</v>
      </c>
      <c r="B437" t="s">
        <v>35</v>
      </c>
      <c r="C437">
        <v>1</v>
      </c>
      <c r="D437">
        <v>0</v>
      </c>
      <c r="E437">
        <v>1</v>
      </c>
      <c r="F437">
        <v>4</v>
      </c>
      <c r="G437" t="b">
        <v>0</v>
      </c>
      <c r="H437">
        <v>4</v>
      </c>
      <c r="I437">
        <v>1</v>
      </c>
      <c r="J437">
        <v>0.26</v>
      </c>
      <c r="K437">
        <v>0.2576</v>
      </c>
      <c r="L437">
        <v>0.56000000000000005</v>
      </c>
      <c r="M437">
        <v>0.16420000000000001</v>
      </c>
      <c r="N437">
        <v>0</v>
      </c>
      <c r="O437">
        <v>1</v>
      </c>
      <c r="P437">
        <v>1</v>
      </c>
      <c r="Q437" t="str">
        <f t="shared" si="24"/>
        <v>Weekday</v>
      </c>
      <c r="R437" t="str">
        <f t="shared" si="25"/>
        <v>Low</v>
      </c>
      <c r="S437" s="10" t="str">
        <f t="shared" si="26"/>
        <v>Clear</v>
      </c>
      <c r="T437" s="10" t="str">
        <f t="shared" si="27"/>
        <v>Cold</v>
      </c>
    </row>
    <row r="438" spans="1:20" x14ac:dyDescent="0.3">
      <c r="A438">
        <v>437</v>
      </c>
      <c r="B438" t="s">
        <v>35</v>
      </c>
      <c r="C438">
        <v>1</v>
      </c>
      <c r="D438">
        <v>0</v>
      </c>
      <c r="E438">
        <v>1</v>
      </c>
      <c r="F438">
        <v>5</v>
      </c>
      <c r="G438" t="b">
        <v>0</v>
      </c>
      <c r="H438">
        <v>4</v>
      </c>
      <c r="I438">
        <v>1</v>
      </c>
      <c r="J438">
        <v>0.24</v>
      </c>
      <c r="K438">
        <v>0.2273</v>
      </c>
      <c r="L438">
        <v>0.6</v>
      </c>
      <c r="M438">
        <v>0.22389999999999999</v>
      </c>
      <c r="N438">
        <v>0</v>
      </c>
      <c r="O438">
        <v>6</v>
      </c>
      <c r="P438">
        <v>6</v>
      </c>
      <c r="Q438" t="str">
        <f t="shared" si="24"/>
        <v>Weekday</v>
      </c>
      <c r="R438" t="str">
        <f t="shared" si="25"/>
        <v>Low</v>
      </c>
      <c r="S438" s="10" t="str">
        <f t="shared" si="26"/>
        <v>Clear</v>
      </c>
      <c r="T438" s="10" t="str">
        <f t="shared" si="27"/>
        <v>Cold</v>
      </c>
    </row>
    <row r="439" spans="1:20" x14ac:dyDescent="0.3">
      <c r="A439">
        <v>438</v>
      </c>
      <c r="B439" t="s">
        <v>35</v>
      </c>
      <c r="C439">
        <v>1</v>
      </c>
      <c r="D439">
        <v>0</v>
      </c>
      <c r="E439">
        <v>1</v>
      </c>
      <c r="F439">
        <v>6</v>
      </c>
      <c r="G439" t="b">
        <v>0</v>
      </c>
      <c r="H439">
        <v>4</v>
      </c>
      <c r="I439">
        <v>1</v>
      </c>
      <c r="J439">
        <v>0.22</v>
      </c>
      <c r="K439">
        <v>0.21210000000000001</v>
      </c>
      <c r="L439">
        <v>0.6</v>
      </c>
      <c r="M439">
        <v>0.22389999999999999</v>
      </c>
      <c r="N439">
        <v>0</v>
      </c>
      <c r="O439">
        <v>35</v>
      </c>
      <c r="P439">
        <v>35</v>
      </c>
      <c r="Q439" t="str">
        <f t="shared" si="24"/>
        <v>Weekday</v>
      </c>
      <c r="R439" t="str">
        <f t="shared" si="25"/>
        <v>Low</v>
      </c>
      <c r="S439" s="10" t="str">
        <f t="shared" si="26"/>
        <v>Clear</v>
      </c>
      <c r="T439" s="10" t="str">
        <f t="shared" si="27"/>
        <v>Cold</v>
      </c>
    </row>
    <row r="440" spans="1:20" x14ac:dyDescent="0.3">
      <c r="A440">
        <v>439</v>
      </c>
      <c r="B440" t="s">
        <v>35</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24"/>
        <v>Weekday</v>
      </c>
      <c r="R440" t="str">
        <f t="shared" si="25"/>
        <v>Medium</v>
      </c>
      <c r="S440" s="10" t="str">
        <f t="shared" si="26"/>
        <v>Clear</v>
      </c>
      <c r="T440" s="10" t="str">
        <f t="shared" si="27"/>
        <v>Cold</v>
      </c>
    </row>
    <row r="441" spans="1:20" x14ac:dyDescent="0.3">
      <c r="A441">
        <v>440</v>
      </c>
      <c r="B441" t="s">
        <v>35</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24"/>
        <v>Weekday</v>
      </c>
      <c r="R441" t="str">
        <f t="shared" si="25"/>
        <v>High</v>
      </c>
      <c r="S441" s="10" t="str">
        <f t="shared" si="26"/>
        <v>Clear</v>
      </c>
      <c r="T441" s="10" t="str">
        <f t="shared" si="27"/>
        <v>Cold</v>
      </c>
    </row>
    <row r="442" spans="1:20" x14ac:dyDescent="0.3">
      <c r="A442">
        <v>441</v>
      </c>
      <c r="B442" t="s">
        <v>35</v>
      </c>
      <c r="C442">
        <v>1</v>
      </c>
      <c r="D442">
        <v>0</v>
      </c>
      <c r="E442">
        <v>1</v>
      </c>
      <c r="F442">
        <v>9</v>
      </c>
      <c r="G442" t="b">
        <v>0</v>
      </c>
      <c r="H442">
        <v>4</v>
      </c>
      <c r="I442">
        <v>2</v>
      </c>
      <c r="J442">
        <v>0.24</v>
      </c>
      <c r="K442">
        <v>0.2273</v>
      </c>
      <c r="L442">
        <v>0.52</v>
      </c>
      <c r="M442">
        <v>0.22389999999999999</v>
      </c>
      <c r="N442">
        <v>3</v>
      </c>
      <c r="O442">
        <v>140</v>
      </c>
      <c r="P442">
        <v>143</v>
      </c>
      <c r="Q442" t="str">
        <f t="shared" si="24"/>
        <v>Weekday</v>
      </c>
      <c r="R442" t="str">
        <f t="shared" si="25"/>
        <v>Medium</v>
      </c>
      <c r="S442" s="10" t="str">
        <f t="shared" si="26"/>
        <v>Mist/Cloudy</v>
      </c>
      <c r="T442" s="10" t="str">
        <f t="shared" si="27"/>
        <v>Cold</v>
      </c>
    </row>
    <row r="443" spans="1:20" x14ac:dyDescent="0.3">
      <c r="A443">
        <v>442</v>
      </c>
      <c r="B443" t="s">
        <v>35</v>
      </c>
      <c r="C443">
        <v>1</v>
      </c>
      <c r="D443">
        <v>0</v>
      </c>
      <c r="E443">
        <v>1</v>
      </c>
      <c r="F443">
        <v>10</v>
      </c>
      <c r="G443" t="b">
        <v>0</v>
      </c>
      <c r="H443">
        <v>4</v>
      </c>
      <c r="I443">
        <v>1</v>
      </c>
      <c r="J443">
        <v>0.26</v>
      </c>
      <c r="K443">
        <v>0.2273</v>
      </c>
      <c r="L443">
        <v>0.48</v>
      </c>
      <c r="M443">
        <v>0.29849999999999999</v>
      </c>
      <c r="N443">
        <v>1</v>
      </c>
      <c r="O443">
        <v>56</v>
      </c>
      <c r="P443">
        <v>57</v>
      </c>
      <c r="Q443" t="str">
        <f t="shared" si="24"/>
        <v>Weekday</v>
      </c>
      <c r="R443" t="str">
        <f t="shared" si="25"/>
        <v>Medium</v>
      </c>
      <c r="S443" s="10" t="str">
        <f t="shared" si="26"/>
        <v>Clear</v>
      </c>
      <c r="T443" s="10" t="str">
        <f t="shared" si="27"/>
        <v>Cold</v>
      </c>
    </row>
    <row r="444" spans="1:20" x14ac:dyDescent="0.3">
      <c r="A444">
        <v>443</v>
      </c>
      <c r="B444" t="s">
        <v>35</v>
      </c>
      <c r="C444">
        <v>1</v>
      </c>
      <c r="D444">
        <v>0</v>
      </c>
      <c r="E444">
        <v>1</v>
      </c>
      <c r="F444">
        <v>11</v>
      </c>
      <c r="G444" t="b">
        <v>0</v>
      </c>
      <c r="H444">
        <v>4</v>
      </c>
      <c r="I444">
        <v>2</v>
      </c>
      <c r="J444">
        <v>0.28000000000000003</v>
      </c>
      <c r="K444">
        <v>0.2727</v>
      </c>
      <c r="L444">
        <v>0.45</v>
      </c>
      <c r="M444">
        <v>0.16420000000000001</v>
      </c>
      <c r="N444">
        <v>5</v>
      </c>
      <c r="O444">
        <v>63</v>
      </c>
      <c r="P444">
        <v>68</v>
      </c>
      <c r="Q444" t="str">
        <f t="shared" si="24"/>
        <v>Weekday</v>
      </c>
      <c r="R444" t="str">
        <f t="shared" si="25"/>
        <v>Medium</v>
      </c>
      <c r="S444" s="10" t="str">
        <f t="shared" si="26"/>
        <v>Mist/Cloudy</v>
      </c>
      <c r="T444" s="10" t="str">
        <f t="shared" si="27"/>
        <v>Cold</v>
      </c>
    </row>
    <row r="445" spans="1:20" x14ac:dyDescent="0.3">
      <c r="A445">
        <v>444</v>
      </c>
      <c r="B445" t="s">
        <v>35</v>
      </c>
      <c r="C445">
        <v>1</v>
      </c>
      <c r="D445">
        <v>0</v>
      </c>
      <c r="E445">
        <v>1</v>
      </c>
      <c r="F445">
        <v>12</v>
      </c>
      <c r="G445" t="b">
        <v>0</v>
      </c>
      <c r="H445">
        <v>4</v>
      </c>
      <c r="I445">
        <v>2</v>
      </c>
      <c r="J445">
        <v>0.3</v>
      </c>
      <c r="K445">
        <v>0.33329999999999999</v>
      </c>
      <c r="L445">
        <v>0.42</v>
      </c>
      <c r="M445">
        <v>0</v>
      </c>
      <c r="N445">
        <v>7</v>
      </c>
      <c r="O445">
        <v>77</v>
      </c>
      <c r="P445">
        <v>84</v>
      </c>
      <c r="Q445" t="str">
        <f t="shared" si="24"/>
        <v>Weekday</v>
      </c>
      <c r="R445" t="str">
        <f t="shared" si="25"/>
        <v>Medium</v>
      </c>
      <c r="S445" s="10" t="str">
        <f t="shared" si="26"/>
        <v>Mist/Cloudy</v>
      </c>
      <c r="T445" s="10" t="str">
        <f t="shared" si="27"/>
        <v>Warm</v>
      </c>
    </row>
    <row r="446" spans="1:20" x14ac:dyDescent="0.3">
      <c r="A446">
        <v>445</v>
      </c>
      <c r="B446" t="s">
        <v>35</v>
      </c>
      <c r="C446">
        <v>1</v>
      </c>
      <c r="D446">
        <v>0</v>
      </c>
      <c r="E446">
        <v>1</v>
      </c>
      <c r="F446">
        <v>13</v>
      </c>
      <c r="G446" t="b">
        <v>0</v>
      </c>
      <c r="H446">
        <v>4</v>
      </c>
      <c r="I446">
        <v>2</v>
      </c>
      <c r="J446">
        <v>0.28000000000000003</v>
      </c>
      <c r="K446">
        <v>0.28789999999999999</v>
      </c>
      <c r="L446">
        <v>0.45</v>
      </c>
      <c r="M446">
        <v>0.1045</v>
      </c>
      <c r="N446">
        <v>12</v>
      </c>
      <c r="O446">
        <v>86</v>
      </c>
      <c r="P446">
        <v>98</v>
      </c>
      <c r="Q446" t="str">
        <f t="shared" si="24"/>
        <v>Weekday</v>
      </c>
      <c r="R446" t="str">
        <f t="shared" si="25"/>
        <v>Medium</v>
      </c>
      <c r="S446" s="10" t="str">
        <f t="shared" si="26"/>
        <v>Mist/Cloudy</v>
      </c>
      <c r="T446" s="10" t="str">
        <f t="shared" si="27"/>
        <v>Cold</v>
      </c>
    </row>
    <row r="447" spans="1:20" x14ac:dyDescent="0.3">
      <c r="A447">
        <v>446</v>
      </c>
      <c r="B447" t="s">
        <v>35</v>
      </c>
      <c r="C447">
        <v>1</v>
      </c>
      <c r="D447">
        <v>0</v>
      </c>
      <c r="E447">
        <v>1</v>
      </c>
      <c r="F447">
        <v>14</v>
      </c>
      <c r="G447" t="b">
        <v>0</v>
      </c>
      <c r="H447">
        <v>4</v>
      </c>
      <c r="I447">
        <v>2</v>
      </c>
      <c r="J447">
        <v>0.3</v>
      </c>
      <c r="K447">
        <v>0.30299999999999999</v>
      </c>
      <c r="L447">
        <v>0.45</v>
      </c>
      <c r="M447">
        <v>0.1343</v>
      </c>
      <c r="N447">
        <v>6</v>
      </c>
      <c r="O447">
        <v>75</v>
      </c>
      <c r="P447">
        <v>81</v>
      </c>
      <c r="Q447" t="str">
        <f t="shared" si="24"/>
        <v>Weekday</v>
      </c>
      <c r="R447" t="str">
        <f t="shared" si="25"/>
        <v>Medium</v>
      </c>
      <c r="S447" s="10" t="str">
        <f t="shared" si="26"/>
        <v>Mist/Cloudy</v>
      </c>
      <c r="T447" s="10" t="str">
        <f t="shared" si="27"/>
        <v>Warm</v>
      </c>
    </row>
    <row r="448" spans="1:20" x14ac:dyDescent="0.3">
      <c r="A448">
        <v>447</v>
      </c>
      <c r="B448" t="s">
        <v>35</v>
      </c>
      <c r="C448">
        <v>1</v>
      </c>
      <c r="D448">
        <v>0</v>
      </c>
      <c r="E448">
        <v>1</v>
      </c>
      <c r="F448">
        <v>15</v>
      </c>
      <c r="G448" t="b">
        <v>0</v>
      </c>
      <c r="H448">
        <v>4</v>
      </c>
      <c r="I448">
        <v>2</v>
      </c>
      <c r="J448">
        <v>0.32</v>
      </c>
      <c r="K448">
        <v>0.31819999999999998</v>
      </c>
      <c r="L448">
        <v>0.45</v>
      </c>
      <c r="M448">
        <v>0.19400000000000001</v>
      </c>
      <c r="N448">
        <v>8</v>
      </c>
      <c r="O448">
        <v>62</v>
      </c>
      <c r="P448">
        <v>70</v>
      </c>
      <c r="Q448" t="str">
        <f t="shared" si="24"/>
        <v>Weekday</v>
      </c>
      <c r="R448" t="str">
        <f t="shared" si="25"/>
        <v>Medium</v>
      </c>
      <c r="S448" s="10" t="str">
        <f t="shared" si="26"/>
        <v>Mist/Cloudy</v>
      </c>
      <c r="T448" s="10" t="str">
        <f t="shared" si="27"/>
        <v>Warm</v>
      </c>
    </row>
    <row r="449" spans="1:20" x14ac:dyDescent="0.3">
      <c r="A449">
        <v>448</v>
      </c>
      <c r="B449" t="s">
        <v>35</v>
      </c>
      <c r="C449">
        <v>1</v>
      </c>
      <c r="D449">
        <v>0</v>
      </c>
      <c r="E449">
        <v>1</v>
      </c>
      <c r="F449">
        <v>16</v>
      </c>
      <c r="G449" t="b">
        <v>0</v>
      </c>
      <c r="H449">
        <v>4</v>
      </c>
      <c r="I449">
        <v>2</v>
      </c>
      <c r="J449">
        <v>0.3</v>
      </c>
      <c r="K449">
        <v>0.30299999999999999</v>
      </c>
      <c r="L449">
        <v>0.49</v>
      </c>
      <c r="M449">
        <v>0.1343</v>
      </c>
      <c r="N449">
        <v>8</v>
      </c>
      <c r="O449">
        <v>83</v>
      </c>
      <c r="P449">
        <v>91</v>
      </c>
      <c r="Q449" t="str">
        <f t="shared" si="24"/>
        <v>Weekday</v>
      </c>
      <c r="R449" t="str">
        <f t="shared" si="25"/>
        <v>Medium</v>
      </c>
      <c r="S449" s="10" t="str">
        <f t="shared" si="26"/>
        <v>Mist/Cloudy</v>
      </c>
      <c r="T449" s="10" t="str">
        <f t="shared" si="27"/>
        <v>Warm</v>
      </c>
    </row>
    <row r="450" spans="1:20" x14ac:dyDescent="0.3">
      <c r="A450">
        <v>449</v>
      </c>
      <c r="B450" t="s">
        <v>35</v>
      </c>
      <c r="C450">
        <v>1</v>
      </c>
      <c r="D450">
        <v>0</v>
      </c>
      <c r="E450">
        <v>1</v>
      </c>
      <c r="F450">
        <v>17</v>
      </c>
      <c r="G450" t="b">
        <v>0</v>
      </c>
      <c r="H450">
        <v>4</v>
      </c>
      <c r="I450">
        <v>2</v>
      </c>
      <c r="J450">
        <v>0.3</v>
      </c>
      <c r="K450">
        <v>0.31819999999999998</v>
      </c>
      <c r="L450">
        <v>0.49</v>
      </c>
      <c r="M450">
        <v>0.1045</v>
      </c>
      <c r="N450">
        <v>8</v>
      </c>
      <c r="O450">
        <v>207</v>
      </c>
      <c r="P450">
        <v>215</v>
      </c>
      <c r="Q450" t="str">
        <f t="shared" ref="Q450:Q513" si="28">IF(G450=TRUE,"Holiday",IF(H450=0,"Weekend","Weekday"))</f>
        <v>Weekday</v>
      </c>
      <c r="R450" t="str">
        <f t="shared" ref="R450:R513" si="29">IF(P450&lt;50,"Low",IF(P450&lt;150,"Medium","High"))</f>
        <v>High</v>
      </c>
      <c r="S450" s="10" t="str">
        <f t="shared" si="26"/>
        <v>Mist/Cloudy</v>
      </c>
      <c r="T450" s="10" t="str">
        <f t="shared" si="27"/>
        <v>Warm</v>
      </c>
    </row>
    <row r="451" spans="1:20" x14ac:dyDescent="0.3">
      <c r="A451">
        <v>450</v>
      </c>
      <c r="B451" t="s">
        <v>35</v>
      </c>
      <c r="C451">
        <v>1</v>
      </c>
      <c r="D451">
        <v>0</v>
      </c>
      <c r="E451">
        <v>1</v>
      </c>
      <c r="F451">
        <v>18</v>
      </c>
      <c r="G451" t="b">
        <v>0</v>
      </c>
      <c r="H451">
        <v>4</v>
      </c>
      <c r="I451">
        <v>2</v>
      </c>
      <c r="J451">
        <v>0.26</v>
      </c>
      <c r="K451">
        <v>0.2576</v>
      </c>
      <c r="L451">
        <v>0.56000000000000005</v>
      </c>
      <c r="M451">
        <v>0.19400000000000001</v>
      </c>
      <c r="N451">
        <v>1</v>
      </c>
      <c r="O451">
        <v>184</v>
      </c>
      <c r="P451">
        <v>185</v>
      </c>
      <c r="Q451" t="str">
        <f t="shared" si="28"/>
        <v>Weekday</v>
      </c>
      <c r="R451" t="str">
        <f t="shared" si="29"/>
        <v>High</v>
      </c>
      <c r="S451" s="10" t="str">
        <f t="shared" ref="S451:S514" si="30">IF(I451=1,"Clear",IF(I451=2,"Mist/Cloudy",IF(I451=3,"Light Rain/Snow","Heavy Rain/Ice")))</f>
        <v>Mist/Cloudy</v>
      </c>
      <c r="T451" s="10" t="str">
        <f t="shared" ref="T451:T514" si="31">IF(J451&lt;0.3,"Cold","Warm")</f>
        <v>Cold</v>
      </c>
    </row>
    <row r="452" spans="1:20" x14ac:dyDescent="0.3">
      <c r="A452">
        <v>451</v>
      </c>
      <c r="B452" t="s">
        <v>35</v>
      </c>
      <c r="C452">
        <v>1</v>
      </c>
      <c r="D452">
        <v>0</v>
      </c>
      <c r="E452">
        <v>1</v>
      </c>
      <c r="F452">
        <v>19</v>
      </c>
      <c r="G452" t="b">
        <v>0</v>
      </c>
      <c r="H452">
        <v>4</v>
      </c>
      <c r="I452">
        <v>1</v>
      </c>
      <c r="J452">
        <v>0.26</v>
      </c>
      <c r="K452">
        <v>0.2273</v>
      </c>
      <c r="L452">
        <v>0.56000000000000005</v>
      </c>
      <c r="M452">
        <v>0.32840000000000003</v>
      </c>
      <c r="N452">
        <v>6</v>
      </c>
      <c r="O452">
        <v>146</v>
      </c>
      <c r="P452">
        <v>152</v>
      </c>
      <c r="Q452" t="str">
        <f t="shared" si="28"/>
        <v>Weekday</v>
      </c>
      <c r="R452" t="str">
        <f t="shared" si="29"/>
        <v>High</v>
      </c>
      <c r="S452" s="10" t="str">
        <f t="shared" si="30"/>
        <v>Clear</v>
      </c>
      <c r="T452" s="10" t="str">
        <f t="shared" si="31"/>
        <v>Cold</v>
      </c>
    </row>
    <row r="453" spans="1:20" x14ac:dyDescent="0.3">
      <c r="A453">
        <v>452</v>
      </c>
      <c r="B453" t="s">
        <v>35</v>
      </c>
      <c r="C453">
        <v>1</v>
      </c>
      <c r="D453">
        <v>0</v>
      </c>
      <c r="E453">
        <v>1</v>
      </c>
      <c r="F453">
        <v>20</v>
      </c>
      <c r="G453" t="b">
        <v>0</v>
      </c>
      <c r="H453">
        <v>4</v>
      </c>
      <c r="I453">
        <v>2</v>
      </c>
      <c r="J453">
        <v>0.26</v>
      </c>
      <c r="K453">
        <v>0.2424</v>
      </c>
      <c r="L453">
        <v>0.6</v>
      </c>
      <c r="M453">
        <v>0.28360000000000002</v>
      </c>
      <c r="N453">
        <v>2</v>
      </c>
      <c r="O453">
        <v>124</v>
      </c>
      <c r="P453">
        <v>126</v>
      </c>
      <c r="Q453" t="str">
        <f t="shared" si="28"/>
        <v>Weekday</v>
      </c>
      <c r="R453" t="str">
        <f t="shared" si="29"/>
        <v>Medium</v>
      </c>
      <c r="S453" s="10" t="str">
        <f t="shared" si="30"/>
        <v>Mist/Cloudy</v>
      </c>
      <c r="T453" s="10" t="str">
        <f t="shared" si="31"/>
        <v>Cold</v>
      </c>
    </row>
    <row r="454" spans="1:20" x14ac:dyDescent="0.3">
      <c r="A454">
        <v>453</v>
      </c>
      <c r="B454" t="s">
        <v>35</v>
      </c>
      <c r="C454">
        <v>1</v>
      </c>
      <c r="D454">
        <v>0</v>
      </c>
      <c r="E454">
        <v>1</v>
      </c>
      <c r="F454">
        <v>21</v>
      </c>
      <c r="G454" t="b">
        <v>0</v>
      </c>
      <c r="H454">
        <v>4</v>
      </c>
      <c r="I454">
        <v>2</v>
      </c>
      <c r="J454">
        <v>0.24</v>
      </c>
      <c r="K454">
        <v>0.2273</v>
      </c>
      <c r="L454">
        <v>0.6</v>
      </c>
      <c r="M454">
        <v>0.25369999999999998</v>
      </c>
      <c r="N454">
        <v>3</v>
      </c>
      <c r="O454">
        <v>54</v>
      </c>
      <c r="P454">
        <v>57</v>
      </c>
      <c r="Q454" t="str">
        <f t="shared" si="28"/>
        <v>Weekday</v>
      </c>
      <c r="R454" t="str">
        <f t="shared" si="29"/>
        <v>Medium</v>
      </c>
      <c r="S454" s="10" t="str">
        <f t="shared" si="30"/>
        <v>Mist/Cloudy</v>
      </c>
      <c r="T454" s="10" t="str">
        <f t="shared" si="31"/>
        <v>Cold</v>
      </c>
    </row>
    <row r="455" spans="1:20" x14ac:dyDescent="0.3">
      <c r="A455">
        <v>454</v>
      </c>
      <c r="B455" t="s">
        <v>35</v>
      </c>
      <c r="C455">
        <v>1</v>
      </c>
      <c r="D455">
        <v>0</v>
      </c>
      <c r="E455">
        <v>1</v>
      </c>
      <c r="F455">
        <v>22</v>
      </c>
      <c r="G455" t="b">
        <v>0</v>
      </c>
      <c r="H455">
        <v>4</v>
      </c>
      <c r="I455">
        <v>2</v>
      </c>
      <c r="J455">
        <v>0.24</v>
      </c>
      <c r="K455">
        <v>0.21210000000000001</v>
      </c>
      <c r="L455">
        <v>0.65</v>
      </c>
      <c r="M455">
        <v>0.28360000000000002</v>
      </c>
      <c r="N455">
        <v>0</v>
      </c>
      <c r="O455">
        <v>56</v>
      </c>
      <c r="P455">
        <v>56</v>
      </c>
      <c r="Q455" t="str">
        <f t="shared" si="28"/>
        <v>Weekday</v>
      </c>
      <c r="R455" t="str">
        <f t="shared" si="29"/>
        <v>Medium</v>
      </c>
      <c r="S455" s="10" t="str">
        <f t="shared" si="30"/>
        <v>Mist/Cloudy</v>
      </c>
      <c r="T455" s="10" t="str">
        <f t="shared" si="31"/>
        <v>Cold</v>
      </c>
    </row>
    <row r="456" spans="1:20" x14ac:dyDescent="0.3">
      <c r="A456">
        <v>455</v>
      </c>
      <c r="B456" t="s">
        <v>35</v>
      </c>
      <c r="C456">
        <v>1</v>
      </c>
      <c r="D456">
        <v>0</v>
      </c>
      <c r="E456">
        <v>1</v>
      </c>
      <c r="F456">
        <v>23</v>
      </c>
      <c r="G456" t="b">
        <v>0</v>
      </c>
      <c r="H456">
        <v>4</v>
      </c>
      <c r="I456">
        <v>2</v>
      </c>
      <c r="J456">
        <v>0.24</v>
      </c>
      <c r="K456">
        <v>0.21210000000000001</v>
      </c>
      <c r="L456">
        <v>0.65</v>
      </c>
      <c r="M456">
        <v>0.32840000000000003</v>
      </c>
      <c r="N456">
        <v>3</v>
      </c>
      <c r="O456">
        <v>28</v>
      </c>
      <c r="P456">
        <v>31</v>
      </c>
      <c r="Q456" t="str">
        <f t="shared" si="28"/>
        <v>Weekday</v>
      </c>
      <c r="R456" t="str">
        <f t="shared" si="29"/>
        <v>Low</v>
      </c>
      <c r="S456" s="10" t="str">
        <f t="shared" si="30"/>
        <v>Mist/Cloudy</v>
      </c>
      <c r="T456" s="10" t="str">
        <f t="shared" si="31"/>
        <v>Cold</v>
      </c>
    </row>
    <row r="457" spans="1:20" x14ac:dyDescent="0.3">
      <c r="A457">
        <v>456</v>
      </c>
      <c r="B457" t="s">
        <v>36</v>
      </c>
      <c r="C457">
        <v>1</v>
      </c>
      <c r="D457">
        <v>0</v>
      </c>
      <c r="E457">
        <v>1</v>
      </c>
      <c r="F457">
        <v>0</v>
      </c>
      <c r="G457" t="b">
        <v>0</v>
      </c>
      <c r="H457">
        <v>5</v>
      </c>
      <c r="I457">
        <v>2</v>
      </c>
      <c r="J457">
        <v>0.24</v>
      </c>
      <c r="K457">
        <v>0.2273</v>
      </c>
      <c r="L457">
        <v>0.7</v>
      </c>
      <c r="M457">
        <v>0.25369999999999998</v>
      </c>
      <c r="N457">
        <v>1</v>
      </c>
      <c r="O457">
        <v>20</v>
      </c>
      <c r="P457">
        <v>21</v>
      </c>
      <c r="Q457" t="str">
        <f t="shared" si="28"/>
        <v>Weekday</v>
      </c>
      <c r="R457" t="str">
        <f t="shared" si="29"/>
        <v>Low</v>
      </c>
      <c r="S457" s="10" t="str">
        <f t="shared" si="30"/>
        <v>Mist/Cloudy</v>
      </c>
      <c r="T457" s="10" t="str">
        <f t="shared" si="31"/>
        <v>Cold</v>
      </c>
    </row>
    <row r="458" spans="1:20" x14ac:dyDescent="0.3">
      <c r="A458">
        <v>457</v>
      </c>
      <c r="B458" t="s">
        <v>36</v>
      </c>
      <c r="C458">
        <v>1</v>
      </c>
      <c r="D458">
        <v>0</v>
      </c>
      <c r="E458">
        <v>1</v>
      </c>
      <c r="F458">
        <v>1</v>
      </c>
      <c r="G458" t="b">
        <v>0</v>
      </c>
      <c r="H458">
        <v>5</v>
      </c>
      <c r="I458">
        <v>2</v>
      </c>
      <c r="J458">
        <v>0.24</v>
      </c>
      <c r="K458">
        <v>0.2273</v>
      </c>
      <c r="L458">
        <v>0.7</v>
      </c>
      <c r="M458">
        <v>0.25369999999999998</v>
      </c>
      <c r="N458">
        <v>0</v>
      </c>
      <c r="O458">
        <v>6</v>
      </c>
      <c r="P458">
        <v>6</v>
      </c>
      <c r="Q458" t="str">
        <f t="shared" si="28"/>
        <v>Weekday</v>
      </c>
      <c r="R458" t="str">
        <f t="shared" si="29"/>
        <v>Low</v>
      </c>
      <c r="S458" s="10" t="str">
        <f t="shared" si="30"/>
        <v>Mist/Cloudy</v>
      </c>
      <c r="T458" s="10" t="str">
        <f t="shared" si="31"/>
        <v>Cold</v>
      </c>
    </row>
    <row r="459" spans="1:20" x14ac:dyDescent="0.3">
      <c r="A459">
        <v>458</v>
      </c>
      <c r="B459" t="s">
        <v>36</v>
      </c>
      <c r="C459">
        <v>1</v>
      </c>
      <c r="D459">
        <v>0</v>
      </c>
      <c r="E459">
        <v>1</v>
      </c>
      <c r="F459">
        <v>2</v>
      </c>
      <c r="G459" t="b">
        <v>0</v>
      </c>
      <c r="H459">
        <v>5</v>
      </c>
      <c r="I459">
        <v>3</v>
      </c>
      <c r="J459">
        <v>0.24</v>
      </c>
      <c r="K459">
        <v>0.2424</v>
      </c>
      <c r="L459">
        <v>0.75</v>
      </c>
      <c r="M459">
        <v>0.16420000000000001</v>
      </c>
      <c r="N459">
        <v>0</v>
      </c>
      <c r="O459">
        <v>2</v>
      </c>
      <c r="P459">
        <v>2</v>
      </c>
      <c r="Q459" t="str">
        <f t="shared" si="28"/>
        <v>Weekday</v>
      </c>
      <c r="R459" t="str">
        <f t="shared" si="29"/>
        <v>Low</v>
      </c>
      <c r="S459" s="10" t="str">
        <f t="shared" si="30"/>
        <v>Light Rain/Snow</v>
      </c>
      <c r="T459" s="10" t="str">
        <f t="shared" si="31"/>
        <v>Cold</v>
      </c>
    </row>
    <row r="460" spans="1:20" x14ac:dyDescent="0.3">
      <c r="A460">
        <v>459</v>
      </c>
      <c r="B460" t="s">
        <v>36</v>
      </c>
      <c r="C460">
        <v>1</v>
      </c>
      <c r="D460">
        <v>0</v>
      </c>
      <c r="E460">
        <v>1</v>
      </c>
      <c r="F460">
        <v>3</v>
      </c>
      <c r="G460" t="b">
        <v>0</v>
      </c>
      <c r="H460">
        <v>5</v>
      </c>
      <c r="I460">
        <v>3</v>
      </c>
      <c r="J460">
        <v>0.22</v>
      </c>
      <c r="K460">
        <v>0.21210000000000001</v>
      </c>
      <c r="L460">
        <v>0.8</v>
      </c>
      <c r="M460">
        <v>0.29849999999999999</v>
      </c>
      <c r="N460">
        <v>0</v>
      </c>
      <c r="O460">
        <v>1</v>
      </c>
      <c r="P460">
        <v>1</v>
      </c>
      <c r="Q460" t="str">
        <f t="shared" si="28"/>
        <v>Weekday</v>
      </c>
      <c r="R460" t="str">
        <f t="shared" si="29"/>
        <v>Low</v>
      </c>
      <c r="S460" s="10" t="str">
        <f t="shared" si="30"/>
        <v>Light Rain/Snow</v>
      </c>
      <c r="T460" s="10" t="str">
        <f t="shared" si="31"/>
        <v>Cold</v>
      </c>
    </row>
    <row r="461" spans="1:20" x14ac:dyDescent="0.3">
      <c r="A461">
        <v>460</v>
      </c>
      <c r="B461" t="s">
        <v>36</v>
      </c>
      <c r="C461">
        <v>1</v>
      </c>
      <c r="D461">
        <v>0</v>
      </c>
      <c r="E461">
        <v>1</v>
      </c>
      <c r="F461">
        <v>4</v>
      </c>
      <c r="G461" t="b">
        <v>0</v>
      </c>
      <c r="H461">
        <v>5</v>
      </c>
      <c r="I461">
        <v>2</v>
      </c>
      <c r="J461">
        <v>0.22</v>
      </c>
      <c r="K461">
        <v>0.2576</v>
      </c>
      <c r="L461">
        <v>0.87</v>
      </c>
      <c r="M461">
        <v>8.9599999999999999E-2</v>
      </c>
      <c r="N461">
        <v>0</v>
      </c>
      <c r="O461">
        <v>1</v>
      </c>
      <c r="P461">
        <v>1</v>
      </c>
      <c r="Q461" t="str">
        <f t="shared" si="28"/>
        <v>Weekday</v>
      </c>
      <c r="R461" t="str">
        <f t="shared" si="29"/>
        <v>Low</v>
      </c>
      <c r="S461" s="10" t="str">
        <f t="shared" si="30"/>
        <v>Mist/Cloudy</v>
      </c>
      <c r="T461" s="10" t="str">
        <f t="shared" si="31"/>
        <v>Cold</v>
      </c>
    </row>
    <row r="462" spans="1:20" x14ac:dyDescent="0.3">
      <c r="A462">
        <v>461</v>
      </c>
      <c r="B462" t="s">
        <v>36</v>
      </c>
      <c r="C462">
        <v>1</v>
      </c>
      <c r="D462">
        <v>0</v>
      </c>
      <c r="E462">
        <v>1</v>
      </c>
      <c r="F462">
        <v>5</v>
      </c>
      <c r="G462" t="b">
        <v>0</v>
      </c>
      <c r="H462">
        <v>5</v>
      </c>
      <c r="I462">
        <v>1</v>
      </c>
      <c r="J462">
        <v>0.24</v>
      </c>
      <c r="K462">
        <v>0.19700000000000001</v>
      </c>
      <c r="L462">
        <v>0.6</v>
      </c>
      <c r="M462">
        <v>0.41789999999999999</v>
      </c>
      <c r="N462">
        <v>1</v>
      </c>
      <c r="O462">
        <v>4</v>
      </c>
      <c r="P462">
        <v>5</v>
      </c>
      <c r="Q462" t="str">
        <f t="shared" si="28"/>
        <v>Weekday</v>
      </c>
      <c r="R462" t="str">
        <f t="shared" si="29"/>
        <v>Low</v>
      </c>
      <c r="S462" s="10" t="str">
        <f t="shared" si="30"/>
        <v>Clear</v>
      </c>
      <c r="T462" s="10" t="str">
        <f t="shared" si="31"/>
        <v>Cold</v>
      </c>
    </row>
    <row r="463" spans="1:20" x14ac:dyDescent="0.3">
      <c r="A463">
        <v>462</v>
      </c>
      <c r="B463" t="s">
        <v>36</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28"/>
        <v>Weekday</v>
      </c>
      <c r="R463" t="str">
        <f t="shared" si="29"/>
        <v>Low</v>
      </c>
      <c r="S463" s="10" t="str">
        <f t="shared" si="30"/>
        <v>Clear</v>
      </c>
      <c r="T463" s="10" t="str">
        <f t="shared" si="31"/>
        <v>Cold</v>
      </c>
    </row>
    <row r="464" spans="1:20" x14ac:dyDescent="0.3">
      <c r="A464">
        <v>463</v>
      </c>
      <c r="B464" t="s">
        <v>36</v>
      </c>
      <c r="C464">
        <v>1</v>
      </c>
      <c r="D464">
        <v>0</v>
      </c>
      <c r="E464">
        <v>1</v>
      </c>
      <c r="F464">
        <v>7</v>
      </c>
      <c r="G464" t="b">
        <v>0</v>
      </c>
      <c r="H464">
        <v>5</v>
      </c>
      <c r="I464">
        <v>1</v>
      </c>
      <c r="J464">
        <v>0.2</v>
      </c>
      <c r="K464">
        <v>0.18179999999999999</v>
      </c>
      <c r="L464">
        <v>0.51</v>
      </c>
      <c r="M464">
        <v>0.28360000000000002</v>
      </c>
      <c r="N464">
        <v>2</v>
      </c>
      <c r="O464">
        <v>66</v>
      </c>
      <c r="P464">
        <v>68</v>
      </c>
      <c r="Q464" t="str">
        <f t="shared" si="28"/>
        <v>Weekday</v>
      </c>
      <c r="R464" t="str">
        <f t="shared" si="29"/>
        <v>Medium</v>
      </c>
      <c r="S464" s="10" t="str">
        <f t="shared" si="30"/>
        <v>Clear</v>
      </c>
      <c r="T464" s="10" t="str">
        <f t="shared" si="31"/>
        <v>Cold</v>
      </c>
    </row>
    <row r="465" spans="1:20" x14ac:dyDescent="0.3">
      <c r="A465">
        <v>464</v>
      </c>
      <c r="B465" t="s">
        <v>36</v>
      </c>
      <c r="C465">
        <v>1</v>
      </c>
      <c r="D465">
        <v>0</v>
      </c>
      <c r="E465">
        <v>1</v>
      </c>
      <c r="F465">
        <v>8</v>
      </c>
      <c r="G465" t="b">
        <v>0</v>
      </c>
      <c r="H465">
        <v>5</v>
      </c>
      <c r="I465">
        <v>1</v>
      </c>
      <c r="J465">
        <v>0.2</v>
      </c>
      <c r="K465">
        <v>0.18179999999999999</v>
      </c>
      <c r="L465">
        <v>0.47</v>
      </c>
      <c r="M465">
        <v>0.32840000000000003</v>
      </c>
      <c r="N465">
        <v>7</v>
      </c>
      <c r="O465">
        <v>210</v>
      </c>
      <c r="P465">
        <v>217</v>
      </c>
      <c r="Q465" t="str">
        <f t="shared" si="28"/>
        <v>Weekday</v>
      </c>
      <c r="R465" t="str">
        <f t="shared" si="29"/>
        <v>High</v>
      </c>
      <c r="S465" s="10" t="str">
        <f t="shared" si="30"/>
        <v>Clear</v>
      </c>
      <c r="T465" s="10" t="str">
        <f t="shared" si="31"/>
        <v>Cold</v>
      </c>
    </row>
    <row r="466" spans="1:20" x14ac:dyDescent="0.3">
      <c r="A466">
        <v>465</v>
      </c>
      <c r="B466" t="s">
        <v>36</v>
      </c>
      <c r="C466">
        <v>1</v>
      </c>
      <c r="D466">
        <v>0</v>
      </c>
      <c r="E466">
        <v>1</v>
      </c>
      <c r="F466">
        <v>9</v>
      </c>
      <c r="G466" t="b">
        <v>0</v>
      </c>
      <c r="H466">
        <v>5</v>
      </c>
      <c r="I466">
        <v>1</v>
      </c>
      <c r="J466">
        <v>0.2</v>
      </c>
      <c r="K466">
        <v>0.18179999999999999</v>
      </c>
      <c r="L466">
        <v>0.51</v>
      </c>
      <c r="M466">
        <v>0.35820000000000002</v>
      </c>
      <c r="N466">
        <v>7</v>
      </c>
      <c r="O466">
        <v>159</v>
      </c>
      <c r="P466">
        <v>166</v>
      </c>
      <c r="Q466" t="str">
        <f t="shared" si="28"/>
        <v>Weekday</v>
      </c>
      <c r="R466" t="str">
        <f t="shared" si="29"/>
        <v>High</v>
      </c>
      <c r="S466" s="10" t="str">
        <f t="shared" si="30"/>
        <v>Clear</v>
      </c>
      <c r="T466" s="10" t="str">
        <f t="shared" si="31"/>
        <v>Cold</v>
      </c>
    </row>
    <row r="467" spans="1:20" x14ac:dyDescent="0.3">
      <c r="A467">
        <v>466</v>
      </c>
      <c r="B467" t="s">
        <v>36</v>
      </c>
      <c r="C467">
        <v>1</v>
      </c>
      <c r="D467">
        <v>0</v>
      </c>
      <c r="E467">
        <v>1</v>
      </c>
      <c r="F467">
        <v>10</v>
      </c>
      <c r="G467" t="b">
        <v>0</v>
      </c>
      <c r="H467">
        <v>5</v>
      </c>
      <c r="I467">
        <v>1</v>
      </c>
      <c r="J467">
        <v>0.2</v>
      </c>
      <c r="K467">
        <v>0.16669999999999999</v>
      </c>
      <c r="L467">
        <v>0.47</v>
      </c>
      <c r="M467">
        <v>0.4627</v>
      </c>
      <c r="N467">
        <v>6</v>
      </c>
      <c r="O467">
        <v>57</v>
      </c>
      <c r="P467">
        <v>63</v>
      </c>
      <c r="Q467" t="str">
        <f t="shared" si="28"/>
        <v>Weekday</v>
      </c>
      <c r="R467" t="str">
        <f t="shared" si="29"/>
        <v>Medium</v>
      </c>
      <c r="S467" s="10" t="str">
        <f t="shared" si="30"/>
        <v>Clear</v>
      </c>
      <c r="T467" s="10" t="str">
        <f t="shared" si="31"/>
        <v>Cold</v>
      </c>
    </row>
    <row r="468" spans="1:20" x14ac:dyDescent="0.3">
      <c r="A468">
        <v>467</v>
      </c>
      <c r="B468" t="s">
        <v>36</v>
      </c>
      <c r="C468">
        <v>1</v>
      </c>
      <c r="D468">
        <v>0</v>
      </c>
      <c r="E468">
        <v>1</v>
      </c>
      <c r="F468">
        <v>11</v>
      </c>
      <c r="G468" t="b">
        <v>0</v>
      </c>
      <c r="H468">
        <v>5</v>
      </c>
      <c r="I468">
        <v>1</v>
      </c>
      <c r="J468">
        <v>0.22</v>
      </c>
      <c r="K468">
        <v>0.18179999999999999</v>
      </c>
      <c r="L468">
        <v>0.41</v>
      </c>
      <c r="M468">
        <v>0.4627</v>
      </c>
      <c r="N468">
        <v>6</v>
      </c>
      <c r="O468">
        <v>53</v>
      </c>
      <c r="P468">
        <v>59</v>
      </c>
      <c r="Q468" t="str">
        <f t="shared" si="28"/>
        <v>Weekday</v>
      </c>
      <c r="R468" t="str">
        <f t="shared" si="29"/>
        <v>Medium</v>
      </c>
      <c r="S468" s="10" t="str">
        <f t="shared" si="30"/>
        <v>Clear</v>
      </c>
      <c r="T468" s="10" t="str">
        <f t="shared" si="31"/>
        <v>Cold</v>
      </c>
    </row>
    <row r="469" spans="1:20" x14ac:dyDescent="0.3">
      <c r="A469">
        <v>468</v>
      </c>
      <c r="B469" t="s">
        <v>36</v>
      </c>
      <c r="C469">
        <v>1</v>
      </c>
      <c r="D469">
        <v>0</v>
      </c>
      <c r="E469">
        <v>1</v>
      </c>
      <c r="F469">
        <v>12</v>
      </c>
      <c r="G469" t="b">
        <v>0</v>
      </c>
      <c r="H469">
        <v>5</v>
      </c>
      <c r="I469">
        <v>1</v>
      </c>
      <c r="J469">
        <v>0.22</v>
      </c>
      <c r="K469">
        <v>0.18179999999999999</v>
      </c>
      <c r="L469">
        <v>0.27</v>
      </c>
      <c r="M469">
        <v>0.58209999999999995</v>
      </c>
      <c r="N469">
        <v>11</v>
      </c>
      <c r="O469">
        <v>67</v>
      </c>
      <c r="P469">
        <v>78</v>
      </c>
      <c r="Q469" t="str">
        <f t="shared" si="28"/>
        <v>Weekday</v>
      </c>
      <c r="R469" t="str">
        <f t="shared" si="29"/>
        <v>Medium</v>
      </c>
      <c r="S469" s="10" t="str">
        <f t="shared" si="30"/>
        <v>Clear</v>
      </c>
      <c r="T469" s="10" t="str">
        <f t="shared" si="31"/>
        <v>Cold</v>
      </c>
    </row>
    <row r="470" spans="1:20" x14ac:dyDescent="0.3">
      <c r="A470">
        <v>469</v>
      </c>
      <c r="B470" t="s">
        <v>36</v>
      </c>
      <c r="C470">
        <v>1</v>
      </c>
      <c r="D470">
        <v>0</v>
      </c>
      <c r="E470">
        <v>1</v>
      </c>
      <c r="F470">
        <v>13</v>
      </c>
      <c r="G470" t="b">
        <v>0</v>
      </c>
      <c r="H470">
        <v>5</v>
      </c>
      <c r="I470">
        <v>1</v>
      </c>
      <c r="J470">
        <v>0.2</v>
      </c>
      <c r="K470">
        <v>0.1515</v>
      </c>
      <c r="L470">
        <v>0.21</v>
      </c>
      <c r="M470">
        <v>0.58209999999999995</v>
      </c>
      <c r="N470">
        <v>8</v>
      </c>
      <c r="O470">
        <v>65</v>
      </c>
      <c r="P470">
        <v>73</v>
      </c>
      <c r="Q470" t="str">
        <f t="shared" si="28"/>
        <v>Weekday</v>
      </c>
      <c r="R470" t="str">
        <f t="shared" si="29"/>
        <v>Medium</v>
      </c>
      <c r="S470" s="10" t="str">
        <f t="shared" si="30"/>
        <v>Clear</v>
      </c>
      <c r="T470" s="10" t="str">
        <f t="shared" si="31"/>
        <v>Cold</v>
      </c>
    </row>
    <row r="471" spans="1:20" x14ac:dyDescent="0.3">
      <c r="A471">
        <v>470</v>
      </c>
      <c r="B471" t="s">
        <v>36</v>
      </c>
      <c r="C471">
        <v>1</v>
      </c>
      <c r="D471">
        <v>0</v>
      </c>
      <c r="E471">
        <v>1</v>
      </c>
      <c r="F471">
        <v>14</v>
      </c>
      <c r="G471" t="b">
        <v>0</v>
      </c>
      <c r="H471">
        <v>5</v>
      </c>
      <c r="I471">
        <v>1</v>
      </c>
      <c r="J471">
        <v>0.2</v>
      </c>
      <c r="K471">
        <v>0.1515</v>
      </c>
      <c r="L471">
        <v>0.25</v>
      </c>
      <c r="M471">
        <v>0.52239999999999998</v>
      </c>
      <c r="N471">
        <v>6</v>
      </c>
      <c r="O471">
        <v>56</v>
      </c>
      <c r="P471">
        <v>62</v>
      </c>
      <c r="Q471" t="str">
        <f t="shared" si="28"/>
        <v>Weekday</v>
      </c>
      <c r="R471" t="str">
        <f t="shared" si="29"/>
        <v>Medium</v>
      </c>
      <c r="S471" s="10" t="str">
        <f t="shared" si="30"/>
        <v>Clear</v>
      </c>
      <c r="T471" s="10" t="str">
        <f t="shared" si="31"/>
        <v>Cold</v>
      </c>
    </row>
    <row r="472" spans="1:20" x14ac:dyDescent="0.3">
      <c r="A472">
        <v>471</v>
      </c>
      <c r="B472" t="s">
        <v>36</v>
      </c>
      <c r="C472">
        <v>1</v>
      </c>
      <c r="D472">
        <v>0</v>
      </c>
      <c r="E472">
        <v>1</v>
      </c>
      <c r="F472">
        <v>15</v>
      </c>
      <c r="G472" t="b">
        <v>0</v>
      </c>
      <c r="H472">
        <v>5</v>
      </c>
      <c r="I472">
        <v>1</v>
      </c>
      <c r="J472">
        <v>0.16</v>
      </c>
      <c r="K472">
        <v>0.1212</v>
      </c>
      <c r="L472">
        <v>0.26</v>
      </c>
      <c r="M472">
        <v>0.44779999999999998</v>
      </c>
      <c r="N472">
        <v>4</v>
      </c>
      <c r="O472">
        <v>61</v>
      </c>
      <c r="P472">
        <v>65</v>
      </c>
      <c r="Q472" t="str">
        <f t="shared" si="28"/>
        <v>Weekday</v>
      </c>
      <c r="R472" t="str">
        <f t="shared" si="29"/>
        <v>Medium</v>
      </c>
      <c r="S472" s="10" t="str">
        <f t="shared" si="30"/>
        <v>Clear</v>
      </c>
      <c r="T472" s="10" t="str">
        <f t="shared" si="31"/>
        <v>Cold</v>
      </c>
    </row>
    <row r="473" spans="1:20" x14ac:dyDescent="0.3">
      <c r="A473">
        <v>472</v>
      </c>
      <c r="B473" t="s">
        <v>36</v>
      </c>
      <c r="C473">
        <v>1</v>
      </c>
      <c r="D473">
        <v>0</v>
      </c>
      <c r="E473">
        <v>1</v>
      </c>
      <c r="F473">
        <v>16</v>
      </c>
      <c r="G473" t="b">
        <v>0</v>
      </c>
      <c r="H473">
        <v>5</v>
      </c>
      <c r="I473">
        <v>1</v>
      </c>
      <c r="J473">
        <v>0.16</v>
      </c>
      <c r="K473">
        <v>0.13639999999999999</v>
      </c>
      <c r="L473">
        <v>0.26</v>
      </c>
      <c r="M473">
        <v>0.35820000000000002</v>
      </c>
      <c r="N473">
        <v>0</v>
      </c>
      <c r="O473">
        <v>97</v>
      </c>
      <c r="P473">
        <v>97</v>
      </c>
      <c r="Q473" t="str">
        <f t="shared" si="28"/>
        <v>Weekday</v>
      </c>
      <c r="R473" t="str">
        <f t="shared" si="29"/>
        <v>Medium</v>
      </c>
      <c r="S473" s="10" t="str">
        <f t="shared" si="30"/>
        <v>Clear</v>
      </c>
      <c r="T473" s="10" t="str">
        <f t="shared" si="31"/>
        <v>Cold</v>
      </c>
    </row>
    <row r="474" spans="1:20" x14ac:dyDescent="0.3">
      <c r="A474">
        <v>473</v>
      </c>
      <c r="B474" t="s">
        <v>36</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28"/>
        <v>Weekday</v>
      </c>
      <c r="R474" t="str">
        <f t="shared" si="29"/>
        <v>High</v>
      </c>
      <c r="S474" s="10" t="str">
        <f t="shared" si="30"/>
        <v>Clear</v>
      </c>
      <c r="T474" s="10" t="str">
        <f t="shared" si="31"/>
        <v>Cold</v>
      </c>
    </row>
    <row r="475" spans="1:20" x14ac:dyDescent="0.3">
      <c r="A475">
        <v>474</v>
      </c>
      <c r="B475" t="s">
        <v>36</v>
      </c>
      <c r="C475">
        <v>1</v>
      </c>
      <c r="D475">
        <v>0</v>
      </c>
      <c r="E475">
        <v>1</v>
      </c>
      <c r="F475">
        <v>18</v>
      </c>
      <c r="G475" t="b">
        <v>0</v>
      </c>
      <c r="H475">
        <v>5</v>
      </c>
      <c r="I475">
        <v>1</v>
      </c>
      <c r="J475">
        <v>0.12</v>
      </c>
      <c r="K475">
        <v>0.1212</v>
      </c>
      <c r="L475">
        <v>0.3</v>
      </c>
      <c r="M475">
        <v>0.25369999999999998</v>
      </c>
      <c r="N475">
        <v>1</v>
      </c>
      <c r="O475">
        <v>119</v>
      </c>
      <c r="P475">
        <v>120</v>
      </c>
      <c r="Q475" t="str">
        <f t="shared" si="28"/>
        <v>Weekday</v>
      </c>
      <c r="R475" t="str">
        <f t="shared" si="29"/>
        <v>Medium</v>
      </c>
      <c r="S475" s="10" t="str">
        <f t="shared" si="30"/>
        <v>Clear</v>
      </c>
      <c r="T475" s="10" t="str">
        <f t="shared" si="31"/>
        <v>Cold</v>
      </c>
    </row>
    <row r="476" spans="1:20" x14ac:dyDescent="0.3">
      <c r="A476">
        <v>475</v>
      </c>
      <c r="B476" t="s">
        <v>36</v>
      </c>
      <c r="C476">
        <v>1</v>
      </c>
      <c r="D476">
        <v>0</v>
      </c>
      <c r="E476">
        <v>1</v>
      </c>
      <c r="F476">
        <v>19</v>
      </c>
      <c r="G476" t="b">
        <v>0</v>
      </c>
      <c r="H476">
        <v>5</v>
      </c>
      <c r="I476">
        <v>1</v>
      </c>
      <c r="J476">
        <v>0.12</v>
      </c>
      <c r="K476">
        <v>0.1061</v>
      </c>
      <c r="L476">
        <v>0.3</v>
      </c>
      <c r="M476">
        <v>0.32840000000000003</v>
      </c>
      <c r="N476">
        <v>3</v>
      </c>
      <c r="O476">
        <v>93</v>
      </c>
      <c r="P476">
        <v>96</v>
      </c>
      <c r="Q476" t="str">
        <f t="shared" si="28"/>
        <v>Weekday</v>
      </c>
      <c r="R476" t="str">
        <f t="shared" si="29"/>
        <v>Medium</v>
      </c>
      <c r="S476" s="10" t="str">
        <f t="shared" si="30"/>
        <v>Clear</v>
      </c>
      <c r="T476" s="10" t="str">
        <f t="shared" si="31"/>
        <v>Cold</v>
      </c>
    </row>
    <row r="477" spans="1:20" x14ac:dyDescent="0.3">
      <c r="A477">
        <v>476</v>
      </c>
      <c r="B477" t="s">
        <v>36</v>
      </c>
      <c r="C477">
        <v>1</v>
      </c>
      <c r="D477">
        <v>0</v>
      </c>
      <c r="E477">
        <v>1</v>
      </c>
      <c r="F477">
        <v>20</v>
      </c>
      <c r="G477" t="b">
        <v>0</v>
      </c>
      <c r="H477">
        <v>5</v>
      </c>
      <c r="I477">
        <v>1</v>
      </c>
      <c r="J477">
        <v>0.1</v>
      </c>
      <c r="K477">
        <v>7.5800000000000006E-2</v>
      </c>
      <c r="L477">
        <v>0.33</v>
      </c>
      <c r="M477">
        <v>0.41789999999999999</v>
      </c>
      <c r="N477">
        <v>1</v>
      </c>
      <c r="O477">
        <v>52</v>
      </c>
      <c r="P477">
        <v>53</v>
      </c>
      <c r="Q477" t="str">
        <f t="shared" si="28"/>
        <v>Weekday</v>
      </c>
      <c r="R477" t="str">
        <f t="shared" si="29"/>
        <v>Medium</v>
      </c>
      <c r="S477" s="10" t="str">
        <f t="shared" si="30"/>
        <v>Clear</v>
      </c>
      <c r="T477" s="10" t="str">
        <f t="shared" si="31"/>
        <v>Cold</v>
      </c>
    </row>
    <row r="478" spans="1:20" x14ac:dyDescent="0.3">
      <c r="A478">
        <v>477</v>
      </c>
      <c r="B478" t="s">
        <v>36</v>
      </c>
      <c r="C478">
        <v>1</v>
      </c>
      <c r="D478">
        <v>0</v>
      </c>
      <c r="E478">
        <v>1</v>
      </c>
      <c r="F478">
        <v>21</v>
      </c>
      <c r="G478" t="b">
        <v>0</v>
      </c>
      <c r="H478">
        <v>5</v>
      </c>
      <c r="I478">
        <v>1</v>
      </c>
      <c r="J478">
        <v>0.08</v>
      </c>
      <c r="K478">
        <v>7.5800000000000006E-2</v>
      </c>
      <c r="L478">
        <v>0.38</v>
      </c>
      <c r="M478">
        <v>0.28360000000000002</v>
      </c>
      <c r="N478">
        <v>0</v>
      </c>
      <c r="O478">
        <v>41</v>
      </c>
      <c r="P478">
        <v>41</v>
      </c>
      <c r="Q478" t="str">
        <f t="shared" si="28"/>
        <v>Weekday</v>
      </c>
      <c r="R478" t="str">
        <f t="shared" si="29"/>
        <v>Low</v>
      </c>
      <c r="S478" s="10" t="str">
        <f t="shared" si="30"/>
        <v>Clear</v>
      </c>
      <c r="T478" s="10" t="str">
        <f t="shared" si="31"/>
        <v>Cold</v>
      </c>
    </row>
    <row r="479" spans="1:20" x14ac:dyDescent="0.3">
      <c r="A479">
        <v>478</v>
      </c>
      <c r="B479" t="s">
        <v>36</v>
      </c>
      <c r="C479">
        <v>1</v>
      </c>
      <c r="D479">
        <v>0</v>
      </c>
      <c r="E479">
        <v>1</v>
      </c>
      <c r="F479">
        <v>22</v>
      </c>
      <c r="G479" t="b">
        <v>0</v>
      </c>
      <c r="H479">
        <v>5</v>
      </c>
      <c r="I479">
        <v>1</v>
      </c>
      <c r="J479">
        <v>0.06</v>
      </c>
      <c r="K479">
        <v>3.0300000000000001E-2</v>
      </c>
      <c r="L479">
        <v>0.41</v>
      </c>
      <c r="M479">
        <v>0.3881</v>
      </c>
      <c r="N479">
        <v>1</v>
      </c>
      <c r="O479">
        <v>33</v>
      </c>
      <c r="P479">
        <v>34</v>
      </c>
      <c r="Q479" t="str">
        <f t="shared" si="28"/>
        <v>Weekday</v>
      </c>
      <c r="R479" t="str">
        <f t="shared" si="29"/>
        <v>Low</v>
      </c>
      <c r="S479" s="10" t="str">
        <f t="shared" si="30"/>
        <v>Clear</v>
      </c>
      <c r="T479" s="10" t="str">
        <f t="shared" si="31"/>
        <v>Cold</v>
      </c>
    </row>
    <row r="480" spans="1:20" x14ac:dyDescent="0.3">
      <c r="A480">
        <v>479</v>
      </c>
      <c r="B480" t="s">
        <v>36</v>
      </c>
      <c r="C480">
        <v>1</v>
      </c>
      <c r="D480">
        <v>0</v>
      </c>
      <c r="E480">
        <v>1</v>
      </c>
      <c r="F480">
        <v>23</v>
      </c>
      <c r="G480" t="b">
        <v>0</v>
      </c>
      <c r="H480">
        <v>5</v>
      </c>
      <c r="I480">
        <v>1</v>
      </c>
      <c r="J480">
        <v>0.06</v>
      </c>
      <c r="K480">
        <v>4.5499999999999999E-2</v>
      </c>
      <c r="L480">
        <v>0.38</v>
      </c>
      <c r="M480">
        <v>0.32840000000000003</v>
      </c>
      <c r="N480">
        <v>0</v>
      </c>
      <c r="O480">
        <v>27</v>
      </c>
      <c r="P480">
        <v>27</v>
      </c>
      <c r="Q480" t="str">
        <f t="shared" si="28"/>
        <v>Weekday</v>
      </c>
      <c r="R480" t="str">
        <f t="shared" si="29"/>
        <v>Low</v>
      </c>
      <c r="S480" s="10" t="str">
        <f t="shared" si="30"/>
        <v>Clear</v>
      </c>
      <c r="T480" s="10" t="str">
        <f t="shared" si="31"/>
        <v>Cold</v>
      </c>
    </row>
    <row r="481" spans="1:20" x14ac:dyDescent="0.3">
      <c r="A481">
        <v>480</v>
      </c>
      <c r="B481" t="s">
        <v>37</v>
      </c>
      <c r="C481">
        <v>1</v>
      </c>
      <c r="D481">
        <v>0</v>
      </c>
      <c r="E481">
        <v>1</v>
      </c>
      <c r="F481">
        <v>0</v>
      </c>
      <c r="G481" t="b">
        <v>0</v>
      </c>
      <c r="H481">
        <v>6</v>
      </c>
      <c r="I481">
        <v>1</v>
      </c>
      <c r="J481">
        <v>0.04</v>
      </c>
      <c r="K481">
        <v>3.0300000000000001E-2</v>
      </c>
      <c r="L481">
        <v>0.45</v>
      </c>
      <c r="M481">
        <v>0.25369999999999998</v>
      </c>
      <c r="N481">
        <v>0</v>
      </c>
      <c r="O481">
        <v>13</v>
      </c>
      <c r="P481">
        <v>13</v>
      </c>
      <c r="Q481" t="str">
        <f t="shared" si="28"/>
        <v>Weekday</v>
      </c>
      <c r="R481" t="str">
        <f t="shared" si="29"/>
        <v>Low</v>
      </c>
      <c r="S481" s="10" t="str">
        <f t="shared" si="30"/>
        <v>Clear</v>
      </c>
      <c r="T481" s="10" t="str">
        <f t="shared" si="31"/>
        <v>Cold</v>
      </c>
    </row>
    <row r="482" spans="1:20" x14ac:dyDescent="0.3">
      <c r="A482">
        <v>481</v>
      </c>
      <c r="B482" t="s">
        <v>37</v>
      </c>
      <c r="C482">
        <v>1</v>
      </c>
      <c r="D482">
        <v>0</v>
      </c>
      <c r="E482">
        <v>1</v>
      </c>
      <c r="F482">
        <v>1</v>
      </c>
      <c r="G482" t="b">
        <v>0</v>
      </c>
      <c r="H482">
        <v>6</v>
      </c>
      <c r="I482">
        <v>2</v>
      </c>
      <c r="J482">
        <v>0.04</v>
      </c>
      <c r="K482">
        <v>0</v>
      </c>
      <c r="L482">
        <v>0.41</v>
      </c>
      <c r="M482">
        <v>0.3881</v>
      </c>
      <c r="N482">
        <v>3</v>
      </c>
      <c r="O482">
        <v>9</v>
      </c>
      <c r="P482">
        <v>12</v>
      </c>
      <c r="Q482" t="str">
        <f t="shared" si="28"/>
        <v>Weekday</v>
      </c>
      <c r="R482" t="str">
        <f t="shared" si="29"/>
        <v>Low</v>
      </c>
      <c r="S482" s="10" t="str">
        <f t="shared" si="30"/>
        <v>Mist/Cloudy</v>
      </c>
      <c r="T482" s="10" t="str">
        <f t="shared" si="31"/>
        <v>Cold</v>
      </c>
    </row>
    <row r="483" spans="1:20" x14ac:dyDescent="0.3">
      <c r="A483">
        <v>482</v>
      </c>
      <c r="B483" t="s">
        <v>37</v>
      </c>
      <c r="C483">
        <v>1</v>
      </c>
      <c r="D483">
        <v>0</v>
      </c>
      <c r="E483">
        <v>1</v>
      </c>
      <c r="F483">
        <v>2</v>
      </c>
      <c r="G483" t="b">
        <v>0</v>
      </c>
      <c r="H483">
        <v>6</v>
      </c>
      <c r="I483">
        <v>2</v>
      </c>
      <c r="J483">
        <v>0.04</v>
      </c>
      <c r="K483">
        <v>3.0300000000000001E-2</v>
      </c>
      <c r="L483">
        <v>0.41</v>
      </c>
      <c r="M483">
        <v>0.25369999999999998</v>
      </c>
      <c r="N483">
        <v>0</v>
      </c>
      <c r="O483">
        <v>11</v>
      </c>
      <c r="P483">
        <v>11</v>
      </c>
      <c r="Q483" t="str">
        <f t="shared" si="28"/>
        <v>Weekday</v>
      </c>
      <c r="R483" t="str">
        <f t="shared" si="29"/>
        <v>Low</v>
      </c>
      <c r="S483" s="10" t="str">
        <f t="shared" si="30"/>
        <v>Mist/Cloudy</v>
      </c>
      <c r="T483" s="10" t="str">
        <f t="shared" si="31"/>
        <v>Cold</v>
      </c>
    </row>
    <row r="484" spans="1:20" x14ac:dyDescent="0.3">
      <c r="A484">
        <v>483</v>
      </c>
      <c r="B484" t="s">
        <v>37</v>
      </c>
      <c r="C484">
        <v>1</v>
      </c>
      <c r="D484">
        <v>0</v>
      </c>
      <c r="E484">
        <v>1</v>
      </c>
      <c r="F484">
        <v>3</v>
      </c>
      <c r="G484" t="b">
        <v>0</v>
      </c>
      <c r="H484">
        <v>6</v>
      </c>
      <c r="I484">
        <v>2</v>
      </c>
      <c r="J484">
        <v>0.04</v>
      </c>
      <c r="K484">
        <v>3.0300000000000001E-2</v>
      </c>
      <c r="L484">
        <v>0.41</v>
      </c>
      <c r="M484">
        <v>0.28360000000000002</v>
      </c>
      <c r="N484">
        <v>1</v>
      </c>
      <c r="O484">
        <v>6</v>
      </c>
      <c r="P484">
        <v>7</v>
      </c>
      <c r="Q484" t="str">
        <f t="shared" si="28"/>
        <v>Weekday</v>
      </c>
      <c r="R484" t="str">
        <f t="shared" si="29"/>
        <v>Low</v>
      </c>
      <c r="S484" s="10" t="str">
        <f t="shared" si="30"/>
        <v>Mist/Cloudy</v>
      </c>
      <c r="T484" s="10" t="str">
        <f t="shared" si="31"/>
        <v>Cold</v>
      </c>
    </row>
    <row r="485" spans="1:20" x14ac:dyDescent="0.3">
      <c r="A485">
        <v>484</v>
      </c>
      <c r="B485" t="s">
        <v>37</v>
      </c>
      <c r="C485">
        <v>1</v>
      </c>
      <c r="D485">
        <v>0</v>
      </c>
      <c r="E485">
        <v>1</v>
      </c>
      <c r="F485">
        <v>4</v>
      </c>
      <c r="G485" t="b">
        <v>0</v>
      </c>
      <c r="H485">
        <v>6</v>
      </c>
      <c r="I485">
        <v>2</v>
      </c>
      <c r="J485">
        <v>0.02</v>
      </c>
      <c r="K485">
        <v>1.52E-2</v>
      </c>
      <c r="L485">
        <v>0.48</v>
      </c>
      <c r="M485">
        <v>0.29849999999999999</v>
      </c>
      <c r="N485">
        <v>0</v>
      </c>
      <c r="O485">
        <v>3</v>
      </c>
      <c r="P485">
        <v>3</v>
      </c>
      <c r="Q485" t="str">
        <f t="shared" si="28"/>
        <v>Weekday</v>
      </c>
      <c r="R485" t="str">
        <f t="shared" si="29"/>
        <v>Low</v>
      </c>
      <c r="S485" s="10" t="str">
        <f t="shared" si="30"/>
        <v>Mist/Cloudy</v>
      </c>
      <c r="T485" s="10" t="str">
        <f t="shared" si="31"/>
        <v>Cold</v>
      </c>
    </row>
    <row r="486" spans="1:20" x14ac:dyDescent="0.3">
      <c r="A486">
        <v>485</v>
      </c>
      <c r="B486" t="s">
        <v>37</v>
      </c>
      <c r="C486">
        <v>1</v>
      </c>
      <c r="D486">
        <v>0</v>
      </c>
      <c r="E486">
        <v>1</v>
      </c>
      <c r="F486">
        <v>6</v>
      </c>
      <c r="G486" t="b">
        <v>0</v>
      </c>
      <c r="H486">
        <v>6</v>
      </c>
      <c r="I486">
        <v>2</v>
      </c>
      <c r="J486">
        <v>0.02</v>
      </c>
      <c r="K486">
        <v>3.0300000000000001E-2</v>
      </c>
      <c r="L486">
        <v>0.44</v>
      </c>
      <c r="M486">
        <v>0.22389999999999999</v>
      </c>
      <c r="N486">
        <v>0</v>
      </c>
      <c r="O486">
        <v>2</v>
      </c>
      <c r="P486">
        <v>2</v>
      </c>
      <c r="Q486" t="str">
        <f t="shared" si="28"/>
        <v>Weekday</v>
      </c>
      <c r="R486" t="str">
        <f t="shared" si="29"/>
        <v>Low</v>
      </c>
      <c r="S486" s="10" t="str">
        <f t="shared" si="30"/>
        <v>Mist/Cloudy</v>
      </c>
      <c r="T486" s="10" t="str">
        <f t="shared" si="31"/>
        <v>Cold</v>
      </c>
    </row>
    <row r="487" spans="1:20" x14ac:dyDescent="0.3">
      <c r="A487">
        <v>486</v>
      </c>
      <c r="B487" t="s">
        <v>37</v>
      </c>
      <c r="C487">
        <v>1</v>
      </c>
      <c r="D487">
        <v>0</v>
      </c>
      <c r="E487">
        <v>1</v>
      </c>
      <c r="F487">
        <v>7</v>
      </c>
      <c r="G487" t="b">
        <v>0</v>
      </c>
      <c r="H487">
        <v>6</v>
      </c>
      <c r="I487">
        <v>1</v>
      </c>
      <c r="J487">
        <v>0.02</v>
      </c>
      <c r="K487">
        <v>1.52E-2</v>
      </c>
      <c r="L487">
        <v>0.44</v>
      </c>
      <c r="M487">
        <v>0.28360000000000002</v>
      </c>
      <c r="N487">
        <v>0</v>
      </c>
      <c r="O487">
        <v>8</v>
      </c>
      <c r="P487">
        <v>8</v>
      </c>
      <c r="Q487" t="str">
        <f t="shared" si="28"/>
        <v>Weekday</v>
      </c>
      <c r="R487" t="str">
        <f t="shared" si="29"/>
        <v>Low</v>
      </c>
      <c r="S487" s="10" t="str">
        <f t="shared" si="30"/>
        <v>Clear</v>
      </c>
      <c r="T487" s="10" t="str">
        <f t="shared" si="31"/>
        <v>Cold</v>
      </c>
    </row>
    <row r="488" spans="1:20" x14ac:dyDescent="0.3">
      <c r="A488">
        <v>487</v>
      </c>
      <c r="B488" t="s">
        <v>37</v>
      </c>
      <c r="C488">
        <v>1</v>
      </c>
      <c r="D488">
        <v>0</v>
      </c>
      <c r="E488">
        <v>1</v>
      </c>
      <c r="F488">
        <v>8</v>
      </c>
      <c r="G488" t="b">
        <v>0</v>
      </c>
      <c r="H488">
        <v>6</v>
      </c>
      <c r="I488">
        <v>1</v>
      </c>
      <c r="J488">
        <v>0.02</v>
      </c>
      <c r="K488">
        <v>0</v>
      </c>
      <c r="L488">
        <v>0.44</v>
      </c>
      <c r="M488">
        <v>0.32840000000000003</v>
      </c>
      <c r="N488">
        <v>1</v>
      </c>
      <c r="O488">
        <v>26</v>
      </c>
      <c r="P488">
        <v>27</v>
      </c>
      <c r="Q488" t="str">
        <f t="shared" si="28"/>
        <v>Weekday</v>
      </c>
      <c r="R488" t="str">
        <f t="shared" si="29"/>
        <v>Low</v>
      </c>
      <c r="S488" s="10" t="str">
        <f t="shared" si="30"/>
        <v>Clear</v>
      </c>
      <c r="T488" s="10" t="str">
        <f t="shared" si="31"/>
        <v>Cold</v>
      </c>
    </row>
    <row r="489" spans="1:20" x14ac:dyDescent="0.3">
      <c r="A489">
        <v>488</v>
      </c>
      <c r="B489" t="s">
        <v>37</v>
      </c>
      <c r="C489">
        <v>1</v>
      </c>
      <c r="D489">
        <v>0</v>
      </c>
      <c r="E489">
        <v>1</v>
      </c>
      <c r="F489">
        <v>9</v>
      </c>
      <c r="G489" t="b">
        <v>0</v>
      </c>
      <c r="H489">
        <v>6</v>
      </c>
      <c r="I489">
        <v>1</v>
      </c>
      <c r="J489">
        <v>0.04</v>
      </c>
      <c r="K489">
        <v>3.0300000000000001E-2</v>
      </c>
      <c r="L489">
        <v>0.41</v>
      </c>
      <c r="M489">
        <v>0.25369999999999998</v>
      </c>
      <c r="N489">
        <v>3</v>
      </c>
      <c r="O489">
        <v>37</v>
      </c>
      <c r="P489">
        <v>40</v>
      </c>
      <c r="Q489" t="str">
        <f t="shared" si="28"/>
        <v>Weekday</v>
      </c>
      <c r="R489" t="str">
        <f t="shared" si="29"/>
        <v>Low</v>
      </c>
      <c r="S489" s="10" t="str">
        <f t="shared" si="30"/>
        <v>Clear</v>
      </c>
      <c r="T489" s="10" t="str">
        <f t="shared" si="31"/>
        <v>Cold</v>
      </c>
    </row>
    <row r="490" spans="1:20" x14ac:dyDescent="0.3">
      <c r="A490">
        <v>489</v>
      </c>
      <c r="B490" t="s">
        <v>37</v>
      </c>
      <c r="C490">
        <v>1</v>
      </c>
      <c r="D490">
        <v>0</v>
      </c>
      <c r="E490">
        <v>1</v>
      </c>
      <c r="F490">
        <v>10</v>
      </c>
      <c r="G490" t="b">
        <v>0</v>
      </c>
      <c r="H490">
        <v>6</v>
      </c>
      <c r="I490">
        <v>2</v>
      </c>
      <c r="J490">
        <v>0.04</v>
      </c>
      <c r="K490">
        <v>6.0600000000000001E-2</v>
      </c>
      <c r="L490">
        <v>0.41</v>
      </c>
      <c r="M490">
        <v>0.16420000000000001</v>
      </c>
      <c r="N490">
        <v>3</v>
      </c>
      <c r="O490">
        <v>50</v>
      </c>
      <c r="P490">
        <v>53</v>
      </c>
      <c r="Q490" t="str">
        <f t="shared" si="28"/>
        <v>Weekday</v>
      </c>
      <c r="R490" t="str">
        <f t="shared" si="29"/>
        <v>Medium</v>
      </c>
      <c r="S490" s="10" t="str">
        <f t="shared" si="30"/>
        <v>Mist/Cloudy</v>
      </c>
      <c r="T490" s="10" t="str">
        <f t="shared" si="31"/>
        <v>Cold</v>
      </c>
    </row>
    <row r="491" spans="1:20" x14ac:dyDescent="0.3">
      <c r="A491">
        <v>490</v>
      </c>
      <c r="B491" t="s">
        <v>37</v>
      </c>
      <c r="C491">
        <v>1</v>
      </c>
      <c r="D491">
        <v>0</v>
      </c>
      <c r="E491">
        <v>1</v>
      </c>
      <c r="F491">
        <v>11</v>
      </c>
      <c r="G491" t="b">
        <v>0</v>
      </c>
      <c r="H491">
        <v>6</v>
      </c>
      <c r="I491">
        <v>2</v>
      </c>
      <c r="J491">
        <v>0.06</v>
      </c>
      <c r="K491">
        <v>7.5800000000000006E-2</v>
      </c>
      <c r="L491">
        <v>0.38</v>
      </c>
      <c r="M491">
        <v>0.1343</v>
      </c>
      <c r="N491">
        <v>4</v>
      </c>
      <c r="O491">
        <v>59</v>
      </c>
      <c r="P491">
        <v>63</v>
      </c>
      <c r="Q491" t="str">
        <f t="shared" si="28"/>
        <v>Weekday</v>
      </c>
      <c r="R491" t="str">
        <f t="shared" si="29"/>
        <v>Medium</v>
      </c>
      <c r="S491" s="10" t="str">
        <f t="shared" si="30"/>
        <v>Mist/Cloudy</v>
      </c>
      <c r="T491" s="10" t="str">
        <f t="shared" si="31"/>
        <v>Cold</v>
      </c>
    </row>
    <row r="492" spans="1:20" x14ac:dyDescent="0.3">
      <c r="A492">
        <v>491</v>
      </c>
      <c r="B492" t="s">
        <v>37</v>
      </c>
      <c r="C492">
        <v>1</v>
      </c>
      <c r="D492">
        <v>0</v>
      </c>
      <c r="E492">
        <v>1</v>
      </c>
      <c r="F492">
        <v>12</v>
      </c>
      <c r="G492" t="b">
        <v>0</v>
      </c>
      <c r="H492">
        <v>6</v>
      </c>
      <c r="I492">
        <v>2</v>
      </c>
      <c r="J492">
        <v>0.06</v>
      </c>
      <c r="K492">
        <v>0.1061</v>
      </c>
      <c r="L492">
        <v>0.38</v>
      </c>
      <c r="M492">
        <v>0.1045</v>
      </c>
      <c r="N492">
        <v>10</v>
      </c>
      <c r="O492">
        <v>60</v>
      </c>
      <c r="P492">
        <v>70</v>
      </c>
      <c r="Q492" t="str">
        <f t="shared" si="28"/>
        <v>Weekday</v>
      </c>
      <c r="R492" t="str">
        <f t="shared" si="29"/>
        <v>Medium</v>
      </c>
      <c r="S492" s="10" t="str">
        <f t="shared" si="30"/>
        <v>Mist/Cloudy</v>
      </c>
      <c r="T492" s="10" t="str">
        <f t="shared" si="31"/>
        <v>Cold</v>
      </c>
    </row>
    <row r="493" spans="1:20" x14ac:dyDescent="0.3">
      <c r="A493">
        <v>492</v>
      </c>
      <c r="B493" t="s">
        <v>37</v>
      </c>
      <c r="C493">
        <v>1</v>
      </c>
      <c r="D493">
        <v>0</v>
      </c>
      <c r="E493">
        <v>1</v>
      </c>
      <c r="F493">
        <v>13</v>
      </c>
      <c r="G493" t="b">
        <v>0</v>
      </c>
      <c r="H493">
        <v>6</v>
      </c>
      <c r="I493">
        <v>1</v>
      </c>
      <c r="J493">
        <v>0.08</v>
      </c>
      <c r="K493">
        <v>0.16669999999999999</v>
      </c>
      <c r="L493">
        <v>0.35</v>
      </c>
      <c r="M493">
        <v>0</v>
      </c>
      <c r="N493">
        <v>12</v>
      </c>
      <c r="O493">
        <v>72</v>
      </c>
      <c r="P493">
        <v>84</v>
      </c>
      <c r="Q493" t="str">
        <f t="shared" si="28"/>
        <v>Weekday</v>
      </c>
      <c r="R493" t="str">
        <f t="shared" si="29"/>
        <v>Medium</v>
      </c>
      <c r="S493" s="10" t="str">
        <f t="shared" si="30"/>
        <v>Clear</v>
      </c>
      <c r="T493" s="10" t="str">
        <f t="shared" si="31"/>
        <v>Cold</v>
      </c>
    </row>
    <row r="494" spans="1:20" x14ac:dyDescent="0.3">
      <c r="A494">
        <v>493</v>
      </c>
      <c r="B494" t="s">
        <v>37</v>
      </c>
      <c r="C494">
        <v>1</v>
      </c>
      <c r="D494">
        <v>0</v>
      </c>
      <c r="E494">
        <v>1</v>
      </c>
      <c r="F494">
        <v>14</v>
      </c>
      <c r="G494" t="b">
        <v>0</v>
      </c>
      <c r="H494">
        <v>6</v>
      </c>
      <c r="I494">
        <v>1</v>
      </c>
      <c r="J494">
        <v>0.1</v>
      </c>
      <c r="K494">
        <v>0.13639999999999999</v>
      </c>
      <c r="L494">
        <v>0.33</v>
      </c>
      <c r="M494">
        <v>0.1045</v>
      </c>
      <c r="N494">
        <v>11</v>
      </c>
      <c r="O494">
        <v>64</v>
      </c>
      <c r="P494">
        <v>75</v>
      </c>
      <c r="Q494" t="str">
        <f t="shared" si="28"/>
        <v>Weekday</v>
      </c>
      <c r="R494" t="str">
        <f t="shared" si="29"/>
        <v>Medium</v>
      </c>
      <c r="S494" s="10" t="str">
        <f t="shared" si="30"/>
        <v>Clear</v>
      </c>
      <c r="T494" s="10" t="str">
        <f t="shared" si="31"/>
        <v>Cold</v>
      </c>
    </row>
    <row r="495" spans="1:20" x14ac:dyDescent="0.3">
      <c r="A495">
        <v>494</v>
      </c>
      <c r="B495" t="s">
        <v>37</v>
      </c>
      <c r="C495">
        <v>1</v>
      </c>
      <c r="D495">
        <v>0</v>
      </c>
      <c r="E495">
        <v>1</v>
      </c>
      <c r="F495">
        <v>15</v>
      </c>
      <c r="G495" t="b">
        <v>0</v>
      </c>
      <c r="H495">
        <v>6</v>
      </c>
      <c r="I495">
        <v>1</v>
      </c>
      <c r="J495">
        <v>0.12</v>
      </c>
      <c r="K495">
        <v>0.1515</v>
      </c>
      <c r="L495">
        <v>0.28000000000000003</v>
      </c>
      <c r="M495">
        <v>0</v>
      </c>
      <c r="N495">
        <v>10</v>
      </c>
      <c r="O495">
        <v>93</v>
      </c>
      <c r="P495">
        <v>103</v>
      </c>
      <c r="Q495" t="str">
        <f t="shared" si="28"/>
        <v>Weekday</v>
      </c>
      <c r="R495" t="str">
        <f t="shared" si="29"/>
        <v>Medium</v>
      </c>
      <c r="S495" s="10" t="str">
        <f t="shared" si="30"/>
        <v>Clear</v>
      </c>
      <c r="T495" s="10" t="str">
        <f t="shared" si="31"/>
        <v>Cold</v>
      </c>
    </row>
    <row r="496" spans="1:20" x14ac:dyDescent="0.3">
      <c r="A496">
        <v>495</v>
      </c>
      <c r="B496" t="s">
        <v>37</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28"/>
        <v>Weekday</v>
      </c>
      <c r="R496" t="str">
        <f t="shared" si="29"/>
        <v>Medium</v>
      </c>
      <c r="S496" s="10" t="str">
        <f t="shared" si="30"/>
        <v>Clear</v>
      </c>
      <c r="T496" s="10" t="str">
        <f t="shared" si="31"/>
        <v>Cold</v>
      </c>
    </row>
    <row r="497" spans="1:20" x14ac:dyDescent="0.3">
      <c r="A497">
        <v>496</v>
      </c>
      <c r="B497" t="s">
        <v>37</v>
      </c>
      <c r="C497">
        <v>1</v>
      </c>
      <c r="D497">
        <v>0</v>
      </c>
      <c r="E497">
        <v>1</v>
      </c>
      <c r="F497">
        <v>17</v>
      </c>
      <c r="G497" t="b">
        <v>0</v>
      </c>
      <c r="H497">
        <v>6</v>
      </c>
      <c r="I497">
        <v>1</v>
      </c>
      <c r="J497">
        <v>0.12</v>
      </c>
      <c r="K497">
        <v>0.19700000000000001</v>
      </c>
      <c r="L497">
        <v>0.28000000000000003</v>
      </c>
      <c r="M497">
        <v>0</v>
      </c>
      <c r="N497">
        <v>8</v>
      </c>
      <c r="O497">
        <v>59</v>
      </c>
      <c r="P497">
        <v>67</v>
      </c>
      <c r="Q497" t="str">
        <f t="shared" si="28"/>
        <v>Weekday</v>
      </c>
      <c r="R497" t="str">
        <f t="shared" si="29"/>
        <v>Medium</v>
      </c>
      <c r="S497" s="10" t="str">
        <f t="shared" si="30"/>
        <v>Clear</v>
      </c>
      <c r="T497" s="10" t="str">
        <f t="shared" si="31"/>
        <v>Cold</v>
      </c>
    </row>
    <row r="498" spans="1:20" x14ac:dyDescent="0.3">
      <c r="A498">
        <v>497</v>
      </c>
      <c r="B498" t="s">
        <v>37</v>
      </c>
      <c r="C498">
        <v>1</v>
      </c>
      <c r="D498">
        <v>0</v>
      </c>
      <c r="E498">
        <v>1</v>
      </c>
      <c r="F498">
        <v>18</v>
      </c>
      <c r="G498" t="b">
        <v>0</v>
      </c>
      <c r="H498">
        <v>6</v>
      </c>
      <c r="I498">
        <v>1</v>
      </c>
      <c r="J498">
        <v>0.08</v>
      </c>
      <c r="K498">
        <v>9.0899999999999995E-2</v>
      </c>
      <c r="L498">
        <v>0.35</v>
      </c>
      <c r="M498">
        <v>0.19400000000000001</v>
      </c>
      <c r="N498">
        <v>0</v>
      </c>
      <c r="O498">
        <v>54</v>
      </c>
      <c r="P498">
        <v>54</v>
      </c>
      <c r="Q498" t="str">
        <f t="shared" si="28"/>
        <v>Weekday</v>
      </c>
      <c r="R498" t="str">
        <f t="shared" si="29"/>
        <v>Medium</v>
      </c>
      <c r="S498" s="10" t="str">
        <f t="shared" si="30"/>
        <v>Clear</v>
      </c>
      <c r="T498" s="10" t="str">
        <f t="shared" si="31"/>
        <v>Cold</v>
      </c>
    </row>
    <row r="499" spans="1:20" x14ac:dyDescent="0.3">
      <c r="A499">
        <v>498</v>
      </c>
      <c r="B499" t="s">
        <v>37</v>
      </c>
      <c r="C499">
        <v>1</v>
      </c>
      <c r="D499">
        <v>0</v>
      </c>
      <c r="E499">
        <v>1</v>
      </c>
      <c r="F499">
        <v>19</v>
      </c>
      <c r="G499" t="b">
        <v>0</v>
      </c>
      <c r="H499">
        <v>6</v>
      </c>
      <c r="I499">
        <v>1</v>
      </c>
      <c r="J499">
        <v>0.08</v>
      </c>
      <c r="K499">
        <v>0.1061</v>
      </c>
      <c r="L499">
        <v>0.35</v>
      </c>
      <c r="M499">
        <v>0.1343</v>
      </c>
      <c r="N499">
        <v>6</v>
      </c>
      <c r="O499">
        <v>53</v>
      </c>
      <c r="P499">
        <v>59</v>
      </c>
      <c r="Q499" t="str">
        <f t="shared" si="28"/>
        <v>Weekday</v>
      </c>
      <c r="R499" t="str">
        <f t="shared" si="29"/>
        <v>Medium</v>
      </c>
      <c r="S499" s="10" t="str">
        <f t="shared" si="30"/>
        <v>Clear</v>
      </c>
      <c r="T499" s="10" t="str">
        <f t="shared" si="31"/>
        <v>Cold</v>
      </c>
    </row>
    <row r="500" spans="1:20" x14ac:dyDescent="0.3">
      <c r="A500">
        <v>499</v>
      </c>
      <c r="B500" t="s">
        <v>37</v>
      </c>
      <c r="C500">
        <v>1</v>
      </c>
      <c r="D500">
        <v>0</v>
      </c>
      <c r="E500">
        <v>1</v>
      </c>
      <c r="F500">
        <v>20</v>
      </c>
      <c r="G500" t="b">
        <v>0</v>
      </c>
      <c r="H500">
        <v>6</v>
      </c>
      <c r="I500">
        <v>1</v>
      </c>
      <c r="J500">
        <v>0.06</v>
      </c>
      <c r="K500">
        <v>7.5800000000000006E-2</v>
      </c>
      <c r="L500">
        <v>0.45</v>
      </c>
      <c r="M500">
        <v>0.16420000000000001</v>
      </c>
      <c r="N500">
        <v>1</v>
      </c>
      <c r="O500">
        <v>44</v>
      </c>
      <c r="P500">
        <v>45</v>
      </c>
      <c r="Q500" t="str">
        <f t="shared" si="28"/>
        <v>Weekday</v>
      </c>
      <c r="R500" t="str">
        <f t="shared" si="29"/>
        <v>Low</v>
      </c>
      <c r="S500" s="10" t="str">
        <f t="shared" si="30"/>
        <v>Clear</v>
      </c>
      <c r="T500" s="10" t="str">
        <f t="shared" si="31"/>
        <v>Cold</v>
      </c>
    </row>
    <row r="501" spans="1:20" x14ac:dyDescent="0.3">
      <c r="A501">
        <v>500</v>
      </c>
      <c r="B501" t="s">
        <v>37</v>
      </c>
      <c r="C501">
        <v>1</v>
      </c>
      <c r="D501">
        <v>0</v>
      </c>
      <c r="E501">
        <v>1</v>
      </c>
      <c r="F501">
        <v>21</v>
      </c>
      <c r="G501" t="b">
        <v>0</v>
      </c>
      <c r="H501">
        <v>6</v>
      </c>
      <c r="I501">
        <v>1</v>
      </c>
      <c r="J501">
        <v>0.06</v>
      </c>
      <c r="K501">
        <v>0.1061</v>
      </c>
      <c r="L501">
        <v>0.41</v>
      </c>
      <c r="M501">
        <v>8.9599999999999999E-2</v>
      </c>
      <c r="N501">
        <v>0</v>
      </c>
      <c r="O501">
        <v>39</v>
      </c>
      <c r="P501">
        <v>39</v>
      </c>
      <c r="Q501" t="str">
        <f t="shared" si="28"/>
        <v>Weekday</v>
      </c>
      <c r="R501" t="str">
        <f t="shared" si="29"/>
        <v>Low</v>
      </c>
      <c r="S501" s="10" t="str">
        <f t="shared" si="30"/>
        <v>Clear</v>
      </c>
      <c r="T501" s="10" t="str">
        <f t="shared" si="31"/>
        <v>Cold</v>
      </c>
    </row>
    <row r="502" spans="1:20" x14ac:dyDescent="0.3">
      <c r="A502">
        <v>501</v>
      </c>
      <c r="B502" t="s">
        <v>37</v>
      </c>
      <c r="C502">
        <v>1</v>
      </c>
      <c r="D502">
        <v>0</v>
      </c>
      <c r="E502">
        <v>1</v>
      </c>
      <c r="F502">
        <v>22</v>
      </c>
      <c r="G502" t="b">
        <v>0</v>
      </c>
      <c r="H502">
        <v>6</v>
      </c>
      <c r="I502">
        <v>1</v>
      </c>
      <c r="J502">
        <v>0.06</v>
      </c>
      <c r="K502">
        <v>0.1515</v>
      </c>
      <c r="L502">
        <v>0.49</v>
      </c>
      <c r="M502">
        <v>0</v>
      </c>
      <c r="N502">
        <v>7</v>
      </c>
      <c r="O502">
        <v>23</v>
      </c>
      <c r="P502">
        <v>30</v>
      </c>
      <c r="Q502" t="str">
        <f t="shared" si="28"/>
        <v>Weekday</v>
      </c>
      <c r="R502" t="str">
        <f t="shared" si="29"/>
        <v>Low</v>
      </c>
      <c r="S502" s="10" t="str">
        <f t="shared" si="30"/>
        <v>Clear</v>
      </c>
      <c r="T502" s="10" t="str">
        <f t="shared" si="31"/>
        <v>Cold</v>
      </c>
    </row>
    <row r="503" spans="1:20" x14ac:dyDescent="0.3">
      <c r="A503">
        <v>502</v>
      </c>
      <c r="B503" t="s">
        <v>37</v>
      </c>
      <c r="C503">
        <v>1</v>
      </c>
      <c r="D503">
        <v>0</v>
      </c>
      <c r="E503">
        <v>1</v>
      </c>
      <c r="F503">
        <v>23</v>
      </c>
      <c r="G503" t="b">
        <v>0</v>
      </c>
      <c r="H503">
        <v>6</v>
      </c>
      <c r="I503">
        <v>1</v>
      </c>
      <c r="J503">
        <v>0.04</v>
      </c>
      <c r="K503">
        <v>7.5800000000000006E-2</v>
      </c>
      <c r="L503">
        <v>0.56999999999999995</v>
      </c>
      <c r="M503">
        <v>0.1045</v>
      </c>
      <c r="N503">
        <v>2</v>
      </c>
      <c r="O503">
        <v>31</v>
      </c>
      <c r="P503">
        <v>33</v>
      </c>
      <c r="Q503" t="str">
        <f t="shared" si="28"/>
        <v>Weekday</v>
      </c>
      <c r="R503" t="str">
        <f t="shared" si="29"/>
        <v>Low</v>
      </c>
      <c r="S503" s="10" t="str">
        <f t="shared" si="30"/>
        <v>Clear</v>
      </c>
      <c r="T503" s="10" t="str">
        <f t="shared" si="31"/>
        <v>Cold</v>
      </c>
    </row>
    <row r="504" spans="1:20" x14ac:dyDescent="0.3">
      <c r="A504">
        <v>503</v>
      </c>
      <c r="B504" t="s">
        <v>38</v>
      </c>
      <c r="C504">
        <v>1</v>
      </c>
      <c r="D504">
        <v>0</v>
      </c>
      <c r="E504">
        <v>1</v>
      </c>
      <c r="F504">
        <v>0</v>
      </c>
      <c r="G504" t="b">
        <v>0</v>
      </c>
      <c r="H504">
        <v>0</v>
      </c>
      <c r="I504">
        <v>1</v>
      </c>
      <c r="J504">
        <v>0.04</v>
      </c>
      <c r="K504">
        <v>7.5800000000000006E-2</v>
      </c>
      <c r="L504">
        <v>0.56999999999999995</v>
      </c>
      <c r="M504">
        <v>0.1045</v>
      </c>
      <c r="N504">
        <v>2</v>
      </c>
      <c r="O504">
        <v>20</v>
      </c>
      <c r="P504">
        <v>22</v>
      </c>
      <c r="Q504" t="str">
        <f t="shared" si="28"/>
        <v>Weekend</v>
      </c>
      <c r="R504" t="str">
        <f t="shared" si="29"/>
        <v>Low</v>
      </c>
      <c r="S504" s="10" t="str">
        <f t="shared" si="30"/>
        <v>Clear</v>
      </c>
      <c r="T504" s="10" t="str">
        <f t="shared" si="31"/>
        <v>Cold</v>
      </c>
    </row>
    <row r="505" spans="1:20" x14ac:dyDescent="0.3">
      <c r="A505">
        <v>504</v>
      </c>
      <c r="B505" t="s">
        <v>38</v>
      </c>
      <c r="C505">
        <v>1</v>
      </c>
      <c r="D505">
        <v>0</v>
      </c>
      <c r="E505">
        <v>1</v>
      </c>
      <c r="F505">
        <v>1</v>
      </c>
      <c r="G505" t="b">
        <v>0</v>
      </c>
      <c r="H505">
        <v>0</v>
      </c>
      <c r="I505">
        <v>1</v>
      </c>
      <c r="J505">
        <v>0.04</v>
      </c>
      <c r="K505">
        <v>7.5800000000000006E-2</v>
      </c>
      <c r="L505">
        <v>0.56999999999999995</v>
      </c>
      <c r="M505">
        <v>0.1045</v>
      </c>
      <c r="N505">
        <v>1</v>
      </c>
      <c r="O505">
        <v>12</v>
      </c>
      <c r="P505">
        <v>13</v>
      </c>
      <c r="Q505" t="str">
        <f t="shared" si="28"/>
        <v>Weekend</v>
      </c>
      <c r="R505" t="str">
        <f t="shared" si="29"/>
        <v>Low</v>
      </c>
      <c r="S505" s="10" t="str">
        <f t="shared" si="30"/>
        <v>Clear</v>
      </c>
      <c r="T505" s="10" t="str">
        <f t="shared" si="31"/>
        <v>Cold</v>
      </c>
    </row>
    <row r="506" spans="1:20" x14ac:dyDescent="0.3">
      <c r="A506">
        <v>505</v>
      </c>
      <c r="B506" t="s">
        <v>38</v>
      </c>
      <c r="C506">
        <v>1</v>
      </c>
      <c r="D506">
        <v>0</v>
      </c>
      <c r="E506">
        <v>1</v>
      </c>
      <c r="F506">
        <v>2</v>
      </c>
      <c r="G506" t="b">
        <v>0</v>
      </c>
      <c r="H506">
        <v>0</v>
      </c>
      <c r="I506">
        <v>1</v>
      </c>
      <c r="J506">
        <v>0.02</v>
      </c>
      <c r="K506">
        <v>6.0600000000000001E-2</v>
      </c>
      <c r="L506">
        <v>0.62</v>
      </c>
      <c r="M506">
        <v>0.1343</v>
      </c>
      <c r="N506">
        <v>3</v>
      </c>
      <c r="O506">
        <v>15</v>
      </c>
      <c r="P506">
        <v>18</v>
      </c>
      <c r="Q506" t="str">
        <f t="shared" si="28"/>
        <v>Weekend</v>
      </c>
      <c r="R506" t="str">
        <f t="shared" si="29"/>
        <v>Low</v>
      </c>
      <c r="S506" s="10" t="str">
        <f t="shared" si="30"/>
        <v>Clear</v>
      </c>
      <c r="T506" s="10" t="str">
        <f t="shared" si="31"/>
        <v>Cold</v>
      </c>
    </row>
    <row r="507" spans="1:20" x14ac:dyDescent="0.3">
      <c r="A507">
        <v>506</v>
      </c>
      <c r="B507" t="s">
        <v>38</v>
      </c>
      <c r="C507">
        <v>1</v>
      </c>
      <c r="D507">
        <v>0</v>
      </c>
      <c r="E507">
        <v>1</v>
      </c>
      <c r="F507">
        <v>3</v>
      </c>
      <c r="G507" t="b">
        <v>0</v>
      </c>
      <c r="H507">
        <v>0</v>
      </c>
      <c r="I507">
        <v>1</v>
      </c>
      <c r="J507">
        <v>0.02</v>
      </c>
      <c r="K507">
        <v>6.0600000000000001E-2</v>
      </c>
      <c r="L507">
        <v>0.62</v>
      </c>
      <c r="M507">
        <v>0.1343</v>
      </c>
      <c r="N507">
        <v>1</v>
      </c>
      <c r="O507">
        <v>4</v>
      </c>
      <c r="P507">
        <v>5</v>
      </c>
      <c r="Q507" t="str">
        <f t="shared" si="28"/>
        <v>Weekend</v>
      </c>
      <c r="R507" t="str">
        <f t="shared" si="29"/>
        <v>Low</v>
      </c>
      <c r="S507" s="10" t="str">
        <f t="shared" si="30"/>
        <v>Clear</v>
      </c>
      <c r="T507" s="10" t="str">
        <f t="shared" si="31"/>
        <v>Cold</v>
      </c>
    </row>
    <row r="508" spans="1:20" x14ac:dyDescent="0.3">
      <c r="A508">
        <v>507</v>
      </c>
      <c r="B508" t="s">
        <v>38</v>
      </c>
      <c r="C508">
        <v>1</v>
      </c>
      <c r="D508">
        <v>0</v>
      </c>
      <c r="E508">
        <v>1</v>
      </c>
      <c r="F508">
        <v>5</v>
      </c>
      <c r="G508" t="b">
        <v>0</v>
      </c>
      <c r="H508">
        <v>0</v>
      </c>
      <c r="I508">
        <v>2</v>
      </c>
      <c r="J508">
        <v>0.04</v>
      </c>
      <c r="K508">
        <v>7.5800000000000006E-2</v>
      </c>
      <c r="L508">
        <v>0.56999999999999995</v>
      </c>
      <c r="M508">
        <v>0.1045</v>
      </c>
      <c r="N508">
        <v>0</v>
      </c>
      <c r="O508">
        <v>3</v>
      </c>
      <c r="P508">
        <v>3</v>
      </c>
      <c r="Q508" t="str">
        <f t="shared" si="28"/>
        <v>Weekend</v>
      </c>
      <c r="R508" t="str">
        <f t="shared" si="29"/>
        <v>Low</v>
      </c>
      <c r="S508" s="10" t="str">
        <f t="shared" si="30"/>
        <v>Mist/Cloudy</v>
      </c>
      <c r="T508" s="10" t="str">
        <f t="shared" si="31"/>
        <v>Cold</v>
      </c>
    </row>
    <row r="509" spans="1:20" x14ac:dyDescent="0.3">
      <c r="A509">
        <v>508</v>
      </c>
      <c r="B509" t="s">
        <v>38</v>
      </c>
      <c r="C509">
        <v>1</v>
      </c>
      <c r="D509">
        <v>0</v>
      </c>
      <c r="E509">
        <v>1</v>
      </c>
      <c r="F509">
        <v>6</v>
      </c>
      <c r="G509" t="b">
        <v>0</v>
      </c>
      <c r="H509">
        <v>0</v>
      </c>
      <c r="I509">
        <v>2</v>
      </c>
      <c r="J509">
        <v>0.04</v>
      </c>
      <c r="K509">
        <v>7.5800000000000006E-2</v>
      </c>
      <c r="L509">
        <v>0.56999999999999995</v>
      </c>
      <c r="M509">
        <v>0.1045</v>
      </c>
      <c r="N509">
        <v>0</v>
      </c>
      <c r="O509">
        <v>1</v>
      </c>
      <c r="P509">
        <v>1</v>
      </c>
      <c r="Q509" t="str">
        <f t="shared" si="28"/>
        <v>Weekend</v>
      </c>
      <c r="R509" t="str">
        <f t="shared" si="29"/>
        <v>Low</v>
      </c>
      <c r="S509" s="10" t="str">
        <f t="shared" si="30"/>
        <v>Mist/Cloudy</v>
      </c>
      <c r="T509" s="10" t="str">
        <f t="shared" si="31"/>
        <v>Cold</v>
      </c>
    </row>
    <row r="510" spans="1:20" x14ac:dyDescent="0.3">
      <c r="A510">
        <v>509</v>
      </c>
      <c r="B510" t="s">
        <v>38</v>
      </c>
      <c r="C510">
        <v>1</v>
      </c>
      <c r="D510">
        <v>0</v>
      </c>
      <c r="E510">
        <v>1</v>
      </c>
      <c r="F510">
        <v>7</v>
      </c>
      <c r="G510" t="b">
        <v>0</v>
      </c>
      <c r="H510">
        <v>0</v>
      </c>
      <c r="I510">
        <v>1</v>
      </c>
      <c r="J510">
        <v>0.08</v>
      </c>
      <c r="K510">
        <v>0.1061</v>
      </c>
      <c r="L510">
        <v>0.57999999999999996</v>
      </c>
      <c r="M510">
        <v>0.16420000000000001</v>
      </c>
      <c r="N510">
        <v>1</v>
      </c>
      <c r="O510">
        <v>1</v>
      </c>
      <c r="P510">
        <v>2</v>
      </c>
      <c r="Q510" t="str">
        <f t="shared" si="28"/>
        <v>Weekend</v>
      </c>
      <c r="R510" t="str">
        <f t="shared" si="29"/>
        <v>Low</v>
      </c>
      <c r="S510" s="10" t="str">
        <f t="shared" si="30"/>
        <v>Clear</v>
      </c>
      <c r="T510" s="10" t="str">
        <f t="shared" si="31"/>
        <v>Cold</v>
      </c>
    </row>
    <row r="511" spans="1:20" x14ac:dyDescent="0.3">
      <c r="A511">
        <v>510</v>
      </c>
      <c r="B511" t="s">
        <v>38</v>
      </c>
      <c r="C511">
        <v>1</v>
      </c>
      <c r="D511">
        <v>0</v>
      </c>
      <c r="E511">
        <v>1</v>
      </c>
      <c r="F511">
        <v>8</v>
      </c>
      <c r="G511" t="b">
        <v>0</v>
      </c>
      <c r="H511">
        <v>0</v>
      </c>
      <c r="I511">
        <v>1</v>
      </c>
      <c r="J511">
        <v>0.06</v>
      </c>
      <c r="K511">
        <v>7.5800000000000006E-2</v>
      </c>
      <c r="L511">
        <v>0.62</v>
      </c>
      <c r="M511">
        <v>0.16420000000000001</v>
      </c>
      <c r="N511">
        <v>2</v>
      </c>
      <c r="O511">
        <v>17</v>
      </c>
      <c r="P511">
        <v>19</v>
      </c>
      <c r="Q511" t="str">
        <f t="shared" si="28"/>
        <v>Weekend</v>
      </c>
      <c r="R511" t="str">
        <f t="shared" si="29"/>
        <v>Low</v>
      </c>
      <c r="S511" s="10" t="str">
        <f t="shared" si="30"/>
        <v>Clear</v>
      </c>
      <c r="T511" s="10" t="str">
        <f t="shared" si="31"/>
        <v>Cold</v>
      </c>
    </row>
    <row r="512" spans="1:20" x14ac:dyDescent="0.3">
      <c r="A512">
        <v>511</v>
      </c>
      <c r="B512" t="s">
        <v>38</v>
      </c>
      <c r="C512">
        <v>1</v>
      </c>
      <c r="D512">
        <v>0</v>
      </c>
      <c r="E512">
        <v>1</v>
      </c>
      <c r="F512">
        <v>9</v>
      </c>
      <c r="G512" t="b">
        <v>0</v>
      </c>
      <c r="H512">
        <v>0</v>
      </c>
      <c r="I512">
        <v>1</v>
      </c>
      <c r="J512">
        <v>0.1</v>
      </c>
      <c r="K512">
        <v>7.5800000000000006E-2</v>
      </c>
      <c r="L512">
        <v>0.54</v>
      </c>
      <c r="M512">
        <v>0.35820000000000002</v>
      </c>
      <c r="N512">
        <v>3</v>
      </c>
      <c r="O512">
        <v>25</v>
      </c>
      <c r="P512">
        <v>28</v>
      </c>
      <c r="Q512" t="str">
        <f t="shared" si="28"/>
        <v>Weekend</v>
      </c>
      <c r="R512" t="str">
        <f t="shared" si="29"/>
        <v>Low</v>
      </c>
      <c r="S512" s="10" t="str">
        <f t="shared" si="30"/>
        <v>Clear</v>
      </c>
      <c r="T512" s="10" t="str">
        <f t="shared" si="31"/>
        <v>Cold</v>
      </c>
    </row>
    <row r="513" spans="1:20" x14ac:dyDescent="0.3">
      <c r="A513">
        <v>512</v>
      </c>
      <c r="B513" t="s">
        <v>38</v>
      </c>
      <c r="C513">
        <v>1</v>
      </c>
      <c r="D513">
        <v>0</v>
      </c>
      <c r="E513">
        <v>1</v>
      </c>
      <c r="F513">
        <v>10</v>
      </c>
      <c r="G513" t="b">
        <v>0</v>
      </c>
      <c r="H513">
        <v>0</v>
      </c>
      <c r="I513">
        <v>1</v>
      </c>
      <c r="J513">
        <v>0.14000000000000001</v>
      </c>
      <c r="K513">
        <v>0.1061</v>
      </c>
      <c r="L513">
        <v>0.46</v>
      </c>
      <c r="M513">
        <v>0.3881</v>
      </c>
      <c r="N513">
        <v>7</v>
      </c>
      <c r="O513">
        <v>51</v>
      </c>
      <c r="P513">
        <v>58</v>
      </c>
      <c r="Q513" t="str">
        <f t="shared" si="28"/>
        <v>Weekend</v>
      </c>
      <c r="R513" t="str">
        <f t="shared" si="29"/>
        <v>Medium</v>
      </c>
      <c r="S513" s="10" t="str">
        <f t="shared" si="30"/>
        <v>Clear</v>
      </c>
      <c r="T513" s="10" t="str">
        <f t="shared" si="31"/>
        <v>Cold</v>
      </c>
    </row>
    <row r="514" spans="1:20" x14ac:dyDescent="0.3">
      <c r="A514">
        <v>513</v>
      </c>
      <c r="B514" t="s">
        <v>38</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ref="Q514:Q577" si="32">IF(G514=TRUE,"Holiday",IF(H514=0,"Weekend","Weekday"))</f>
        <v>Weekend</v>
      </c>
      <c r="R514" t="str">
        <f t="shared" ref="R514:R577" si="33">IF(P514&lt;50,"Low",IF(P514&lt;150,"Medium","High"))</f>
        <v>Medium</v>
      </c>
      <c r="S514" s="10" t="str">
        <f t="shared" si="30"/>
        <v>Clear</v>
      </c>
      <c r="T514" s="10" t="str">
        <f t="shared" si="31"/>
        <v>Cold</v>
      </c>
    </row>
    <row r="515" spans="1:20" x14ac:dyDescent="0.3">
      <c r="A515">
        <v>514</v>
      </c>
      <c r="B515" t="s">
        <v>38</v>
      </c>
      <c r="C515">
        <v>1</v>
      </c>
      <c r="D515">
        <v>0</v>
      </c>
      <c r="E515">
        <v>1</v>
      </c>
      <c r="F515">
        <v>12</v>
      </c>
      <c r="G515" t="b">
        <v>0</v>
      </c>
      <c r="H515">
        <v>0</v>
      </c>
      <c r="I515">
        <v>1</v>
      </c>
      <c r="J515">
        <v>0.16</v>
      </c>
      <c r="K515">
        <v>0.1212</v>
      </c>
      <c r="L515">
        <v>0.37</v>
      </c>
      <c r="M515">
        <v>0.4627</v>
      </c>
      <c r="N515">
        <v>24</v>
      </c>
      <c r="O515">
        <v>92</v>
      </c>
      <c r="P515">
        <v>116</v>
      </c>
      <c r="Q515" t="str">
        <f t="shared" si="32"/>
        <v>Weekend</v>
      </c>
      <c r="R515" t="str">
        <f t="shared" si="33"/>
        <v>Medium</v>
      </c>
      <c r="S515" s="10" t="str">
        <f t="shared" ref="S515:S578" si="34">IF(I515=1,"Clear",IF(I515=2,"Mist/Cloudy",IF(I515=3,"Light Rain/Snow","Heavy Rain/Ice")))</f>
        <v>Clear</v>
      </c>
      <c r="T515" s="10" t="str">
        <f t="shared" ref="T515:T578" si="35">IF(J515&lt;0.3,"Cold","Warm")</f>
        <v>Cold</v>
      </c>
    </row>
    <row r="516" spans="1:20" x14ac:dyDescent="0.3">
      <c r="A516">
        <v>515</v>
      </c>
      <c r="B516" t="s">
        <v>38</v>
      </c>
      <c r="C516">
        <v>1</v>
      </c>
      <c r="D516">
        <v>0</v>
      </c>
      <c r="E516">
        <v>1</v>
      </c>
      <c r="F516">
        <v>13</v>
      </c>
      <c r="G516" t="b">
        <v>0</v>
      </c>
      <c r="H516">
        <v>0</v>
      </c>
      <c r="I516">
        <v>1</v>
      </c>
      <c r="J516">
        <v>0.14000000000000001</v>
      </c>
      <c r="K516">
        <v>0.1061</v>
      </c>
      <c r="L516">
        <v>0.33</v>
      </c>
      <c r="M516">
        <v>0.3881</v>
      </c>
      <c r="N516">
        <v>12</v>
      </c>
      <c r="O516">
        <v>75</v>
      </c>
      <c r="P516">
        <v>87</v>
      </c>
      <c r="Q516" t="str">
        <f t="shared" si="32"/>
        <v>Weekend</v>
      </c>
      <c r="R516" t="str">
        <f t="shared" si="33"/>
        <v>Medium</v>
      </c>
      <c r="S516" s="10" t="str">
        <f t="shared" si="34"/>
        <v>Clear</v>
      </c>
      <c r="T516" s="10" t="str">
        <f t="shared" si="35"/>
        <v>Cold</v>
      </c>
    </row>
    <row r="517" spans="1:20" x14ac:dyDescent="0.3">
      <c r="A517">
        <v>516</v>
      </c>
      <c r="B517" t="s">
        <v>38</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32"/>
        <v>Weekend</v>
      </c>
      <c r="R517" t="str">
        <f t="shared" si="33"/>
        <v>Medium</v>
      </c>
      <c r="S517" s="10" t="str">
        <f t="shared" si="34"/>
        <v>Clear</v>
      </c>
      <c r="T517" s="10" t="str">
        <f t="shared" si="35"/>
        <v>Cold</v>
      </c>
    </row>
    <row r="518" spans="1:20" x14ac:dyDescent="0.3">
      <c r="A518">
        <v>517</v>
      </c>
      <c r="B518" t="s">
        <v>38</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32"/>
        <v>Weekend</v>
      </c>
      <c r="R518" t="str">
        <f t="shared" si="33"/>
        <v>Medium</v>
      </c>
      <c r="S518" s="10" t="str">
        <f t="shared" si="34"/>
        <v>Clear</v>
      </c>
      <c r="T518" s="10" t="str">
        <f t="shared" si="35"/>
        <v>Cold</v>
      </c>
    </row>
    <row r="519" spans="1:20" x14ac:dyDescent="0.3">
      <c r="A519">
        <v>518</v>
      </c>
      <c r="B519" t="s">
        <v>38</v>
      </c>
      <c r="C519">
        <v>1</v>
      </c>
      <c r="D519">
        <v>0</v>
      </c>
      <c r="E519">
        <v>1</v>
      </c>
      <c r="F519">
        <v>16</v>
      </c>
      <c r="G519" t="b">
        <v>0</v>
      </c>
      <c r="H519">
        <v>0</v>
      </c>
      <c r="I519">
        <v>1</v>
      </c>
      <c r="J519">
        <v>0.16</v>
      </c>
      <c r="K519">
        <v>0.13639999999999999</v>
      </c>
      <c r="L519">
        <v>0.26</v>
      </c>
      <c r="M519">
        <v>0.32840000000000003</v>
      </c>
      <c r="N519">
        <v>9</v>
      </c>
      <c r="O519">
        <v>56</v>
      </c>
      <c r="P519">
        <v>65</v>
      </c>
      <c r="Q519" t="str">
        <f t="shared" si="32"/>
        <v>Weekend</v>
      </c>
      <c r="R519" t="str">
        <f t="shared" si="33"/>
        <v>Medium</v>
      </c>
      <c r="S519" s="10" t="str">
        <f t="shared" si="34"/>
        <v>Clear</v>
      </c>
      <c r="T519" s="10" t="str">
        <f t="shared" si="35"/>
        <v>Cold</v>
      </c>
    </row>
    <row r="520" spans="1:20" x14ac:dyDescent="0.3">
      <c r="A520">
        <v>519</v>
      </c>
      <c r="B520" t="s">
        <v>38</v>
      </c>
      <c r="C520">
        <v>1</v>
      </c>
      <c r="D520">
        <v>0</v>
      </c>
      <c r="E520">
        <v>1</v>
      </c>
      <c r="F520">
        <v>17</v>
      </c>
      <c r="G520" t="b">
        <v>0</v>
      </c>
      <c r="H520">
        <v>0</v>
      </c>
      <c r="I520">
        <v>1</v>
      </c>
      <c r="J520">
        <v>0.14000000000000001</v>
      </c>
      <c r="K520">
        <v>0.1061</v>
      </c>
      <c r="L520">
        <v>0.26</v>
      </c>
      <c r="M520">
        <v>0.3881</v>
      </c>
      <c r="N520">
        <v>5</v>
      </c>
      <c r="O520">
        <v>50</v>
      </c>
      <c r="P520">
        <v>55</v>
      </c>
      <c r="Q520" t="str">
        <f t="shared" si="32"/>
        <v>Weekend</v>
      </c>
      <c r="R520" t="str">
        <f t="shared" si="33"/>
        <v>Medium</v>
      </c>
      <c r="S520" s="10" t="str">
        <f t="shared" si="34"/>
        <v>Clear</v>
      </c>
      <c r="T520" s="10" t="str">
        <f t="shared" si="35"/>
        <v>Cold</v>
      </c>
    </row>
    <row r="521" spans="1:20" x14ac:dyDescent="0.3">
      <c r="A521">
        <v>520</v>
      </c>
      <c r="B521" t="s">
        <v>38</v>
      </c>
      <c r="C521">
        <v>1</v>
      </c>
      <c r="D521">
        <v>0</v>
      </c>
      <c r="E521">
        <v>1</v>
      </c>
      <c r="F521">
        <v>18</v>
      </c>
      <c r="G521" t="b">
        <v>0</v>
      </c>
      <c r="H521">
        <v>0</v>
      </c>
      <c r="I521">
        <v>1</v>
      </c>
      <c r="J521">
        <v>0.12</v>
      </c>
      <c r="K521">
        <v>0.1212</v>
      </c>
      <c r="L521">
        <v>0.3</v>
      </c>
      <c r="M521">
        <v>0.25369999999999998</v>
      </c>
      <c r="N521">
        <v>5</v>
      </c>
      <c r="O521">
        <v>44</v>
      </c>
      <c r="P521">
        <v>49</v>
      </c>
      <c r="Q521" t="str">
        <f t="shared" si="32"/>
        <v>Weekend</v>
      </c>
      <c r="R521" t="str">
        <f t="shared" si="33"/>
        <v>Low</v>
      </c>
      <c r="S521" s="10" t="str">
        <f t="shared" si="34"/>
        <v>Clear</v>
      </c>
      <c r="T521" s="10" t="str">
        <f t="shared" si="35"/>
        <v>Cold</v>
      </c>
    </row>
    <row r="522" spans="1:20" x14ac:dyDescent="0.3">
      <c r="A522">
        <v>521</v>
      </c>
      <c r="B522" t="s">
        <v>38</v>
      </c>
      <c r="C522">
        <v>1</v>
      </c>
      <c r="D522">
        <v>0</v>
      </c>
      <c r="E522">
        <v>1</v>
      </c>
      <c r="F522">
        <v>19</v>
      </c>
      <c r="G522" t="b">
        <v>0</v>
      </c>
      <c r="H522">
        <v>0</v>
      </c>
      <c r="I522">
        <v>1</v>
      </c>
      <c r="J522">
        <v>0.12</v>
      </c>
      <c r="K522">
        <v>0.1212</v>
      </c>
      <c r="L522">
        <v>0.3</v>
      </c>
      <c r="M522">
        <v>0.28360000000000002</v>
      </c>
      <c r="N522">
        <v>5</v>
      </c>
      <c r="O522">
        <v>45</v>
      </c>
      <c r="P522">
        <v>50</v>
      </c>
      <c r="Q522" t="str">
        <f t="shared" si="32"/>
        <v>Weekend</v>
      </c>
      <c r="R522" t="str">
        <f t="shared" si="33"/>
        <v>Medium</v>
      </c>
      <c r="S522" s="10" t="str">
        <f t="shared" si="34"/>
        <v>Clear</v>
      </c>
      <c r="T522" s="10" t="str">
        <f t="shared" si="35"/>
        <v>Cold</v>
      </c>
    </row>
    <row r="523" spans="1:20" x14ac:dyDescent="0.3">
      <c r="A523">
        <v>522</v>
      </c>
      <c r="B523" t="s">
        <v>38</v>
      </c>
      <c r="C523">
        <v>1</v>
      </c>
      <c r="D523">
        <v>0</v>
      </c>
      <c r="E523">
        <v>1</v>
      </c>
      <c r="F523">
        <v>20</v>
      </c>
      <c r="G523" t="b">
        <v>0</v>
      </c>
      <c r="H523">
        <v>0</v>
      </c>
      <c r="I523">
        <v>1</v>
      </c>
      <c r="J523">
        <v>0.1</v>
      </c>
      <c r="K523">
        <v>0.1061</v>
      </c>
      <c r="L523">
        <v>0.36</v>
      </c>
      <c r="M523">
        <v>0.25369999999999998</v>
      </c>
      <c r="N523">
        <v>4</v>
      </c>
      <c r="O523">
        <v>31</v>
      </c>
      <c r="P523">
        <v>35</v>
      </c>
      <c r="Q523" t="str">
        <f t="shared" si="32"/>
        <v>Weekend</v>
      </c>
      <c r="R523" t="str">
        <f t="shared" si="33"/>
        <v>Low</v>
      </c>
      <c r="S523" s="10" t="str">
        <f t="shared" si="34"/>
        <v>Clear</v>
      </c>
      <c r="T523" s="10" t="str">
        <f t="shared" si="35"/>
        <v>Cold</v>
      </c>
    </row>
    <row r="524" spans="1:20" x14ac:dyDescent="0.3">
      <c r="A524">
        <v>523</v>
      </c>
      <c r="B524" t="s">
        <v>38</v>
      </c>
      <c r="C524">
        <v>1</v>
      </c>
      <c r="D524">
        <v>0</v>
      </c>
      <c r="E524">
        <v>1</v>
      </c>
      <c r="F524">
        <v>21</v>
      </c>
      <c r="G524" t="b">
        <v>0</v>
      </c>
      <c r="H524">
        <v>0</v>
      </c>
      <c r="I524">
        <v>1</v>
      </c>
      <c r="J524">
        <v>0.1</v>
      </c>
      <c r="K524">
        <v>0.1061</v>
      </c>
      <c r="L524">
        <v>0.36</v>
      </c>
      <c r="M524">
        <v>0.19400000000000001</v>
      </c>
      <c r="N524">
        <v>5</v>
      </c>
      <c r="O524">
        <v>20</v>
      </c>
      <c r="P524">
        <v>25</v>
      </c>
      <c r="Q524" t="str">
        <f t="shared" si="32"/>
        <v>Weekend</v>
      </c>
      <c r="R524" t="str">
        <f t="shared" si="33"/>
        <v>Low</v>
      </c>
      <c r="S524" s="10" t="str">
        <f t="shared" si="34"/>
        <v>Clear</v>
      </c>
      <c r="T524" s="10" t="str">
        <f t="shared" si="35"/>
        <v>Cold</v>
      </c>
    </row>
    <row r="525" spans="1:20" x14ac:dyDescent="0.3">
      <c r="A525">
        <v>524</v>
      </c>
      <c r="B525" t="s">
        <v>38</v>
      </c>
      <c r="C525">
        <v>1</v>
      </c>
      <c r="D525">
        <v>0</v>
      </c>
      <c r="E525">
        <v>1</v>
      </c>
      <c r="F525">
        <v>22</v>
      </c>
      <c r="G525" t="b">
        <v>0</v>
      </c>
      <c r="H525">
        <v>0</v>
      </c>
      <c r="I525">
        <v>1</v>
      </c>
      <c r="J525">
        <v>0.08</v>
      </c>
      <c r="K525">
        <v>9.0899999999999995E-2</v>
      </c>
      <c r="L525">
        <v>0.38</v>
      </c>
      <c r="M525">
        <v>0.19400000000000001</v>
      </c>
      <c r="N525">
        <v>5</v>
      </c>
      <c r="O525">
        <v>23</v>
      </c>
      <c r="P525">
        <v>28</v>
      </c>
      <c r="Q525" t="str">
        <f t="shared" si="32"/>
        <v>Weekend</v>
      </c>
      <c r="R525" t="str">
        <f t="shared" si="33"/>
        <v>Low</v>
      </c>
      <c r="S525" s="10" t="str">
        <f t="shared" si="34"/>
        <v>Clear</v>
      </c>
      <c r="T525" s="10" t="str">
        <f t="shared" si="35"/>
        <v>Cold</v>
      </c>
    </row>
    <row r="526" spans="1:20" x14ac:dyDescent="0.3">
      <c r="A526">
        <v>525</v>
      </c>
      <c r="B526" t="s">
        <v>38</v>
      </c>
      <c r="C526">
        <v>1</v>
      </c>
      <c r="D526">
        <v>0</v>
      </c>
      <c r="E526">
        <v>1</v>
      </c>
      <c r="F526">
        <v>23</v>
      </c>
      <c r="G526" t="b">
        <v>0</v>
      </c>
      <c r="H526">
        <v>0</v>
      </c>
      <c r="I526">
        <v>1</v>
      </c>
      <c r="J526">
        <v>0.06</v>
      </c>
      <c r="K526">
        <v>6.0600000000000001E-2</v>
      </c>
      <c r="L526">
        <v>0.41</v>
      </c>
      <c r="M526">
        <v>0.22389999999999999</v>
      </c>
      <c r="N526">
        <v>4</v>
      </c>
      <c r="O526">
        <v>17</v>
      </c>
      <c r="P526">
        <v>21</v>
      </c>
      <c r="Q526" t="str">
        <f t="shared" si="32"/>
        <v>Weekend</v>
      </c>
      <c r="R526" t="str">
        <f t="shared" si="33"/>
        <v>Low</v>
      </c>
      <c r="S526" s="10" t="str">
        <f t="shared" si="34"/>
        <v>Clear</v>
      </c>
      <c r="T526" s="10" t="str">
        <f t="shared" si="35"/>
        <v>Cold</v>
      </c>
    </row>
    <row r="527" spans="1:20" x14ac:dyDescent="0.3">
      <c r="A527">
        <v>526</v>
      </c>
      <c r="B527" t="s">
        <v>39</v>
      </c>
      <c r="C527">
        <v>1</v>
      </c>
      <c r="D527">
        <v>0</v>
      </c>
      <c r="E527">
        <v>1</v>
      </c>
      <c r="F527">
        <v>0</v>
      </c>
      <c r="G527" t="b">
        <v>0</v>
      </c>
      <c r="H527">
        <v>1</v>
      </c>
      <c r="I527">
        <v>1</v>
      </c>
      <c r="J527">
        <v>0.06</v>
      </c>
      <c r="K527">
        <v>6.0600000000000001E-2</v>
      </c>
      <c r="L527">
        <v>0.41</v>
      </c>
      <c r="M527">
        <v>0.19400000000000001</v>
      </c>
      <c r="N527">
        <v>0</v>
      </c>
      <c r="O527">
        <v>7</v>
      </c>
      <c r="P527">
        <v>7</v>
      </c>
      <c r="Q527" t="str">
        <f t="shared" si="32"/>
        <v>Weekday</v>
      </c>
      <c r="R527" t="str">
        <f t="shared" si="33"/>
        <v>Low</v>
      </c>
      <c r="S527" s="10" t="str">
        <f t="shared" si="34"/>
        <v>Clear</v>
      </c>
      <c r="T527" s="10" t="str">
        <f t="shared" si="35"/>
        <v>Cold</v>
      </c>
    </row>
    <row r="528" spans="1:20" x14ac:dyDescent="0.3">
      <c r="A528">
        <v>527</v>
      </c>
      <c r="B528" t="s">
        <v>39</v>
      </c>
      <c r="C528">
        <v>1</v>
      </c>
      <c r="D528">
        <v>0</v>
      </c>
      <c r="E528">
        <v>1</v>
      </c>
      <c r="F528">
        <v>1</v>
      </c>
      <c r="G528" t="b">
        <v>0</v>
      </c>
      <c r="H528">
        <v>1</v>
      </c>
      <c r="I528">
        <v>1</v>
      </c>
      <c r="J528">
        <v>0.04</v>
      </c>
      <c r="K528">
        <v>4.5499999999999999E-2</v>
      </c>
      <c r="L528">
        <v>0.45</v>
      </c>
      <c r="M528">
        <v>0.19400000000000001</v>
      </c>
      <c r="N528">
        <v>0</v>
      </c>
      <c r="O528">
        <v>1</v>
      </c>
      <c r="P528">
        <v>1</v>
      </c>
      <c r="Q528" t="str">
        <f t="shared" si="32"/>
        <v>Weekday</v>
      </c>
      <c r="R528" t="str">
        <f t="shared" si="33"/>
        <v>Low</v>
      </c>
      <c r="S528" s="10" t="str">
        <f t="shared" si="34"/>
        <v>Clear</v>
      </c>
      <c r="T528" s="10" t="str">
        <f t="shared" si="35"/>
        <v>Cold</v>
      </c>
    </row>
    <row r="529" spans="1:20" x14ac:dyDescent="0.3">
      <c r="A529">
        <v>528</v>
      </c>
      <c r="B529" t="s">
        <v>39</v>
      </c>
      <c r="C529">
        <v>1</v>
      </c>
      <c r="D529">
        <v>0</v>
      </c>
      <c r="E529">
        <v>1</v>
      </c>
      <c r="F529">
        <v>3</v>
      </c>
      <c r="G529" t="b">
        <v>0</v>
      </c>
      <c r="H529">
        <v>1</v>
      </c>
      <c r="I529">
        <v>1</v>
      </c>
      <c r="J529">
        <v>0.04</v>
      </c>
      <c r="K529">
        <v>3.0300000000000001E-2</v>
      </c>
      <c r="L529">
        <v>0.45</v>
      </c>
      <c r="M529">
        <v>0.25369999999999998</v>
      </c>
      <c r="N529">
        <v>0</v>
      </c>
      <c r="O529">
        <v>1</v>
      </c>
      <c r="P529">
        <v>1</v>
      </c>
      <c r="Q529" t="str">
        <f t="shared" si="32"/>
        <v>Weekday</v>
      </c>
      <c r="R529" t="str">
        <f t="shared" si="33"/>
        <v>Low</v>
      </c>
      <c r="S529" s="10" t="str">
        <f t="shared" si="34"/>
        <v>Clear</v>
      </c>
      <c r="T529" s="10" t="str">
        <f t="shared" si="35"/>
        <v>Cold</v>
      </c>
    </row>
    <row r="530" spans="1:20" x14ac:dyDescent="0.3">
      <c r="A530">
        <v>529</v>
      </c>
      <c r="B530" t="s">
        <v>39</v>
      </c>
      <c r="C530">
        <v>1</v>
      </c>
      <c r="D530">
        <v>0</v>
      </c>
      <c r="E530">
        <v>1</v>
      </c>
      <c r="F530">
        <v>4</v>
      </c>
      <c r="G530" t="b">
        <v>0</v>
      </c>
      <c r="H530">
        <v>1</v>
      </c>
      <c r="I530">
        <v>1</v>
      </c>
      <c r="J530">
        <v>0.02</v>
      </c>
      <c r="K530">
        <v>6.0600000000000001E-2</v>
      </c>
      <c r="L530">
        <v>0.48</v>
      </c>
      <c r="M530">
        <v>0.1343</v>
      </c>
      <c r="N530">
        <v>0</v>
      </c>
      <c r="O530">
        <v>1</v>
      </c>
      <c r="P530">
        <v>1</v>
      </c>
      <c r="Q530" t="str">
        <f t="shared" si="32"/>
        <v>Weekday</v>
      </c>
      <c r="R530" t="str">
        <f t="shared" si="33"/>
        <v>Low</v>
      </c>
      <c r="S530" s="10" t="str">
        <f t="shared" si="34"/>
        <v>Clear</v>
      </c>
      <c r="T530" s="10" t="str">
        <f t="shared" si="35"/>
        <v>Cold</v>
      </c>
    </row>
    <row r="531" spans="1:20" x14ac:dyDescent="0.3">
      <c r="A531">
        <v>530</v>
      </c>
      <c r="B531" t="s">
        <v>39</v>
      </c>
      <c r="C531">
        <v>1</v>
      </c>
      <c r="D531">
        <v>0</v>
      </c>
      <c r="E531">
        <v>1</v>
      </c>
      <c r="F531">
        <v>5</v>
      </c>
      <c r="G531" t="b">
        <v>0</v>
      </c>
      <c r="H531">
        <v>1</v>
      </c>
      <c r="I531">
        <v>1</v>
      </c>
      <c r="J531">
        <v>0.02</v>
      </c>
      <c r="K531">
        <v>6.0600000000000001E-2</v>
      </c>
      <c r="L531">
        <v>0.48</v>
      </c>
      <c r="M531">
        <v>0.1343</v>
      </c>
      <c r="N531">
        <v>0</v>
      </c>
      <c r="O531">
        <v>5</v>
      </c>
      <c r="P531">
        <v>5</v>
      </c>
      <c r="Q531" t="str">
        <f t="shared" si="32"/>
        <v>Weekday</v>
      </c>
      <c r="R531" t="str">
        <f t="shared" si="33"/>
        <v>Low</v>
      </c>
      <c r="S531" s="10" t="str">
        <f t="shared" si="34"/>
        <v>Clear</v>
      </c>
      <c r="T531" s="10" t="str">
        <f t="shared" si="35"/>
        <v>Cold</v>
      </c>
    </row>
    <row r="532" spans="1:20" x14ac:dyDescent="0.3">
      <c r="A532">
        <v>531</v>
      </c>
      <c r="B532" t="s">
        <v>39</v>
      </c>
      <c r="C532">
        <v>1</v>
      </c>
      <c r="D532">
        <v>0</v>
      </c>
      <c r="E532">
        <v>1</v>
      </c>
      <c r="F532">
        <v>6</v>
      </c>
      <c r="G532" t="b">
        <v>0</v>
      </c>
      <c r="H532">
        <v>1</v>
      </c>
      <c r="I532">
        <v>1</v>
      </c>
      <c r="J532">
        <v>0.02</v>
      </c>
      <c r="K532">
        <v>7.5800000000000006E-2</v>
      </c>
      <c r="L532">
        <v>0.48</v>
      </c>
      <c r="M532">
        <v>8.9599999999999999E-2</v>
      </c>
      <c r="N532">
        <v>0</v>
      </c>
      <c r="O532">
        <v>15</v>
      </c>
      <c r="P532">
        <v>15</v>
      </c>
      <c r="Q532" t="str">
        <f t="shared" si="32"/>
        <v>Weekday</v>
      </c>
      <c r="R532" t="str">
        <f t="shared" si="33"/>
        <v>Low</v>
      </c>
      <c r="S532" s="10" t="str">
        <f t="shared" si="34"/>
        <v>Clear</v>
      </c>
      <c r="T532" s="10" t="str">
        <f t="shared" si="35"/>
        <v>Cold</v>
      </c>
    </row>
    <row r="533" spans="1:20" x14ac:dyDescent="0.3">
      <c r="A533">
        <v>532</v>
      </c>
      <c r="B533" t="s">
        <v>39</v>
      </c>
      <c r="C533">
        <v>1</v>
      </c>
      <c r="D533">
        <v>0</v>
      </c>
      <c r="E533">
        <v>1</v>
      </c>
      <c r="F533">
        <v>7</v>
      </c>
      <c r="G533" t="b">
        <v>0</v>
      </c>
      <c r="H533">
        <v>1</v>
      </c>
      <c r="I533">
        <v>1</v>
      </c>
      <c r="J533">
        <v>0.02</v>
      </c>
      <c r="K533">
        <v>0.1212</v>
      </c>
      <c r="L533">
        <v>0.48</v>
      </c>
      <c r="M533">
        <v>0</v>
      </c>
      <c r="N533">
        <v>5</v>
      </c>
      <c r="O533">
        <v>79</v>
      </c>
      <c r="P533">
        <v>84</v>
      </c>
      <c r="Q533" t="str">
        <f t="shared" si="32"/>
        <v>Weekday</v>
      </c>
      <c r="R533" t="str">
        <f t="shared" si="33"/>
        <v>Medium</v>
      </c>
      <c r="S533" s="10" t="str">
        <f t="shared" si="34"/>
        <v>Clear</v>
      </c>
      <c r="T533" s="10" t="str">
        <f t="shared" si="35"/>
        <v>Cold</v>
      </c>
    </row>
    <row r="534" spans="1:20" x14ac:dyDescent="0.3">
      <c r="A534">
        <v>533</v>
      </c>
      <c r="B534" t="s">
        <v>39</v>
      </c>
      <c r="C534">
        <v>1</v>
      </c>
      <c r="D534">
        <v>0</v>
      </c>
      <c r="E534">
        <v>1</v>
      </c>
      <c r="F534">
        <v>8</v>
      </c>
      <c r="G534" t="b">
        <v>0</v>
      </c>
      <c r="H534">
        <v>1</v>
      </c>
      <c r="I534">
        <v>1</v>
      </c>
      <c r="J534">
        <v>0.04</v>
      </c>
      <c r="K534">
        <v>0.13639999999999999</v>
      </c>
      <c r="L534">
        <v>0.49</v>
      </c>
      <c r="M534">
        <v>0</v>
      </c>
      <c r="N534">
        <v>6</v>
      </c>
      <c r="O534">
        <v>171</v>
      </c>
      <c r="P534">
        <v>177</v>
      </c>
      <c r="Q534" t="str">
        <f t="shared" si="32"/>
        <v>Weekday</v>
      </c>
      <c r="R534" t="str">
        <f t="shared" si="33"/>
        <v>High</v>
      </c>
      <c r="S534" s="10" t="str">
        <f t="shared" si="34"/>
        <v>Clear</v>
      </c>
      <c r="T534" s="10" t="str">
        <f t="shared" si="35"/>
        <v>Cold</v>
      </c>
    </row>
    <row r="535" spans="1:20" x14ac:dyDescent="0.3">
      <c r="A535">
        <v>534</v>
      </c>
      <c r="B535" t="s">
        <v>39</v>
      </c>
      <c r="C535">
        <v>1</v>
      </c>
      <c r="D535">
        <v>0</v>
      </c>
      <c r="E535">
        <v>1</v>
      </c>
      <c r="F535">
        <v>9</v>
      </c>
      <c r="G535" t="b">
        <v>0</v>
      </c>
      <c r="H535">
        <v>1</v>
      </c>
      <c r="I535">
        <v>1</v>
      </c>
      <c r="J535">
        <v>0.06</v>
      </c>
      <c r="K535">
        <v>0.1515</v>
      </c>
      <c r="L535">
        <v>0.41</v>
      </c>
      <c r="M535">
        <v>0</v>
      </c>
      <c r="N535">
        <v>4</v>
      </c>
      <c r="O535">
        <v>98</v>
      </c>
      <c r="P535">
        <v>102</v>
      </c>
      <c r="Q535" t="str">
        <f t="shared" si="32"/>
        <v>Weekday</v>
      </c>
      <c r="R535" t="str">
        <f t="shared" si="33"/>
        <v>Medium</v>
      </c>
      <c r="S535" s="10" t="str">
        <f t="shared" si="34"/>
        <v>Clear</v>
      </c>
      <c r="T535" s="10" t="str">
        <f t="shared" si="35"/>
        <v>Cold</v>
      </c>
    </row>
    <row r="536" spans="1:20" x14ac:dyDescent="0.3">
      <c r="A536">
        <v>535</v>
      </c>
      <c r="B536" t="s">
        <v>39</v>
      </c>
      <c r="C536">
        <v>1</v>
      </c>
      <c r="D536">
        <v>0</v>
      </c>
      <c r="E536">
        <v>1</v>
      </c>
      <c r="F536">
        <v>10</v>
      </c>
      <c r="G536" t="b">
        <v>0</v>
      </c>
      <c r="H536">
        <v>1</v>
      </c>
      <c r="I536">
        <v>1</v>
      </c>
      <c r="J536">
        <v>0.1</v>
      </c>
      <c r="K536">
        <v>0.13639999999999999</v>
      </c>
      <c r="L536">
        <v>0.42</v>
      </c>
      <c r="M536">
        <v>0</v>
      </c>
      <c r="N536">
        <v>6</v>
      </c>
      <c r="O536">
        <v>34</v>
      </c>
      <c r="P536">
        <v>40</v>
      </c>
      <c r="Q536" t="str">
        <f t="shared" si="32"/>
        <v>Weekday</v>
      </c>
      <c r="R536" t="str">
        <f t="shared" si="33"/>
        <v>Low</v>
      </c>
      <c r="S536" s="10" t="str">
        <f t="shared" si="34"/>
        <v>Clear</v>
      </c>
      <c r="T536" s="10" t="str">
        <f t="shared" si="35"/>
        <v>Cold</v>
      </c>
    </row>
    <row r="537" spans="1:20" x14ac:dyDescent="0.3">
      <c r="A537">
        <v>536</v>
      </c>
      <c r="B537" t="s">
        <v>39</v>
      </c>
      <c r="C537">
        <v>1</v>
      </c>
      <c r="D537">
        <v>0</v>
      </c>
      <c r="E537">
        <v>1</v>
      </c>
      <c r="F537">
        <v>11</v>
      </c>
      <c r="G537" t="b">
        <v>0</v>
      </c>
      <c r="H537">
        <v>1</v>
      </c>
      <c r="I537">
        <v>1</v>
      </c>
      <c r="J537">
        <v>0.1</v>
      </c>
      <c r="K537">
        <v>0.1212</v>
      </c>
      <c r="L537">
        <v>0.46</v>
      </c>
      <c r="M537">
        <v>0.1343</v>
      </c>
      <c r="N537">
        <v>3</v>
      </c>
      <c r="O537">
        <v>43</v>
      </c>
      <c r="P537">
        <v>46</v>
      </c>
      <c r="Q537" t="str">
        <f t="shared" si="32"/>
        <v>Weekday</v>
      </c>
      <c r="R537" t="str">
        <f t="shared" si="33"/>
        <v>Low</v>
      </c>
      <c r="S537" s="10" t="str">
        <f t="shared" si="34"/>
        <v>Clear</v>
      </c>
      <c r="T537" s="10" t="str">
        <f t="shared" si="35"/>
        <v>Cold</v>
      </c>
    </row>
    <row r="538" spans="1:20" x14ac:dyDescent="0.3">
      <c r="A538">
        <v>537</v>
      </c>
      <c r="B538" t="s">
        <v>39</v>
      </c>
      <c r="C538">
        <v>1</v>
      </c>
      <c r="D538">
        <v>0</v>
      </c>
      <c r="E538">
        <v>1</v>
      </c>
      <c r="F538">
        <v>12</v>
      </c>
      <c r="G538" t="b">
        <v>0</v>
      </c>
      <c r="H538">
        <v>1</v>
      </c>
      <c r="I538">
        <v>2</v>
      </c>
      <c r="J538">
        <v>0.12</v>
      </c>
      <c r="K538">
        <v>0.13639999999999999</v>
      </c>
      <c r="L538">
        <v>0.42</v>
      </c>
      <c r="M538">
        <v>0.19400000000000001</v>
      </c>
      <c r="N538">
        <v>11</v>
      </c>
      <c r="O538">
        <v>52</v>
      </c>
      <c r="P538">
        <v>63</v>
      </c>
      <c r="Q538" t="str">
        <f t="shared" si="32"/>
        <v>Weekday</v>
      </c>
      <c r="R538" t="str">
        <f t="shared" si="33"/>
        <v>Medium</v>
      </c>
      <c r="S538" s="10" t="str">
        <f t="shared" si="34"/>
        <v>Mist/Cloudy</v>
      </c>
      <c r="T538" s="10" t="str">
        <f t="shared" si="35"/>
        <v>Cold</v>
      </c>
    </row>
    <row r="539" spans="1:20" x14ac:dyDescent="0.3">
      <c r="A539">
        <v>538</v>
      </c>
      <c r="B539" t="s">
        <v>39</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32"/>
        <v>Weekday</v>
      </c>
      <c r="R539" t="str">
        <f t="shared" si="33"/>
        <v>Medium</v>
      </c>
      <c r="S539" s="10" t="str">
        <f t="shared" si="34"/>
        <v>Mist/Cloudy</v>
      </c>
      <c r="T539" s="10" t="str">
        <f t="shared" si="35"/>
        <v>Cold</v>
      </c>
    </row>
    <row r="540" spans="1:20" x14ac:dyDescent="0.3">
      <c r="A540">
        <v>539</v>
      </c>
      <c r="B540" t="s">
        <v>39</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32"/>
        <v>Weekday</v>
      </c>
      <c r="R540" t="str">
        <f t="shared" si="33"/>
        <v>Low</v>
      </c>
      <c r="S540" s="10" t="str">
        <f t="shared" si="34"/>
        <v>Mist/Cloudy</v>
      </c>
      <c r="T540" s="10" t="str">
        <f t="shared" si="35"/>
        <v>Cold</v>
      </c>
    </row>
    <row r="541" spans="1:20" x14ac:dyDescent="0.3">
      <c r="A541">
        <v>540</v>
      </c>
      <c r="B541" t="s">
        <v>39</v>
      </c>
      <c r="C541">
        <v>1</v>
      </c>
      <c r="D541">
        <v>0</v>
      </c>
      <c r="E541">
        <v>1</v>
      </c>
      <c r="F541">
        <v>15</v>
      </c>
      <c r="G541" t="b">
        <v>0</v>
      </c>
      <c r="H541">
        <v>1</v>
      </c>
      <c r="I541">
        <v>1</v>
      </c>
      <c r="J541">
        <v>0.16</v>
      </c>
      <c r="K541">
        <v>0.16669999999999999</v>
      </c>
      <c r="L541">
        <v>0.4</v>
      </c>
      <c r="M541">
        <v>0.16420000000000001</v>
      </c>
      <c r="N541">
        <v>7</v>
      </c>
      <c r="O541">
        <v>50</v>
      </c>
      <c r="P541">
        <v>57</v>
      </c>
      <c r="Q541" t="str">
        <f t="shared" si="32"/>
        <v>Weekday</v>
      </c>
      <c r="R541" t="str">
        <f t="shared" si="33"/>
        <v>Medium</v>
      </c>
      <c r="S541" s="10" t="str">
        <f t="shared" si="34"/>
        <v>Clear</v>
      </c>
      <c r="T541" s="10" t="str">
        <f t="shared" si="35"/>
        <v>Cold</v>
      </c>
    </row>
    <row r="542" spans="1:20" x14ac:dyDescent="0.3">
      <c r="A542">
        <v>541</v>
      </c>
      <c r="B542" t="s">
        <v>39</v>
      </c>
      <c r="C542">
        <v>1</v>
      </c>
      <c r="D542">
        <v>0</v>
      </c>
      <c r="E542">
        <v>1</v>
      </c>
      <c r="F542">
        <v>16</v>
      </c>
      <c r="G542" t="b">
        <v>0</v>
      </c>
      <c r="H542">
        <v>1</v>
      </c>
      <c r="I542">
        <v>1</v>
      </c>
      <c r="J542">
        <v>0.16</v>
      </c>
      <c r="K542">
        <v>0.1515</v>
      </c>
      <c r="L542">
        <v>0.47</v>
      </c>
      <c r="M542">
        <v>0.25369999999999998</v>
      </c>
      <c r="N542">
        <v>4</v>
      </c>
      <c r="O542">
        <v>66</v>
      </c>
      <c r="P542">
        <v>70</v>
      </c>
      <c r="Q542" t="str">
        <f t="shared" si="32"/>
        <v>Weekday</v>
      </c>
      <c r="R542" t="str">
        <f t="shared" si="33"/>
        <v>Medium</v>
      </c>
      <c r="S542" s="10" t="str">
        <f t="shared" si="34"/>
        <v>Clear</v>
      </c>
      <c r="T542" s="10" t="str">
        <f t="shared" si="35"/>
        <v>Cold</v>
      </c>
    </row>
    <row r="543" spans="1:20" x14ac:dyDescent="0.3">
      <c r="A543">
        <v>542</v>
      </c>
      <c r="B543" t="s">
        <v>39</v>
      </c>
      <c r="C543">
        <v>1</v>
      </c>
      <c r="D543">
        <v>0</v>
      </c>
      <c r="E543">
        <v>1</v>
      </c>
      <c r="F543">
        <v>17</v>
      </c>
      <c r="G543" t="b">
        <v>0</v>
      </c>
      <c r="H543">
        <v>1</v>
      </c>
      <c r="I543">
        <v>1</v>
      </c>
      <c r="J543">
        <v>0.14000000000000001</v>
      </c>
      <c r="K543">
        <v>0.1212</v>
      </c>
      <c r="L543">
        <v>0.5</v>
      </c>
      <c r="M543">
        <v>0.25369999999999998</v>
      </c>
      <c r="N543">
        <v>6</v>
      </c>
      <c r="O543">
        <v>178</v>
      </c>
      <c r="P543">
        <v>184</v>
      </c>
      <c r="Q543" t="str">
        <f t="shared" si="32"/>
        <v>Weekday</v>
      </c>
      <c r="R543" t="str">
        <f t="shared" si="33"/>
        <v>High</v>
      </c>
      <c r="S543" s="10" t="str">
        <f t="shared" si="34"/>
        <v>Clear</v>
      </c>
      <c r="T543" s="10" t="str">
        <f t="shared" si="35"/>
        <v>Cold</v>
      </c>
    </row>
    <row r="544" spans="1:20" x14ac:dyDescent="0.3">
      <c r="A544">
        <v>543</v>
      </c>
      <c r="B544" t="s">
        <v>39</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32"/>
        <v>Weekday</v>
      </c>
      <c r="R544" t="str">
        <f t="shared" si="33"/>
        <v>High</v>
      </c>
      <c r="S544" s="10" t="str">
        <f t="shared" si="34"/>
        <v>Clear</v>
      </c>
      <c r="T544" s="10" t="str">
        <f t="shared" si="35"/>
        <v>Cold</v>
      </c>
    </row>
    <row r="545" spans="1:20" x14ac:dyDescent="0.3">
      <c r="A545">
        <v>544</v>
      </c>
      <c r="B545" t="s">
        <v>39</v>
      </c>
      <c r="C545">
        <v>1</v>
      </c>
      <c r="D545">
        <v>0</v>
      </c>
      <c r="E545">
        <v>1</v>
      </c>
      <c r="F545">
        <v>19</v>
      </c>
      <c r="G545" t="b">
        <v>0</v>
      </c>
      <c r="H545">
        <v>1</v>
      </c>
      <c r="I545">
        <v>1</v>
      </c>
      <c r="J545">
        <v>0.14000000000000001</v>
      </c>
      <c r="K545">
        <v>0.1515</v>
      </c>
      <c r="L545">
        <v>0.54</v>
      </c>
      <c r="M545">
        <v>0.16420000000000001</v>
      </c>
      <c r="N545">
        <v>5</v>
      </c>
      <c r="O545">
        <v>101</v>
      </c>
      <c r="P545">
        <v>106</v>
      </c>
      <c r="Q545" t="str">
        <f t="shared" si="32"/>
        <v>Weekday</v>
      </c>
      <c r="R545" t="str">
        <f t="shared" si="33"/>
        <v>Medium</v>
      </c>
      <c r="S545" s="10" t="str">
        <f t="shared" si="34"/>
        <v>Clear</v>
      </c>
      <c r="T545" s="10" t="str">
        <f t="shared" si="35"/>
        <v>Cold</v>
      </c>
    </row>
    <row r="546" spans="1:20" x14ac:dyDescent="0.3">
      <c r="A546">
        <v>545</v>
      </c>
      <c r="B546" t="s">
        <v>39</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32"/>
        <v>Weekday</v>
      </c>
      <c r="R546" t="str">
        <f t="shared" si="33"/>
        <v>Medium</v>
      </c>
      <c r="S546" s="10" t="str">
        <f t="shared" si="34"/>
        <v>Clear</v>
      </c>
      <c r="T546" s="10" t="str">
        <f t="shared" si="35"/>
        <v>Cold</v>
      </c>
    </row>
    <row r="547" spans="1:20" x14ac:dyDescent="0.3">
      <c r="A547">
        <v>546</v>
      </c>
      <c r="B547" t="s">
        <v>39</v>
      </c>
      <c r="C547">
        <v>1</v>
      </c>
      <c r="D547">
        <v>0</v>
      </c>
      <c r="E547">
        <v>1</v>
      </c>
      <c r="F547">
        <v>21</v>
      </c>
      <c r="G547" t="b">
        <v>0</v>
      </c>
      <c r="H547">
        <v>1</v>
      </c>
      <c r="I547">
        <v>1</v>
      </c>
      <c r="J547">
        <v>0.14000000000000001</v>
      </c>
      <c r="K547">
        <v>0.1515</v>
      </c>
      <c r="L547">
        <v>0.63</v>
      </c>
      <c r="M547">
        <v>0.16420000000000001</v>
      </c>
      <c r="N547">
        <v>6</v>
      </c>
      <c r="O547">
        <v>53</v>
      </c>
      <c r="P547">
        <v>59</v>
      </c>
      <c r="Q547" t="str">
        <f t="shared" si="32"/>
        <v>Weekday</v>
      </c>
      <c r="R547" t="str">
        <f t="shared" si="33"/>
        <v>Medium</v>
      </c>
      <c r="S547" s="10" t="str">
        <f t="shared" si="34"/>
        <v>Clear</v>
      </c>
      <c r="T547" s="10" t="str">
        <f t="shared" si="35"/>
        <v>Cold</v>
      </c>
    </row>
    <row r="548" spans="1:20" x14ac:dyDescent="0.3">
      <c r="A548">
        <v>547</v>
      </c>
      <c r="B548" t="s">
        <v>39</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32"/>
        <v>Weekday</v>
      </c>
      <c r="R548" t="str">
        <f t="shared" si="33"/>
        <v>Low</v>
      </c>
      <c r="S548" s="10" t="str">
        <f t="shared" si="34"/>
        <v>Mist/Cloudy</v>
      </c>
      <c r="T548" s="10" t="str">
        <f t="shared" si="35"/>
        <v>Cold</v>
      </c>
    </row>
    <row r="549" spans="1:20" x14ac:dyDescent="0.3">
      <c r="A549">
        <v>548</v>
      </c>
      <c r="B549" t="s">
        <v>39</v>
      </c>
      <c r="C549">
        <v>1</v>
      </c>
      <c r="D549">
        <v>0</v>
      </c>
      <c r="E549">
        <v>1</v>
      </c>
      <c r="F549">
        <v>23</v>
      </c>
      <c r="G549" t="b">
        <v>0</v>
      </c>
      <c r="H549">
        <v>1</v>
      </c>
      <c r="I549">
        <v>2</v>
      </c>
      <c r="J549">
        <v>0.16</v>
      </c>
      <c r="K549">
        <v>0.1515</v>
      </c>
      <c r="L549">
        <v>0.64</v>
      </c>
      <c r="M549">
        <v>0.25369999999999998</v>
      </c>
      <c r="N549">
        <v>3</v>
      </c>
      <c r="O549">
        <v>21</v>
      </c>
      <c r="P549">
        <v>24</v>
      </c>
      <c r="Q549" t="str">
        <f t="shared" si="32"/>
        <v>Weekday</v>
      </c>
      <c r="R549" t="str">
        <f t="shared" si="33"/>
        <v>Low</v>
      </c>
      <c r="S549" s="10" t="str">
        <f t="shared" si="34"/>
        <v>Mist/Cloudy</v>
      </c>
      <c r="T549" s="10" t="str">
        <f t="shared" si="35"/>
        <v>Cold</v>
      </c>
    </row>
    <row r="550" spans="1:20" x14ac:dyDescent="0.3">
      <c r="A550">
        <v>549</v>
      </c>
      <c r="B550" t="s">
        <v>40</v>
      </c>
      <c r="C550">
        <v>1</v>
      </c>
      <c r="D550">
        <v>0</v>
      </c>
      <c r="E550">
        <v>1</v>
      </c>
      <c r="F550">
        <v>0</v>
      </c>
      <c r="G550" t="b">
        <v>0</v>
      </c>
      <c r="H550">
        <v>2</v>
      </c>
      <c r="I550">
        <v>2</v>
      </c>
      <c r="J550">
        <v>0.16</v>
      </c>
      <c r="K550">
        <v>0.13639999999999999</v>
      </c>
      <c r="L550">
        <v>0.69</v>
      </c>
      <c r="M550">
        <v>0.28360000000000002</v>
      </c>
      <c r="N550">
        <v>3</v>
      </c>
      <c r="O550">
        <v>6</v>
      </c>
      <c r="P550">
        <v>9</v>
      </c>
      <c r="Q550" t="str">
        <f t="shared" si="32"/>
        <v>Weekday</v>
      </c>
      <c r="R550" t="str">
        <f t="shared" si="33"/>
        <v>Low</v>
      </c>
      <c r="S550" s="10" t="str">
        <f t="shared" si="34"/>
        <v>Mist/Cloudy</v>
      </c>
      <c r="T550" s="10" t="str">
        <f t="shared" si="35"/>
        <v>Cold</v>
      </c>
    </row>
    <row r="551" spans="1:20" x14ac:dyDescent="0.3">
      <c r="A551">
        <v>550</v>
      </c>
      <c r="B551" t="s">
        <v>40</v>
      </c>
      <c r="C551">
        <v>1</v>
      </c>
      <c r="D551">
        <v>0</v>
      </c>
      <c r="E551">
        <v>1</v>
      </c>
      <c r="F551">
        <v>1</v>
      </c>
      <c r="G551" t="b">
        <v>0</v>
      </c>
      <c r="H551">
        <v>2</v>
      </c>
      <c r="I551">
        <v>2</v>
      </c>
      <c r="J551">
        <v>0.16</v>
      </c>
      <c r="K551">
        <v>0.16669999999999999</v>
      </c>
      <c r="L551">
        <v>0.69</v>
      </c>
      <c r="M551">
        <v>0.16420000000000001</v>
      </c>
      <c r="N551">
        <v>0</v>
      </c>
      <c r="O551">
        <v>5</v>
      </c>
      <c r="P551">
        <v>5</v>
      </c>
      <c r="Q551" t="str">
        <f t="shared" si="32"/>
        <v>Weekday</v>
      </c>
      <c r="R551" t="str">
        <f t="shared" si="33"/>
        <v>Low</v>
      </c>
      <c r="S551" s="10" t="str">
        <f t="shared" si="34"/>
        <v>Mist/Cloudy</v>
      </c>
      <c r="T551" s="10" t="str">
        <f t="shared" si="35"/>
        <v>Cold</v>
      </c>
    </row>
    <row r="552" spans="1:20" x14ac:dyDescent="0.3">
      <c r="A552">
        <v>551</v>
      </c>
      <c r="B552" t="s">
        <v>40</v>
      </c>
      <c r="C552">
        <v>1</v>
      </c>
      <c r="D552">
        <v>0</v>
      </c>
      <c r="E552">
        <v>1</v>
      </c>
      <c r="F552">
        <v>2</v>
      </c>
      <c r="G552" t="b">
        <v>0</v>
      </c>
      <c r="H552">
        <v>2</v>
      </c>
      <c r="I552">
        <v>1</v>
      </c>
      <c r="J552">
        <v>0.16</v>
      </c>
      <c r="K552">
        <v>0.1515</v>
      </c>
      <c r="L552">
        <v>0.69</v>
      </c>
      <c r="M552">
        <v>0.22389999999999999</v>
      </c>
      <c r="N552">
        <v>0</v>
      </c>
      <c r="O552">
        <v>2</v>
      </c>
      <c r="P552">
        <v>2</v>
      </c>
      <c r="Q552" t="str">
        <f t="shared" si="32"/>
        <v>Weekday</v>
      </c>
      <c r="R552" t="str">
        <f t="shared" si="33"/>
        <v>Low</v>
      </c>
      <c r="S552" s="10" t="str">
        <f t="shared" si="34"/>
        <v>Clear</v>
      </c>
      <c r="T552" s="10" t="str">
        <f t="shared" si="35"/>
        <v>Cold</v>
      </c>
    </row>
    <row r="553" spans="1:20" x14ac:dyDescent="0.3">
      <c r="A553">
        <v>552</v>
      </c>
      <c r="B553" t="s">
        <v>40</v>
      </c>
      <c r="C553">
        <v>1</v>
      </c>
      <c r="D553">
        <v>0</v>
      </c>
      <c r="E553">
        <v>1</v>
      </c>
      <c r="F553">
        <v>4</v>
      </c>
      <c r="G553" t="b">
        <v>0</v>
      </c>
      <c r="H553">
        <v>2</v>
      </c>
      <c r="I553">
        <v>1</v>
      </c>
      <c r="J553">
        <v>0.14000000000000001</v>
      </c>
      <c r="K553">
        <v>0.16669999999999999</v>
      </c>
      <c r="L553">
        <v>0.74</v>
      </c>
      <c r="M553">
        <v>0.1045</v>
      </c>
      <c r="N553">
        <v>0</v>
      </c>
      <c r="O553">
        <v>1</v>
      </c>
      <c r="P553">
        <v>1</v>
      </c>
      <c r="Q553" t="str">
        <f t="shared" si="32"/>
        <v>Weekday</v>
      </c>
      <c r="R553" t="str">
        <f t="shared" si="33"/>
        <v>Low</v>
      </c>
      <c r="S553" s="10" t="str">
        <f t="shared" si="34"/>
        <v>Clear</v>
      </c>
      <c r="T553" s="10" t="str">
        <f t="shared" si="35"/>
        <v>Cold</v>
      </c>
    </row>
    <row r="554" spans="1:20" x14ac:dyDescent="0.3">
      <c r="A554">
        <v>553</v>
      </c>
      <c r="B554" t="s">
        <v>40</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32"/>
        <v>Weekday</v>
      </c>
      <c r="R554" t="str">
        <f t="shared" si="33"/>
        <v>Low</v>
      </c>
      <c r="S554" s="10" t="str">
        <f t="shared" si="34"/>
        <v>Clear</v>
      </c>
      <c r="T554" s="10" t="str">
        <f t="shared" si="35"/>
        <v>Cold</v>
      </c>
    </row>
    <row r="555" spans="1:20" x14ac:dyDescent="0.3">
      <c r="A555">
        <v>554</v>
      </c>
      <c r="B555" t="s">
        <v>40</v>
      </c>
      <c r="C555">
        <v>1</v>
      </c>
      <c r="D555">
        <v>0</v>
      </c>
      <c r="E555">
        <v>1</v>
      </c>
      <c r="F555">
        <v>6</v>
      </c>
      <c r="G555" t="b">
        <v>0</v>
      </c>
      <c r="H555">
        <v>2</v>
      </c>
      <c r="I555">
        <v>1</v>
      </c>
      <c r="J555">
        <v>0.16</v>
      </c>
      <c r="K555">
        <v>0.18179999999999999</v>
      </c>
      <c r="L555">
        <v>0.74</v>
      </c>
      <c r="M555">
        <v>0.1045</v>
      </c>
      <c r="N555">
        <v>1</v>
      </c>
      <c r="O555">
        <v>35</v>
      </c>
      <c r="P555">
        <v>36</v>
      </c>
      <c r="Q555" t="str">
        <f t="shared" si="32"/>
        <v>Weekday</v>
      </c>
      <c r="R555" t="str">
        <f t="shared" si="33"/>
        <v>Low</v>
      </c>
      <c r="S555" s="10" t="str">
        <f t="shared" si="34"/>
        <v>Clear</v>
      </c>
      <c r="T555" s="10" t="str">
        <f t="shared" si="35"/>
        <v>Cold</v>
      </c>
    </row>
    <row r="556" spans="1:20" x14ac:dyDescent="0.3">
      <c r="A556">
        <v>555</v>
      </c>
      <c r="B556" t="s">
        <v>40</v>
      </c>
      <c r="C556">
        <v>1</v>
      </c>
      <c r="D556">
        <v>0</v>
      </c>
      <c r="E556">
        <v>1</v>
      </c>
      <c r="F556">
        <v>7</v>
      </c>
      <c r="G556" t="b">
        <v>0</v>
      </c>
      <c r="H556">
        <v>2</v>
      </c>
      <c r="I556">
        <v>1</v>
      </c>
      <c r="J556">
        <v>0.16</v>
      </c>
      <c r="K556">
        <v>0.1515</v>
      </c>
      <c r="L556">
        <v>0.74</v>
      </c>
      <c r="M556">
        <v>0.22389999999999999</v>
      </c>
      <c r="N556">
        <v>5</v>
      </c>
      <c r="O556">
        <v>103</v>
      </c>
      <c r="P556">
        <v>108</v>
      </c>
      <c r="Q556" t="str">
        <f t="shared" si="32"/>
        <v>Weekday</v>
      </c>
      <c r="R556" t="str">
        <f t="shared" si="33"/>
        <v>Medium</v>
      </c>
      <c r="S556" s="10" t="str">
        <f t="shared" si="34"/>
        <v>Clear</v>
      </c>
      <c r="T556" s="10" t="str">
        <f t="shared" si="35"/>
        <v>Cold</v>
      </c>
    </row>
    <row r="557" spans="1:20" x14ac:dyDescent="0.3">
      <c r="A557">
        <v>556</v>
      </c>
      <c r="B557" t="s">
        <v>40</v>
      </c>
      <c r="C557">
        <v>1</v>
      </c>
      <c r="D557">
        <v>0</v>
      </c>
      <c r="E557">
        <v>1</v>
      </c>
      <c r="F557">
        <v>8</v>
      </c>
      <c r="G557" t="b">
        <v>0</v>
      </c>
      <c r="H557">
        <v>2</v>
      </c>
      <c r="I557">
        <v>2</v>
      </c>
      <c r="J557">
        <v>0.16</v>
      </c>
      <c r="K557">
        <v>0.18179999999999999</v>
      </c>
      <c r="L557">
        <v>0.74</v>
      </c>
      <c r="M557">
        <v>0.1343</v>
      </c>
      <c r="N557">
        <v>5</v>
      </c>
      <c r="O557">
        <v>233</v>
      </c>
      <c r="P557">
        <v>238</v>
      </c>
      <c r="Q557" t="str">
        <f t="shared" si="32"/>
        <v>Weekday</v>
      </c>
      <c r="R557" t="str">
        <f t="shared" si="33"/>
        <v>High</v>
      </c>
      <c r="S557" s="10" t="str">
        <f t="shared" si="34"/>
        <v>Mist/Cloudy</v>
      </c>
      <c r="T557" s="10" t="str">
        <f t="shared" si="35"/>
        <v>Cold</v>
      </c>
    </row>
    <row r="558" spans="1:20" x14ac:dyDescent="0.3">
      <c r="A558">
        <v>557</v>
      </c>
      <c r="B558" t="s">
        <v>40</v>
      </c>
      <c r="C558">
        <v>1</v>
      </c>
      <c r="D558">
        <v>0</v>
      </c>
      <c r="E558">
        <v>1</v>
      </c>
      <c r="F558">
        <v>9</v>
      </c>
      <c r="G558" t="b">
        <v>0</v>
      </c>
      <c r="H558">
        <v>2</v>
      </c>
      <c r="I558">
        <v>2</v>
      </c>
      <c r="J558">
        <v>0.2</v>
      </c>
      <c r="K558">
        <v>0.2273</v>
      </c>
      <c r="L558">
        <v>0.64</v>
      </c>
      <c r="M558">
        <v>8.9599999999999999E-2</v>
      </c>
      <c r="N558">
        <v>10</v>
      </c>
      <c r="O558">
        <v>134</v>
      </c>
      <c r="P558">
        <v>144</v>
      </c>
      <c r="Q558" t="str">
        <f t="shared" si="32"/>
        <v>Weekday</v>
      </c>
      <c r="R558" t="str">
        <f t="shared" si="33"/>
        <v>Medium</v>
      </c>
      <c r="S558" s="10" t="str">
        <f t="shared" si="34"/>
        <v>Mist/Cloudy</v>
      </c>
      <c r="T558" s="10" t="str">
        <f t="shared" si="35"/>
        <v>Cold</v>
      </c>
    </row>
    <row r="559" spans="1:20" x14ac:dyDescent="0.3">
      <c r="A559">
        <v>558</v>
      </c>
      <c r="B559" t="s">
        <v>40</v>
      </c>
      <c r="C559">
        <v>1</v>
      </c>
      <c r="D559">
        <v>0</v>
      </c>
      <c r="E559">
        <v>1</v>
      </c>
      <c r="F559">
        <v>10</v>
      </c>
      <c r="G559" t="b">
        <v>0</v>
      </c>
      <c r="H559">
        <v>2</v>
      </c>
      <c r="I559">
        <v>2</v>
      </c>
      <c r="J559">
        <v>0.22</v>
      </c>
      <c r="K559">
        <v>0.2424</v>
      </c>
      <c r="L559">
        <v>0.6</v>
      </c>
      <c r="M559">
        <v>0.1045</v>
      </c>
      <c r="N559">
        <v>6</v>
      </c>
      <c r="O559">
        <v>49</v>
      </c>
      <c r="P559">
        <v>55</v>
      </c>
      <c r="Q559" t="str">
        <f t="shared" si="32"/>
        <v>Weekday</v>
      </c>
      <c r="R559" t="str">
        <f t="shared" si="33"/>
        <v>Medium</v>
      </c>
      <c r="S559" s="10" t="str">
        <f t="shared" si="34"/>
        <v>Mist/Cloudy</v>
      </c>
      <c r="T559" s="10" t="str">
        <f t="shared" si="35"/>
        <v>Cold</v>
      </c>
    </row>
    <row r="560" spans="1:20" x14ac:dyDescent="0.3">
      <c r="A560">
        <v>559</v>
      </c>
      <c r="B560" t="s">
        <v>40</v>
      </c>
      <c r="C560">
        <v>1</v>
      </c>
      <c r="D560">
        <v>0</v>
      </c>
      <c r="E560">
        <v>1</v>
      </c>
      <c r="F560">
        <v>11</v>
      </c>
      <c r="G560" t="b">
        <v>0</v>
      </c>
      <c r="H560">
        <v>2</v>
      </c>
      <c r="I560">
        <v>2</v>
      </c>
      <c r="J560">
        <v>0.24</v>
      </c>
      <c r="K560">
        <v>0.2424</v>
      </c>
      <c r="L560">
        <v>0.6</v>
      </c>
      <c r="M560">
        <v>0.1343</v>
      </c>
      <c r="N560">
        <v>6</v>
      </c>
      <c r="O560">
        <v>55</v>
      </c>
      <c r="P560">
        <v>61</v>
      </c>
      <c r="Q560" t="str">
        <f t="shared" si="32"/>
        <v>Weekday</v>
      </c>
      <c r="R560" t="str">
        <f t="shared" si="33"/>
        <v>Medium</v>
      </c>
      <c r="S560" s="10" t="str">
        <f t="shared" si="34"/>
        <v>Mist/Cloudy</v>
      </c>
      <c r="T560" s="10" t="str">
        <f t="shared" si="35"/>
        <v>Cold</v>
      </c>
    </row>
    <row r="561" spans="1:20" x14ac:dyDescent="0.3">
      <c r="A561">
        <v>560</v>
      </c>
      <c r="B561" t="s">
        <v>40</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32"/>
        <v>Weekday</v>
      </c>
      <c r="R561" t="str">
        <f t="shared" si="33"/>
        <v>Medium</v>
      </c>
      <c r="S561" s="10" t="str">
        <f t="shared" si="34"/>
        <v>Mist/Cloudy</v>
      </c>
      <c r="T561" s="10" t="str">
        <f t="shared" si="35"/>
        <v>Cold</v>
      </c>
    </row>
    <row r="562" spans="1:20" x14ac:dyDescent="0.3">
      <c r="A562">
        <v>561</v>
      </c>
      <c r="B562" t="s">
        <v>40</v>
      </c>
      <c r="C562">
        <v>1</v>
      </c>
      <c r="D562">
        <v>0</v>
      </c>
      <c r="E562">
        <v>1</v>
      </c>
      <c r="F562">
        <v>13</v>
      </c>
      <c r="G562" t="b">
        <v>0</v>
      </c>
      <c r="H562">
        <v>2</v>
      </c>
      <c r="I562">
        <v>2</v>
      </c>
      <c r="J562">
        <v>0.26</v>
      </c>
      <c r="K562">
        <v>0.2727</v>
      </c>
      <c r="L562">
        <v>0.56000000000000005</v>
      </c>
      <c r="M562">
        <v>0.1343</v>
      </c>
      <c r="N562">
        <v>21</v>
      </c>
      <c r="O562">
        <v>72</v>
      </c>
      <c r="P562">
        <v>93</v>
      </c>
      <c r="Q562" t="str">
        <f t="shared" si="32"/>
        <v>Weekday</v>
      </c>
      <c r="R562" t="str">
        <f t="shared" si="33"/>
        <v>Medium</v>
      </c>
      <c r="S562" s="10" t="str">
        <f t="shared" si="34"/>
        <v>Mist/Cloudy</v>
      </c>
      <c r="T562" s="10" t="str">
        <f t="shared" si="35"/>
        <v>Cold</v>
      </c>
    </row>
    <row r="563" spans="1:20" x14ac:dyDescent="0.3">
      <c r="A563">
        <v>562</v>
      </c>
      <c r="B563" t="s">
        <v>40</v>
      </c>
      <c r="C563">
        <v>1</v>
      </c>
      <c r="D563">
        <v>0</v>
      </c>
      <c r="E563">
        <v>1</v>
      </c>
      <c r="F563">
        <v>14</v>
      </c>
      <c r="G563" t="b">
        <v>0</v>
      </c>
      <c r="H563">
        <v>2</v>
      </c>
      <c r="I563">
        <v>2</v>
      </c>
      <c r="J563">
        <v>0.3</v>
      </c>
      <c r="K563">
        <v>0.33329999999999999</v>
      </c>
      <c r="L563">
        <v>0.45</v>
      </c>
      <c r="M563">
        <v>0</v>
      </c>
      <c r="N563">
        <v>11</v>
      </c>
      <c r="O563">
        <v>57</v>
      </c>
      <c r="P563">
        <v>68</v>
      </c>
      <c r="Q563" t="str">
        <f t="shared" si="32"/>
        <v>Weekday</v>
      </c>
      <c r="R563" t="str">
        <f t="shared" si="33"/>
        <v>Medium</v>
      </c>
      <c r="S563" s="10" t="str">
        <f t="shared" si="34"/>
        <v>Mist/Cloudy</v>
      </c>
      <c r="T563" s="10" t="str">
        <f t="shared" si="35"/>
        <v>Warm</v>
      </c>
    </row>
    <row r="564" spans="1:20" x14ac:dyDescent="0.3">
      <c r="A564">
        <v>563</v>
      </c>
      <c r="B564" t="s">
        <v>40</v>
      </c>
      <c r="C564">
        <v>1</v>
      </c>
      <c r="D564">
        <v>0</v>
      </c>
      <c r="E564">
        <v>1</v>
      </c>
      <c r="F564">
        <v>15</v>
      </c>
      <c r="G564" t="b">
        <v>0</v>
      </c>
      <c r="H564">
        <v>2</v>
      </c>
      <c r="I564">
        <v>2</v>
      </c>
      <c r="J564">
        <v>0.32</v>
      </c>
      <c r="K564">
        <v>0.34849999999999998</v>
      </c>
      <c r="L564">
        <v>0.42</v>
      </c>
      <c r="M564">
        <v>0</v>
      </c>
      <c r="N564">
        <v>21</v>
      </c>
      <c r="O564">
        <v>63</v>
      </c>
      <c r="P564">
        <v>84</v>
      </c>
      <c r="Q564" t="str">
        <f t="shared" si="32"/>
        <v>Weekday</v>
      </c>
      <c r="R564" t="str">
        <f t="shared" si="33"/>
        <v>Medium</v>
      </c>
      <c r="S564" s="10" t="str">
        <f t="shared" si="34"/>
        <v>Mist/Cloudy</v>
      </c>
      <c r="T564" s="10" t="str">
        <f t="shared" si="35"/>
        <v>Warm</v>
      </c>
    </row>
    <row r="565" spans="1:20" x14ac:dyDescent="0.3">
      <c r="A565">
        <v>564</v>
      </c>
      <c r="B565" t="s">
        <v>40</v>
      </c>
      <c r="C565">
        <v>1</v>
      </c>
      <c r="D565">
        <v>0</v>
      </c>
      <c r="E565">
        <v>1</v>
      </c>
      <c r="F565">
        <v>16</v>
      </c>
      <c r="G565" t="b">
        <v>0</v>
      </c>
      <c r="H565">
        <v>2</v>
      </c>
      <c r="I565">
        <v>2</v>
      </c>
      <c r="J565">
        <v>0.32</v>
      </c>
      <c r="K565">
        <v>0.34849999999999998</v>
      </c>
      <c r="L565">
        <v>0.42</v>
      </c>
      <c r="M565">
        <v>0</v>
      </c>
      <c r="N565">
        <v>14</v>
      </c>
      <c r="O565">
        <v>102</v>
      </c>
      <c r="P565">
        <v>116</v>
      </c>
      <c r="Q565" t="str">
        <f t="shared" si="32"/>
        <v>Weekday</v>
      </c>
      <c r="R565" t="str">
        <f t="shared" si="33"/>
        <v>Medium</v>
      </c>
      <c r="S565" s="10" t="str">
        <f t="shared" si="34"/>
        <v>Mist/Cloudy</v>
      </c>
      <c r="T565" s="10" t="str">
        <f t="shared" si="35"/>
        <v>Warm</v>
      </c>
    </row>
    <row r="566" spans="1:20" x14ac:dyDescent="0.3">
      <c r="A566">
        <v>565</v>
      </c>
      <c r="B566" t="s">
        <v>40</v>
      </c>
      <c r="C566">
        <v>1</v>
      </c>
      <c r="D566">
        <v>0</v>
      </c>
      <c r="E566">
        <v>1</v>
      </c>
      <c r="F566">
        <v>17</v>
      </c>
      <c r="G566" t="b">
        <v>0</v>
      </c>
      <c r="H566">
        <v>2</v>
      </c>
      <c r="I566">
        <v>1</v>
      </c>
      <c r="J566">
        <v>0.3</v>
      </c>
      <c r="K566">
        <v>0.33329999999999999</v>
      </c>
      <c r="L566">
        <v>0.45</v>
      </c>
      <c r="M566">
        <v>0</v>
      </c>
      <c r="N566">
        <v>14</v>
      </c>
      <c r="O566">
        <v>208</v>
      </c>
      <c r="P566">
        <v>222</v>
      </c>
      <c r="Q566" t="str">
        <f t="shared" si="32"/>
        <v>Weekday</v>
      </c>
      <c r="R566" t="str">
        <f t="shared" si="33"/>
        <v>High</v>
      </c>
      <c r="S566" s="10" t="str">
        <f t="shared" si="34"/>
        <v>Clear</v>
      </c>
      <c r="T566" s="10" t="str">
        <f t="shared" si="35"/>
        <v>Warm</v>
      </c>
    </row>
    <row r="567" spans="1:20" x14ac:dyDescent="0.3">
      <c r="A567">
        <v>566</v>
      </c>
      <c r="B567" t="s">
        <v>40</v>
      </c>
      <c r="C567">
        <v>1</v>
      </c>
      <c r="D567">
        <v>0</v>
      </c>
      <c r="E567">
        <v>1</v>
      </c>
      <c r="F567">
        <v>18</v>
      </c>
      <c r="G567" t="b">
        <v>0</v>
      </c>
      <c r="H567">
        <v>2</v>
      </c>
      <c r="I567">
        <v>2</v>
      </c>
      <c r="J567">
        <v>0.3</v>
      </c>
      <c r="K567">
        <v>0.31819999999999998</v>
      </c>
      <c r="L567">
        <v>0.49</v>
      </c>
      <c r="M567">
        <v>8.9599999999999999E-2</v>
      </c>
      <c r="N567">
        <v>7</v>
      </c>
      <c r="O567">
        <v>218</v>
      </c>
      <c r="P567">
        <v>225</v>
      </c>
      <c r="Q567" t="str">
        <f t="shared" si="32"/>
        <v>Weekday</v>
      </c>
      <c r="R567" t="str">
        <f t="shared" si="33"/>
        <v>High</v>
      </c>
      <c r="S567" s="10" t="str">
        <f t="shared" si="34"/>
        <v>Mist/Cloudy</v>
      </c>
      <c r="T567" s="10" t="str">
        <f t="shared" si="35"/>
        <v>Warm</v>
      </c>
    </row>
    <row r="568" spans="1:20" x14ac:dyDescent="0.3">
      <c r="A568">
        <v>567</v>
      </c>
      <c r="B568" t="s">
        <v>40</v>
      </c>
      <c r="C568">
        <v>1</v>
      </c>
      <c r="D568">
        <v>0</v>
      </c>
      <c r="E568">
        <v>1</v>
      </c>
      <c r="F568">
        <v>19</v>
      </c>
      <c r="G568" t="b">
        <v>0</v>
      </c>
      <c r="H568">
        <v>2</v>
      </c>
      <c r="I568">
        <v>2</v>
      </c>
      <c r="J568">
        <v>0.26</v>
      </c>
      <c r="K568">
        <v>0.2576</v>
      </c>
      <c r="L568">
        <v>0.65</v>
      </c>
      <c r="M568">
        <v>0.16420000000000001</v>
      </c>
      <c r="N568">
        <v>13</v>
      </c>
      <c r="O568">
        <v>133</v>
      </c>
      <c r="P568">
        <v>146</v>
      </c>
      <c r="Q568" t="str">
        <f t="shared" si="32"/>
        <v>Weekday</v>
      </c>
      <c r="R568" t="str">
        <f t="shared" si="33"/>
        <v>Medium</v>
      </c>
      <c r="S568" s="10" t="str">
        <f t="shared" si="34"/>
        <v>Mist/Cloudy</v>
      </c>
      <c r="T568" s="10" t="str">
        <f t="shared" si="35"/>
        <v>Cold</v>
      </c>
    </row>
    <row r="569" spans="1:20" x14ac:dyDescent="0.3">
      <c r="A569">
        <v>568</v>
      </c>
      <c r="B569" t="s">
        <v>40</v>
      </c>
      <c r="C569">
        <v>1</v>
      </c>
      <c r="D569">
        <v>0</v>
      </c>
      <c r="E569">
        <v>1</v>
      </c>
      <c r="F569">
        <v>20</v>
      </c>
      <c r="G569" t="b">
        <v>0</v>
      </c>
      <c r="H569">
        <v>2</v>
      </c>
      <c r="I569">
        <v>1</v>
      </c>
      <c r="J569">
        <v>0.24</v>
      </c>
      <c r="K569">
        <v>0.2273</v>
      </c>
      <c r="L569">
        <v>0.65</v>
      </c>
      <c r="M569">
        <v>0.19400000000000001</v>
      </c>
      <c r="N569">
        <v>16</v>
      </c>
      <c r="O569">
        <v>103</v>
      </c>
      <c r="P569">
        <v>119</v>
      </c>
      <c r="Q569" t="str">
        <f t="shared" si="32"/>
        <v>Weekday</v>
      </c>
      <c r="R569" t="str">
        <f t="shared" si="33"/>
        <v>Medium</v>
      </c>
      <c r="S569" s="10" t="str">
        <f t="shared" si="34"/>
        <v>Clear</v>
      </c>
      <c r="T569" s="10" t="str">
        <f t="shared" si="35"/>
        <v>Cold</v>
      </c>
    </row>
    <row r="570" spans="1:20" x14ac:dyDescent="0.3">
      <c r="A570">
        <v>569</v>
      </c>
      <c r="B570" t="s">
        <v>40</v>
      </c>
      <c r="C570">
        <v>1</v>
      </c>
      <c r="D570">
        <v>0</v>
      </c>
      <c r="E570">
        <v>1</v>
      </c>
      <c r="F570">
        <v>21</v>
      </c>
      <c r="G570" t="b">
        <v>0</v>
      </c>
      <c r="H570">
        <v>2</v>
      </c>
      <c r="I570">
        <v>1</v>
      </c>
      <c r="J570">
        <v>0.24</v>
      </c>
      <c r="K570">
        <v>0.2273</v>
      </c>
      <c r="L570">
        <v>0.65</v>
      </c>
      <c r="M570">
        <v>0.19400000000000001</v>
      </c>
      <c r="N570">
        <v>5</v>
      </c>
      <c r="O570">
        <v>40</v>
      </c>
      <c r="P570">
        <v>45</v>
      </c>
      <c r="Q570" t="str">
        <f t="shared" si="32"/>
        <v>Weekday</v>
      </c>
      <c r="R570" t="str">
        <f t="shared" si="33"/>
        <v>Low</v>
      </c>
      <c r="S570" s="10" t="str">
        <f t="shared" si="34"/>
        <v>Clear</v>
      </c>
      <c r="T570" s="10" t="str">
        <f t="shared" si="35"/>
        <v>Cold</v>
      </c>
    </row>
    <row r="571" spans="1:20" x14ac:dyDescent="0.3">
      <c r="A571">
        <v>570</v>
      </c>
      <c r="B571" t="s">
        <v>40</v>
      </c>
      <c r="C571">
        <v>1</v>
      </c>
      <c r="D571">
        <v>0</v>
      </c>
      <c r="E571">
        <v>1</v>
      </c>
      <c r="F571">
        <v>22</v>
      </c>
      <c r="G571" t="b">
        <v>0</v>
      </c>
      <c r="H571">
        <v>2</v>
      </c>
      <c r="I571">
        <v>1</v>
      </c>
      <c r="J571">
        <v>0.22</v>
      </c>
      <c r="K571">
        <v>0.2273</v>
      </c>
      <c r="L571">
        <v>0.64</v>
      </c>
      <c r="M571">
        <v>0.16420000000000001</v>
      </c>
      <c r="N571">
        <v>4</v>
      </c>
      <c r="O571">
        <v>49</v>
      </c>
      <c r="P571">
        <v>53</v>
      </c>
      <c r="Q571" t="str">
        <f t="shared" si="32"/>
        <v>Weekday</v>
      </c>
      <c r="R571" t="str">
        <f t="shared" si="33"/>
        <v>Medium</v>
      </c>
      <c r="S571" s="10" t="str">
        <f t="shared" si="34"/>
        <v>Clear</v>
      </c>
      <c r="T571" s="10" t="str">
        <f t="shared" si="35"/>
        <v>Cold</v>
      </c>
    </row>
    <row r="572" spans="1:20" x14ac:dyDescent="0.3">
      <c r="A572">
        <v>571</v>
      </c>
      <c r="B572" t="s">
        <v>40</v>
      </c>
      <c r="C572">
        <v>1</v>
      </c>
      <c r="D572">
        <v>0</v>
      </c>
      <c r="E572">
        <v>1</v>
      </c>
      <c r="F572">
        <v>23</v>
      </c>
      <c r="G572" t="b">
        <v>0</v>
      </c>
      <c r="H572">
        <v>2</v>
      </c>
      <c r="I572">
        <v>2</v>
      </c>
      <c r="J572">
        <v>0.22</v>
      </c>
      <c r="K572">
        <v>0.2273</v>
      </c>
      <c r="L572">
        <v>0.64</v>
      </c>
      <c r="M572">
        <v>0.16420000000000001</v>
      </c>
      <c r="N572">
        <v>3</v>
      </c>
      <c r="O572">
        <v>37</v>
      </c>
      <c r="P572">
        <v>40</v>
      </c>
      <c r="Q572" t="str">
        <f t="shared" si="32"/>
        <v>Weekday</v>
      </c>
      <c r="R572" t="str">
        <f t="shared" si="33"/>
        <v>Low</v>
      </c>
      <c r="S572" s="10" t="str">
        <f t="shared" si="34"/>
        <v>Mist/Cloudy</v>
      </c>
      <c r="T572" s="10" t="str">
        <f t="shared" si="35"/>
        <v>Cold</v>
      </c>
    </row>
    <row r="573" spans="1:20" x14ac:dyDescent="0.3">
      <c r="A573">
        <v>572</v>
      </c>
      <c r="B573" t="s">
        <v>41</v>
      </c>
      <c r="C573">
        <v>1</v>
      </c>
      <c r="D573">
        <v>0</v>
      </c>
      <c r="E573">
        <v>1</v>
      </c>
      <c r="F573">
        <v>0</v>
      </c>
      <c r="G573" t="b">
        <v>0</v>
      </c>
      <c r="H573">
        <v>3</v>
      </c>
      <c r="I573">
        <v>2</v>
      </c>
      <c r="J573">
        <v>0.22</v>
      </c>
      <c r="K573">
        <v>0.2273</v>
      </c>
      <c r="L573">
        <v>0.69</v>
      </c>
      <c r="M573">
        <v>0.1343</v>
      </c>
      <c r="N573">
        <v>3</v>
      </c>
      <c r="O573">
        <v>14</v>
      </c>
      <c r="P573">
        <v>17</v>
      </c>
      <c r="Q573" t="str">
        <f t="shared" si="32"/>
        <v>Weekday</v>
      </c>
      <c r="R573" t="str">
        <f t="shared" si="33"/>
        <v>Low</v>
      </c>
      <c r="S573" s="10" t="str">
        <f t="shared" si="34"/>
        <v>Mist/Cloudy</v>
      </c>
      <c r="T573" s="10" t="str">
        <f t="shared" si="35"/>
        <v>Cold</v>
      </c>
    </row>
    <row r="574" spans="1:20" x14ac:dyDescent="0.3">
      <c r="A574">
        <v>573</v>
      </c>
      <c r="B574" t="s">
        <v>41</v>
      </c>
      <c r="C574">
        <v>1</v>
      </c>
      <c r="D574">
        <v>0</v>
      </c>
      <c r="E574">
        <v>1</v>
      </c>
      <c r="F574">
        <v>1</v>
      </c>
      <c r="G574" t="b">
        <v>0</v>
      </c>
      <c r="H574">
        <v>3</v>
      </c>
      <c r="I574">
        <v>2</v>
      </c>
      <c r="J574">
        <v>0.24</v>
      </c>
      <c r="K574">
        <v>0.2424</v>
      </c>
      <c r="L574">
        <v>0.65</v>
      </c>
      <c r="M574">
        <v>0.1343</v>
      </c>
      <c r="N574">
        <v>0</v>
      </c>
      <c r="O574">
        <v>5</v>
      </c>
      <c r="P574">
        <v>5</v>
      </c>
      <c r="Q574" t="str">
        <f t="shared" si="32"/>
        <v>Weekday</v>
      </c>
      <c r="R574" t="str">
        <f t="shared" si="33"/>
        <v>Low</v>
      </c>
      <c r="S574" s="10" t="str">
        <f t="shared" si="34"/>
        <v>Mist/Cloudy</v>
      </c>
      <c r="T574" s="10" t="str">
        <f t="shared" si="35"/>
        <v>Cold</v>
      </c>
    </row>
    <row r="575" spans="1:20" x14ac:dyDescent="0.3">
      <c r="A575">
        <v>574</v>
      </c>
      <c r="B575" t="s">
        <v>41</v>
      </c>
      <c r="C575">
        <v>1</v>
      </c>
      <c r="D575">
        <v>0</v>
      </c>
      <c r="E575">
        <v>1</v>
      </c>
      <c r="F575">
        <v>2</v>
      </c>
      <c r="G575" t="b">
        <v>0</v>
      </c>
      <c r="H575">
        <v>3</v>
      </c>
      <c r="I575">
        <v>3</v>
      </c>
      <c r="J575">
        <v>0.22</v>
      </c>
      <c r="K575">
        <v>0.2273</v>
      </c>
      <c r="L575">
        <v>0.69</v>
      </c>
      <c r="M575">
        <v>0.19400000000000001</v>
      </c>
      <c r="N575">
        <v>3</v>
      </c>
      <c r="O575">
        <v>7</v>
      </c>
      <c r="P575">
        <v>10</v>
      </c>
      <c r="Q575" t="str">
        <f t="shared" si="32"/>
        <v>Weekday</v>
      </c>
      <c r="R575" t="str">
        <f t="shared" si="33"/>
        <v>Low</v>
      </c>
      <c r="S575" s="10" t="str">
        <f t="shared" si="34"/>
        <v>Light Rain/Snow</v>
      </c>
      <c r="T575" s="10" t="str">
        <f t="shared" si="35"/>
        <v>Cold</v>
      </c>
    </row>
    <row r="576" spans="1:20" x14ac:dyDescent="0.3">
      <c r="A576">
        <v>575</v>
      </c>
      <c r="B576" t="s">
        <v>41</v>
      </c>
      <c r="C576">
        <v>1</v>
      </c>
      <c r="D576">
        <v>0</v>
      </c>
      <c r="E576">
        <v>1</v>
      </c>
      <c r="F576">
        <v>5</v>
      </c>
      <c r="G576" t="b">
        <v>0</v>
      </c>
      <c r="H576">
        <v>3</v>
      </c>
      <c r="I576">
        <v>3</v>
      </c>
      <c r="J576">
        <v>0.2</v>
      </c>
      <c r="K576">
        <v>0.18179999999999999</v>
      </c>
      <c r="L576">
        <v>0.86</v>
      </c>
      <c r="M576">
        <v>0.28360000000000002</v>
      </c>
      <c r="N576">
        <v>0</v>
      </c>
      <c r="O576">
        <v>1</v>
      </c>
      <c r="P576">
        <v>1</v>
      </c>
      <c r="Q576" t="str">
        <f t="shared" si="32"/>
        <v>Weekday</v>
      </c>
      <c r="R576" t="str">
        <f t="shared" si="33"/>
        <v>Low</v>
      </c>
      <c r="S576" s="10" t="str">
        <f t="shared" si="34"/>
        <v>Light Rain/Snow</v>
      </c>
      <c r="T576" s="10" t="str">
        <f t="shared" si="35"/>
        <v>Cold</v>
      </c>
    </row>
    <row r="577" spans="1:20" x14ac:dyDescent="0.3">
      <c r="A577">
        <v>576</v>
      </c>
      <c r="B577" t="s">
        <v>41</v>
      </c>
      <c r="C577">
        <v>1</v>
      </c>
      <c r="D577">
        <v>0</v>
      </c>
      <c r="E577">
        <v>1</v>
      </c>
      <c r="F577">
        <v>6</v>
      </c>
      <c r="G577" t="b">
        <v>0</v>
      </c>
      <c r="H577">
        <v>3</v>
      </c>
      <c r="I577">
        <v>3</v>
      </c>
      <c r="J577">
        <v>0.2</v>
      </c>
      <c r="K577">
        <v>0.18179999999999999</v>
      </c>
      <c r="L577">
        <v>0.86</v>
      </c>
      <c r="M577">
        <v>0.28360000000000002</v>
      </c>
      <c r="N577">
        <v>0</v>
      </c>
      <c r="O577">
        <v>8</v>
      </c>
      <c r="P577">
        <v>8</v>
      </c>
      <c r="Q577" t="str">
        <f t="shared" si="32"/>
        <v>Weekday</v>
      </c>
      <c r="R577" t="str">
        <f t="shared" si="33"/>
        <v>Low</v>
      </c>
      <c r="S577" s="10" t="str">
        <f t="shared" si="34"/>
        <v>Light Rain/Snow</v>
      </c>
      <c r="T577" s="10" t="str">
        <f t="shared" si="35"/>
        <v>Cold</v>
      </c>
    </row>
    <row r="578" spans="1:20" x14ac:dyDescent="0.3">
      <c r="A578">
        <v>577</v>
      </c>
      <c r="B578" t="s">
        <v>41</v>
      </c>
      <c r="C578">
        <v>1</v>
      </c>
      <c r="D578">
        <v>0</v>
      </c>
      <c r="E578">
        <v>1</v>
      </c>
      <c r="F578">
        <v>7</v>
      </c>
      <c r="G578" t="b">
        <v>0</v>
      </c>
      <c r="H578">
        <v>3</v>
      </c>
      <c r="I578">
        <v>3</v>
      </c>
      <c r="J578">
        <v>0.22</v>
      </c>
      <c r="K578">
        <v>0.21210000000000001</v>
      </c>
      <c r="L578">
        <v>0.87</v>
      </c>
      <c r="M578">
        <v>0.29849999999999999</v>
      </c>
      <c r="N578">
        <v>1</v>
      </c>
      <c r="O578">
        <v>29</v>
      </c>
      <c r="P578">
        <v>30</v>
      </c>
      <c r="Q578" t="str">
        <f t="shared" ref="Q578:Q641" si="36">IF(G578=TRUE,"Holiday",IF(H578=0,"Weekend","Weekday"))</f>
        <v>Weekday</v>
      </c>
      <c r="R578" t="str">
        <f t="shared" ref="R578:R641" si="37">IF(P578&lt;50,"Low",IF(P578&lt;150,"Medium","High"))</f>
        <v>Low</v>
      </c>
      <c r="S578" s="10" t="str">
        <f t="shared" si="34"/>
        <v>Light Rain/Snow</v>
      </c>
      <c r="T578" s="10" t="str">
        <f t="shared" si="35"/>
        <v>Cold</v>
      </c>
    </row>
    <row r="579" spans="1:20" x14ac:dyDescent="0.3">
      <c r="A579">
        <v>578</v>
      </c>
      <c r="B579" t="s">
        <v>41</v>
      </c>
      <c r="C579">
        <v>1</v>
      </c>
      <c r="D579">
        <v>0</v>
      </c>
      <c r="E579">
        <v>1</v>
      </c>
      <c r="F579">
        <v>8</v>
      </c>
      <c r="G579" t="b">
        <v>0</v>
      </c>
      <c r="H579">
        <v>3</v>
      </c>
      <c r="I579">
        <v>3</v>
      </c>
      <c r="J579">
        <v>0.22</v>
      </c>
      <c r="K579">
        <v>0.21210000000000001</v>
      </c>
      <c r="L579">
        <v>0.87</v>
      </c>
      <c r="M579">
        <v>0.29849999999999999</v>
      </c>
      <c r="N579">
        <v>3</v>
      </c>
      <c r="O579">
        <v>69</v>
      </c>
      <c r="P579">
        <v>72</v>
      </c>
      <c r="Q579" t="str">
        <f t="shared" si="36"/>
        <v>Weekday</v>
      </c>
      <c r="R579" t="str">
        <f t="shared" si="37"/>
        <v>Medium</v>
      </c>
      <c r="S579" s="10" t="str">
        <f t="shared" ref="S579:S642" si="38">IF(I579=1,"Clear",IF(I579=2,"Mist/Cloudy",IF(I579=3,"Light Rain/Snow","Heavy Rain/Ice")))</f>
        <v>Light Rain/Snow</v>
      </c>
      <c r="T579" s="10" t="str">
        <f t="shared" ref="T579:T642" si="39">IF(J579&lt;0.3,"Cold","Warm")</f>
        <v>Cold</v>
      </c>
    </row>
    <row r="580" spans="1:20" x14ac:dyDescent="0.3">
      <c r="A580">
        <v>579</v>
      </c>
      <c r="B580" t="s">
        <v>41</v>
      </c>
      <c r="C580">
        <v>1</v>
      </c>
      <c r="D580">
        <v>0</v>
      </c>
      <c r="E580">
        <v>1</v>
      </c>
      <c r="F580">
        <v>9</v>
      </c>
      <c r="G580" t="b">
        <v>0</v>
      </c>
      <c r="H580">
        <v>3</v>
      </c>
      <c r="I580">
        <v>3</v>
      </c>
      <c r="J580">
        <v>0.22</v>
      </c>
      <c r="K580">
        <v>0.21210000000000001</v>
      </c>
      <c r="L580">
        <v>0.87</v>
      </c>
      <c r="M580">
        <v>0.29849999999999999</v>
      </c>
      <c r="N580">
        <v>3</v>
      </c>
      <c r="O580">
        <v>55</v>
      </c>
      <c r="P580">
        <v>58</v>
      </c>
      <c r="Q580" t="str">
        <f t="shared" si="36"/>
        <v>Weekday</v>
      </c>
      <c r="R580" t="str">
        <f t="shared" si="37"/>
        <v>Medium</v>
      </c>
      <c r="S580" s="10" t="str">
        <f t="shared" si="38"/>
        <v>Light Rain/Snow</v>
      </c>
      <c r="T580" s="10" t="str">
        <f t="shared" si="39"/>
        <v>Cold</v>
      </c>
    </row>
    <row r="581" spans="1:20" x14ac:dyDescent="0.3">
      <c r="A581">
        <v>580</v>
      </c>
      <c r="B581" t="s">
        <v>41</v>
      </c>
      <c r="C581">
        <v>1</v>
      </c>
      <c r="D581">
        <v>0</v>
      </c>
      <c r="E581">
        <v>1</v>
      </c>
      <c r="F581">
        <v>10</v>
      </c>
      <c r="G581" t="b">
        <v>0</v>
      </c>
      <c r="H581">
        <v>3</v>
      </c>
      <c r="I581">
        <v>3</v>
      </c>
      <c r="J581">
        <v>0.22</v>
      </c>
      <c r="K581">
        <v>0.21210000000000001</v>
      </c>
      <c r="L581">
        <v>0.93</v>
      </c>
      <c r="M581">
        <v>0.28360000000000002</v>
      </c>
      <c r="N581">
        <v>2</v>
      </c>
      <c r="O581">
        <v>26</v>
      </c>
      <c r="P581">
        <v>28</v>
      </c>
      <c r="Q581" t="str">
        <f t="shared" si="36"/>
        <v>Weekday</v>
      </c>
      <c r="R581" t="str">
        <f t="shared" si="37"/>
        <v>Low</v>
      </c>
      <c r="S581" s="10" t="str">
        <f t="shared" si="38"/>
        <v>Light Rain/Snow</v>
      </c>
      <c r="T581" s="10" t="str">
        <f t="shared" si="39"/>
        <v>Cold</v>
      </c>
    </row>
    <row r="582" spans="1:20" x14ac:dyDescent="0.3">
      <c r="A582">
        <v>581</v>
      </c>
      <c r="B582" t="s">
        <v>41</v>
      </c>
      <c r="C582">
        <v>1</v>
      </c>
      <c r="D582">
        <v>0</v>
      </c>
      <c r="E582">
        <v>1</v>
      </c>
      <c r="F582">
        <v>11</v>
      </c>
      <c r="G582" t="b">
        <v>0</v>
      </c>
      <c r="H582">
        <v>3</v>
      </c>
      <c r="I582">
        <v>3</v>
      </c>
      <c r="J582">
        <v>0.22</v>
      </c>
      <c r="K582">
        <v>0.19700000000000001</v>
      </c>
      <c r="L582">
        <v>0.93</v>
      </c>
      <c r="M582">
        <v>0.32840000000000003</v>
      </c>
      <c r="N582">
        <v>6</v>
      </c>
      <c r="O582">
        <v>35</v>
      </c>
      <c r="P582">
        <v>41</v>
      </c>
      <c r="Q582" t="str">
        <f t="shared" si="36"/>
        <v>Weekday</v>
      </c>
      <c r="R582" t="str">
        <f t="shared" si="37"/>
        <v>Low</v>
      </c>
      <c r="S582" s="10" t="str">
        <f t="shared" si="38"/>
        <v>Light Rain/Snow</v>
      </c>
      <c r="T582" s="10" t="str">
        <f t="shared" si="39"/>
        <v>Cold</v>
      </c>
    </row>
    <row r="583" spans="1:20" x14ac:dyDescent="0.3">
      <c r="A583">
        <v>582</v>
      </c>
      <c r="B583" t="s">
        <v>41</v>
      </c>
      <c r="C583">
        <v>1</v>
      </c>
      <c r="D583">
        <v>0</v>
      </c>
      <c r="E583">
        <v>1</v>
      </c>
      <c r="F583">
        <v>12</v>
      </c>
      <c r="G583" t="b">
        <v>0</v>
      </c>
      <c r="H583">
        <v>3</v>
      </c>
      <c r="I583">
        <v>3</v>
      </c>
      <c r="J583">
        <v>0.22</v>
      </c>
      <c r="K583">
        <v>0.19700000000000001</v>
      </c>
      <c r="L583">
        <v>0.93</v>
      </c>
      <c r="M583">
        <v>0.32840000000000003</v>
      </c>
      <c r="N583">
        <v>7</v>
      </c>
      <c r="O583">
        <v>41</v>
      </c>
      <c r="P583">
        <v>48</v>
      </c>
      <c r="Q583" t="str">
        <f t="shared" si="36"/>
        <v>Weekday</v>
      </c>
      <c r="R583" t="str">
        <f t="shared" si="37"/>
        <v>Low</v>
      </c>
      <c r="S583" s="10" t="str">
        <f t="shared" si="38"/>
        <v>Light Rain/Snow</v>
      </c>
      <c r="T583" s="10" t="str">
        <f t="shared" si="39"/>
        <v>Cold</v>
      </c>
    </row>
    <row r="584" spans="1:20" x14ac:dyDescent="0.3">
      <c r="A584">
        <v>583</v>
      </c>
      <c r="B584" t="s">
        <v>41</v>
      </c>
      <c r="C584">
        <v>1</v>
      </c>
      <c r="D584">
        <v>0</v>
      </c>
      <c r="E584">
        <v>1</v>
      </c>
      <c r="F584">
        <v>13</v>
      </c>
      <c r="G584" t="b">
        <v>0</v>
      </c>
      <c r="H584">
        <v>3</v>
      </c>
      <c r="I584">
        <v>3</v>
      </c>
      <c r="J584">
        <v>0.22</v>
      </c>
      <c r="K584">
        <v>0.19700000000000001</v>
      </c>
      <c r="L584">
        <v>0.93</v>
      </c>
      <c r="M584">
        <v>0.32840000000000003</v>
      </c>
      <c r="N584">
        <v>4</v>
      </c>
      <c r="O584">
        <v>43</v>
      </c>
      <c r="P584">
        <v>47</v>
      </c>
      <c r="Q584" t="str">
        <f t="shared" si="36"/>
        <v>Weekday</v>
      </c>
      <c r="R584" t="str">
        <f t="shared" si="37"/>
        <v>Low</v>
      </c>
      <c r="S584" s="10" t="str">
        <f t="shared" si="38"/>
        <v>Light Rain/Snow</v>
      </c>
      <c r="T584" s="10" t="str">
        <f t="shared" si="39"/>
        <v>Cold</v>
      </c>
    </row>
    <row r="585" spans="1:20" x14ac:dyDescent="0.3">
      <c r="A585">
        <v>584</v>
      </c>
      <c r="B585" t="s">
        <v>41</v>
      </c>
      <c r="C585">
        <v>1</v>
      </c>
      <c r="D585">
        <v>0</v>
      </c>
      <c r="E585">
        <v>1</v>
      </c>
      <c r="F585">
        <v>14</v>
      </c>
      <c r="G585" t="b">
        <v>0</v>
      </c>
      <c r="H585">
        <v>3</v>
      </c>
      <c r="I585">
        <v>3</v>
      </c>
      <c r="J585">
        <v>0.22</v>
      </c>
      <c r="K585">
        <v>0.19700000000000001</v>
      </c>
      <c r="L585">
        <v>0.93</v>
      </c>
      <c r="M585">
        <v>0.35820000000000002</v>
      </c>
      <c r="N585">
        <v>0</v>
      </c>
      <c r="O585">
        <v>36</v>
      </c>
      <c r="P585">
        <v>36</v>
      </c>
      <c r="Q585" t="str">
        <f t="shared" si="36"/>
        <v>Weekday</v>
      </c>
      <c r="R585" t="str">
        <f t="shared" si="37"/>
        <v>Low</v>
      </c>
      <c r="S585" s="10" t="str">
        <f t="shared" si="38"/>
        <v>Light Rain/Snow</v>
      </c>
      <c r="T585" s="10" t="str">
        <f t="shared" si="39"/>
        <v>Cold</v>
      </c>
    </row>
    <row r="586" spans="1:20" x14ac:dyDescent="0.3">
      <c r="A586">
        <v>585</v>
      </c>
      <c r="B586" t="s">
        <v>41</v>
      </c>
      <c r="C586">
        <v>1</v>
      </c>
      <c r="D586">
        <v>0</v>
      </c>
      <c r="E586">
        <v>1</v>
      </c>
      <c r="F586">
        <v>15</v>
      </c>
      <c r="G586" t="b">
        <v>0</v>
      </c>
      <c r="H586">
        <v>3</v>
      </c>
      <c r="I586">
        <v>3</v>
      </c>
      <c r="J586">
        <v>0.22</v>
      </c>
      <c r="K586">
        <v>0.18179999999999999</v>
      </c>
      <c r="L586">
        <v>0.93</v>
      </c>
      <c r="M586">
        <v>0.4627</v>
      </c>
      <c r="N586">
        <v>1</v>
      </c>
      <c r="O586">
        <v>42</v>
      </c>
      <c r="P586">
        <v>43</v>
      </c>
      <c r="Q586" t="str">
        <f t="shared" si="36"/>
        <v>Weekday</v>
      </c>
      <c r="R586" t="str">
        <f t="shared" si="37"/>
        <v>Low</v>
      </c>
      <c r="S586" s="10" t="str">
        <f t="shared" si="38"/>
        <v>Light Rain/Snow</v>
      </c>
      <c r="T586" s="10" t="str">
        <f t="shared" si="39"/>
        <v>Cold</v>
      </c>
    </row>
    <row r="587" spans="1:20" x14ac:dyDescent="0.3">
      <c r="A587">
        <v>586</v>
      </c>
      <c r="B587" t="s">
        <v>41</v>
      </c>
      <c r="C587">
        <v>1</v>
      </c>
      <c r="D587">
        <v>0</v>
      </c>
      <c r="E587">
        <v>1</v>
      </c>
      <c r="F587">
        <v>16</v>
      </c>
      <c r="G587" t="b">
        <v>0</v>
      </c>
      <c r="H587">
        <v>3</v>
      </c>
      <c r="I587">
        <v>4</v>
      </c>
      <c r="J587">
        <v>0.22</v>
      </c>
      <c r="K587">
        <v>0.19700000000000001</v>
      </c>
      <c r="L587">
        <v>0.93</v>
      </c>
      <c r="M587">
        <v>0.32840000000000003</v>
      </c>
      <c r="N587">
        <v>1</v>
      </c>
      <c r="O587">
        <v>35</v>
      </c>
      <c r="P587">
        <v>36</v>
      </c>
      <c r="Q587" t="str">
        <f t="shared" si="36"/>
        <v>Weekday</v>
      </c>
      <c r="R587" t="str">
        <f t="shared" si="37"/>
        <v>Low</v>
      </c>
      <c r="S587" s="10" t="str">
        <f t="shared" si="38"/>
        <v>Heavy Rain/Ice</v>
      </c>
      <c r="T587" s="10" t="str">
        <f t="shared" si="39"/>
        <v>Cold</v>
      </c>
    </row>
    <row r="588" spans="1:20" x14ac:dyDescent="0.3">
      <c r="A588">
        <v>587</v>
      </c>
      <c r="B588" t="s">
        <v>41</v>
      </c>
      <c r="C588">
        <v>1</v>
      </c>
      <c r="D588">
        <v>0</v>
      </c>
      <c r="E588">
        <v>1</v>
      </c>
      <c r="F588">
        <v>17</v>
      </c>
      <c r="G588" t="b">
        <v>0</v>
      </c>
      <c r="H588">
        <v>3</v>
      </c>
      <c r="I588">
        <v>3</v>
      </c>
      <c r="J588">
        <v>0.2</v>
      </c>
      <c r="K588">
        <v>0.18179999999999999</v>
      </c>
      <c r="L588">
        <v>0.93</v>
      </c>
      <c r="M588">
        <v>0.35820000000000002</v>
      </c>
      <c r="N588">
        <v>0</v>
      </c>
      <c r="O588">
        <v>26</v>
      </c>
      <c r="P588">
        <v>26</v>
      </c>
      <c r="Q588" t="str">
        <f t="shared" si="36"/>
        <v>Weekday</v>
      </c>
      <c r="R588" t="str">
        <f t="shared" si="37"/>
        <v>Low</v>
      </c>
      <c r="S588" s="10" t="str">
        <f t="shared" si="38"/>
        <v>Light Rain/Snow</v>
      </c>
      <c r="T588" s="10" t="str">
        <f t="shared" si="39"/>
        <v>Cold</v>
      </c>
    </row>
    <row r="589" spans="1:20" x14ac:dyDescent="0.3">
      <c r="A589">
        <v>588</v>
      </c>
      <c r="B589" t="s">
        <v>42</v>
      </c>
      <c r="C589">
        <v>1</v>
      </c>
      <c r="D589">
        <v>0</v>
      </c>
      <c r="E589">
        <v>1</v>
      </c>
      <c r="F589">
        <v>16</v>
      </c>
      <c r="G589" t="b">
        <v>0</v>
      </c>
      <c r="H589">
        <v>4</v>
      </c>
      <c r="I589">
        <v>1</v>
      </c>
      <c r="J589">
        <v>0.22</v>
      </c>
      <c r="K589">
        <v>0.2273</v>
      </c>
      <c r="L589">
        <v>0.55000000000000004</v>
      </c>
      <c r="M589">
        <v>0.19400000000000001</v>
      </c>
      <c r="N589">
        <v>1</v>
      </c>
      <c r="O589">
        <v>23</v>
      </c>
      <c r="P589">
        <v>24</v>
      </c>
      <c r="Q589" t="str">
        <f t="shared" si="36"/>
        <v>Weekday</v>
      </c>
      <c r="R589" t="str">
        <f t="shared" si="37"/>
        <v>Low</v>
      </c>
      <c r="S589" s="10" t="str">
        <f t="shared" si="38"/>
        <v>Clear</v>
      </c>
      <c r="T589" s="10" t="str">
        <f t="shared" si="39"/>
        <v>Cold</v>
      </c>
    </row>
    <row r="590" spans="1:20" x14ac:dyDescent="0.3">
      <c r="A590">
        <v>589</v>
      </c>
      <c r="B590" t="s">
        <v>42</v>
      </c>
      <c r="C590">
        <v>1</v>
      </c>
      <c r="D590">
        <v>0</v>
      </c>
      <c r="E590">
        <v>1</v>
      </c>
      <c r="F590">
        <v>17</v>
      </c>
      <c r="G590" t="b">
        <v>0</v>
      </c>
      <c r="H590">
        <v>4</v>
      </c>
      <c r="I590">
        <v>1</v>
      </c>
      <c r="J590">
        <v>0.22</v>
      </c>
      <c r="K590">
        <v>0.2424</v>
      </c>
      <c r="L590">
        <v>0.55000000000000004</v>
      </c>
      <c r="M590">
        <v>0.1045</v>
      </c>
      <c r="N590">
        <v>2</v>
      </c>
      <c r="O590">
        <v>82</v>
      </c>
      <c r="P590">
        <v>84</v>
      </c>
      <c r="Q590" t="str">
        <f t="shared" si="36"/>
        <v>Weekday</v>
      </c>
      <c r="R590" t="str">
        <f t="shared" si="37"/>
        <v>Medium</v>
      </c>
      <c r="S590" s="10" t="str">
        <f t="shared" si="38"/>
        <v>Clear</v>
      </c>
      <c r="T590" s="10" t="str">
        <f t="shared" si="39"/>
        <v>Cold</v>
      </c>
    </row>
    <row r="591" spans="1:20" x14ac:dyDescent="0.3">
      <c r="A591">
        <v>590</v>
      </c>
      <c r="B591" t="s">
        <v>42</v>
      </c>
      <c r="C591">
        <v>1</v>
      </c>
      <c r="D591">
        <v>0</v>
      </c>
      <c r="E591">
        <v>1</v>
      </c>
      <c r="F591">
        <v>18</v>
      </c>
      <c r="G591" t="b">
        <v>0</v>
      </c>
      <c r="H591">
        <v>4</v>
      </c>
      <c r="I591">
        <v>1</v>
      </c>
      <c r="J591">
        <v>0.2</v>
      </c>
      <c r="K591">
        <v>0.2273</v>
      </c>
      <c r="L591">
        <v>0.69</v>
      </c>
      <c r="M591">
        <v>8.9599999999999999E-2</v>
      </c>
      <c r="N591">
        <v>3</v>
      </c>
      <c r="O591">
        <v>101</v>
      </c>
      <c r="P591">
        <v>104</v>
      </c>
      <c r="Q591" t="str">
        <f t="shared" si="36"/>
        <v>Weekday</v>
      </c>
      <c r="R591" t="str">
        <f t="shared" si="37"/>
        <v>Medium</v>
      </c>
      <c r="S591" s="10" t="str">
        <f t="shared" si="38"/>
        <v>Clear</v>
      </c>
      <c r="T591" s="10" t="str">
        <f t="shared" si="39"/>
        <v>Cold</v>
      </c>
    </row>
    <row r="592" spans="1:20" x14ac:dyDescent="0.3">
      <c r="A592">
        <v>591</v>
      </c>
      <c r="B592" t="s">
        <v>42</v>
      </c>
      <c r="C592">
        <v>1</v>
      </c>
      <c r="D592">
        <v>0</v>
      </c>
      <c r="E592">
        <v>1</v>
      </c>
      <c r="F592">
        <v>19</v>
      </c>
      <c r="G592" t="b">
        <v>0</v>
      </c>
      <c r="H592">
        <v>4</v>
      </c>
      <c r="I592">
        <v>1</v>
      </c>
      <c r="J592">
        <v>0.2</v>
      </c>
      <c r="K592">
        <v>0.2273</v>
      </c>
      <c r="L592">
        <v>0.69</v>
      </c>
      <c r="M592">
        <v>8.9599999999999999E-2</v>
      </c>
      <c r="N592">
        <v>3</v>
      </c>
      <c r="O592">
        <v>76</v>
      </c>
      <c r="P592">
        <v>79</v>
      </c>
      <c r="Q592" t="str">
        <f t="shared" si="36"/>
        <v>Weekday</v>
      </c>
      <c r="R592" t="str">
        <f t="shared" si="37"/>
        <v>Medium</v>
      </c>
      <c r="S592" s="10" t="str">
        <f t="shared" si="38"/>
        <v>Clear</v>
      </c>
      <c r="T592" s="10" t="str">
        <f t="shared" si="39"/>
        <v>Cold</v>
      </c>
    </row>
    <row r="593" spans="1:20" x14ac:dyDescent="0.3">
      <c r="A593">
        <v>592</v>
      </c>
      <c r="B593" t="s">
        <v>42</v>
      </c>
      <c r="C593">
        <v>1</v>
      </c>
      <c r="D593">
        <v>0</v>
      </c>
      <c r="E593">
        <v>1</v>
      </c>
      <c r="F593">
        <v>20</v>
      </c>
      <c r="G593" t="b">
        <v>0</v>
      </c>
      <c r="H593">
        <v>4</v>
      </c>
      <c r="I593">
        <v>1</v>
      </c>
      <c r="J593">
        <v>0.18</v>
      </c>
      <c r="K593">
        <v>0.21210000000000001</v>
      </c>
      <c r="L593">
        <v>0.74</v>
      </c>
      <c r="M593">
        <v>8.9599999999999999E-2</v>
      </c>
      <c r="N593">
        <v>4</v>
      </c>
      <c r="O593">
        <v>55</v>
      </c>
      <c r="P593">
        <v>59</v>
      </c>
      <c r="Q593" t="str">
        <f t="shared" si="36"/>
        <v>Weekday</v>
      </c>
      <c r="R593" t="str">
        <f t="shared" si="37"/>
        <v>Medium</v>
      </c>
      <c r="S593" s="10" t="str">
        <f t="shared" si="38"/>
        <v>Clear</v>
      </c>
      <c r="T593" s="10" t="str">
        <f t="shared" si="39"/>
        <v>Cold</v>
      </c>
    </row>
    <row r="594" spans="1:20" x14ac:dyDescent="0.3">
      <c r="A594">
        <v>593</v>
      </c>
      <c r="B594" t="s">
        <v>42</v>
      </c>
      <c r="C594">
        <v>1</v>
      </c>
      <c r="D594">
        <v>0</v>
      </c>
      <c r="E594">
        <v>1</v>
      </c>
      <c r="F594">
        <v>21</v>
      </c>
      <c r="G594" t="b">
        <v>0</v>
      </c>
      <c r="H594">
        <v>4</v>
      </c>
      <c r="I594">
        <v>1</v>
      </c>
      <c r="J594">
        <v>0.18</v>
      </c>
      <c r="K594">
        <v>0.21210000000000001</v>
      </c>
      <c r="L594">
        <v>0.74</v>
      </c>
      <c r="M594">
        <v>8.9599999999999999E-2</v>
      </c>
      <c r="N594">
        <v>2</v>
      </c>
      <c r="O594">
        <v>36</v>
      </c>
      <c r="P594">
        <v>38</v>
      </c>
      <c r="Q594" t="str">
        <f t="shared" si="36"/>
        <v>Weekday</v>
      </c>
      <c r="R594" t="str">
        <f t="shared" si="37"/>
        <v>Low</v>
      </c>
      <c r="S594" s="10" t="str">
        <f t="shared" si="38"/>
        <v>Clear</v>
      </c>
      <c r="T594" s="10" t="str">
        <f t="shared" si="39"/>
        <v>Cold</v>
      </c>
    </row>
    <row r="595" spans="1:20" x14ac:dyDescent="0.3">
      <c r="A595">
        <v>594</v>
      </c>
      <c r="B595" t="s">
        <v>42</v>
      </c>
      <c r="C595">
        <v>1</v>
      </c>
      <c r="D595">
        <v>0</v>
      </c>
      <c r="E595">
        <v>1</v>
      </c>
      <c r="F595">
        <v>22</v>
      </c>
      <c r="G595" t="b">
        <v>0</v>
      </c>
      <c r="H595">
        <v>4</v>
      </c>
      <c r="I595">
        <v>1</v>
      </c>
      <c r="J595">
        <v>0.18</v>
      </c>
      <c r="K595">
        <v>0.21210000000000001</v>
      </c>
      <c r="L595">
        <v>0.74</v>
      </c>
      <c r="M595">
        <v>8.9599999999999999E-2</v>
      </c>
      <c r="N595">
        <v>0</v>
      </c>
      <c r="O595">
        <v>27</v>
      </c>
      <c r="P595">
        <v>27</v>
      </c>
      <c r="Q595" t="str">
        <f t="shared" si="36"/>
        <v>Weekday</v>
      </c>
      <c r="R595" t="str">
        <f t="shared" si="37"/>
        <v>Low</v>
      </c>
      <c r="S595" s="10" t="str">
        <f t="shared" si="38"/>
        <v>Clear</v>
      </c>
      <c r="T595" s="10" t="str">
        <f t="shared" si="39"/>
        <v>Cold</v>
      </c>
    </row>
    <row r="596" spans="1:20" x14ac:dyDescent="0.3">
      <c r="A596">
        <v>595</v>
      </c>
      <c r="B596" t="s">
        <v>42</v>
      </c>
      <c r="C596">
        <v>1</v>
      </c>
      <c r="D596">
        <v>0</v>
      </c>
      <c r="E596">
        <v>1</v>
      </c>
      <c r="F596">
        <v>23</v>
      </c>
      <c r="G596" t="b">
        <v>0</v>
      </c>
      <c r="H596">
        <v>4</v>
      </c>
      <c r="I596">
        <v>1</v>
      </c>
      <c r="J596">
        <v>0.18</v>
      </c>
      <c r="K596">
        <v>0.19700000000000001</v>
      </c>
      <c r="L596">
        <v>0.8</v>
      </c>
      <c r="M596">
        <v>0.16420000000000001</v>
      </c>
      <c r="N596">
        <v>0</v>
      </c>
      <c r="O596">
        <v>16</v>
      </c>
      <c r="P596">
        <v>16</v>
      </c>
      <c r="Q596" t="str">
        <f t="shared" si="36"/>
        <v>Weekday</v>
      </c>
      <c r="R596" t="str">
        <f t="shared" si="37"/>
        <v>Low</v>
      </c>
      <c r="S596" s="10" t="str">
        <f t="shared" si="38"/>
        <v>Clear</v>
      </c>
      <c r="T596" s="10" t="str">
        <f t="shared" si="39"/>
        <v>Cold</v>
      </c>
    </row>
    <row r="597" spans="1:20" x14ac:dyDescent="0.3">
      <c r="A597">
        <v>596</v>
      </c>
      <c r="B597" t="s">
        <v>43</v>
      </c>
      <c r="C597">
        <v>1</v>
      </c>
      <c r="D597">
        <v>0</v>
      </c>
      <c r="E597">
        <v>1</v>
      </c>
      <c r="F597">
        <v>0</v>
      </c>
      <c r="G597" t="b">
        <v>0</v>
      </c>
      <c r="H597">
        <v>5</v>
      </c>
      <c r="I597">
        <v>2</v>
      </c>
      <c r="J597">
        <v>0.2</v>
      </c>
      <c r="K597">
        <v>0.21210000000000001</v>
      </c>
      <c r="L597">
        <v>0.75</v>
      </c>
      <c r="M597">
        <v>0.1343</v>
      </c>
      <c r="N597">
        <v>0</v>
      </c>
      <c r="O597">
        <v>9</v>
      </c>
      <c r="P597">
        <v>9</v>
      </c>
      <c r="Q597" t="str">
        <f t="shared" si="36"/>
        <v>Weekday</v>
      </c>
      <c r="R597" t="str">
        <f t="shared" si="37"/>
        <v>Low</v>
      </c>
      <c r="S597" s="10" t="str">
        <f t="shared" si="38"/>
        <v>Mist/Cloudy</v>
      </c>
      <c r="T597" s="10" t="str">
        <f t="shared" si="39"/>
        <v>Cold</v>
      </c>
    </row>
    <row r="598" spans="1:20" x14ac:dyDescent="0.3">
      <c r="A598">
        <v>597</v>
      </c>
      <c r="B598" t="s">
        <v>43</v>
      </c>
      <c r="C598">
        <v>1</v>
      </c>
      <c r="D598">
        <v>0</v>
      </c>
      <c r="E598">
        <v>1</v>
      </c>
      <c r="F598">
        <v>1</v>
      </c>
      <c r="G598" t="b">
        <v>0</v>
      </c>
      <c r="H598">
        <v>5</v>
      </c>
      <c r="I598">
        <v>2</v>
      </c>
      <c r="J598">
        <v>0.2</v>
      </c>
      <c r="K598">
        <v>0.21210000000000001</v>
      </c>
      <c r="L598">
        <v>0.75</v>
      </c>
      <c r="M598">
        <v>0.1343</v>
      </c>
      <c r="N598">
        <v>1</v>
      </c>
      <c r="O598">
        <v>2</v>
      </c>
      <c r="P598">
        <v>3</v>
      </c>
      <c r="Q598" t="str">
        <f t="shared" si="36"/>
        <v>Weekday</v>
      </c>
      <c r="R598" t="str">
        <f t="shared" si="37"/>
        <v>Low</v>
      </c>
      <c r="S598" s="10" t="str">
        <f t="shared" si="38"/>
        <v>Mist/Cloudy</v>
      </c>
      <c r="T598" s="10" t="str">
        <f t="shared" si="39"/>
        <v>Cold</v>
      </c>
    </row>
    <row r="599" spans="1:20" x14ac:dyDescent="0.3">
      <c r="A599">
        <v>598</v>
      </c>
      <c r="B599" t="s">
        <v>43</v>
      </c>
      <c r="C599">
        <v>1</v>
      </c>
      <c r="D599">
        <v>0</v>
      </c>
      <c r="E599">
        <v>1</v>
      </c>
      <c r="F599">
        <v>2</v>
      </c>
      <c r="G599" t="b">
        <v>0</v>
      </c>
      <c r="H599">
        <v>5</v>
      </c>
      <c r="I599">
        <v>2</v>
      </c>
      <c r="J599">
        <v>0.2</v>
      </c>
      <c r="K599">
        <v>0.21210000000000001</v>
      </c>
      <c r="L599">
        <v>0.75</v>
      </c>
      <c r="M599">
        <v>0.16420000000000001</v>
      </c>
      <c r="N599">
        <v>0</v>
      </c>
      <c r="O599">
        <v>2</v>
      </c>
      <c r="P599">
        <v>2</v>
      </c>
      <c r="Q599" t="str">
        <f t="shared" si="36"/>
        <v>Weekday</v>
      </c>
      <c r="R599" t="str">
        <f t="shared" si="37"/>
        <v>Low</v>
      </c>
      <c r="S599" s="10" t="str">
        <f t="shared" si="38"/>
        <v>Mist/Cloudy</v>
      </c>
      <c r="T599" s="10" t="str">
        <f t="shared" si="39"/>
        <v>Cold</v>
      </c>
    </row>
    <row r="600" spans="1:20" x14ac:dyDescent="0.3">
      <c r="A600">
        <v>599</v>
      </c>
      <c r="B600" t="s">
        <v>43</v>
      </c>
      <c r="C600">
        <v>1</v>
      </c>
      <c r="D600">
        <v>0</v>
      </c>
      <c r="E600">
        <v>1</v>
      </c>
      <c r="F600">
        <v>3</v>
      </c>
      <c r="G600" t="b">
        <v>0</v>
      </c>
      <c r="H600">
        <v>5</v>
      </c>
      <c r="I600">
        <v>2</v>
      </c>
      <c r="J600">
        <v>0.2</v>
      </c>
      <c r="K600">
        <v>0.2273</v>
      </c>
      <c r="L600">
        <v>0.75</v>
      </c>
      <c r="M600">
        <v>0.1045</v>
      </c>
      <c r="N600">
        <v>1</v>
      </c>
      <c r="O600">
        <v>0</v>
      </c>
      <c r="P600">
        <v>1</v>
      </c>
      <c r="Q600" t="str">
        <f t="shared" si="36"/>
        <v>Weekday</v>
      </c>
      <c r="R600" t="str">
        <f t="shared" si="37"/>
        <v>Low</v>
      </c>
      <c r="S600" s="10" t="str">
        <f t="shared" si="38"/>
        <v>Mist/Cloudy</v>
      </c>
      <c r="T600" s="10" t="str">
        <f t="shared" si="39"/>
        <v>Cold</v>
      </c>
    </row>
    <row r="601" spans="1:20" x14ac:dyDescent="0.3">
      <c r="A601">
        <v>600</v>
      </c>
      <c r="B601" t="s">
        <v>43</v>
      </c>
      <c r="C601">
        <v>1</v>
      </c>
      <c r="D601">
        <v>0</v>
      </c>
      <c r="E601">
        <v>1</v>
      </c>
      <c r="F601">
        <v>5</v>
      </c>
      <c r="G601" t="b">
        <v>0</v>
      </c>
      <c r="H601">
        <v>5</v>
      </c>
      <c r="I601">
        <v>2</v>
      </c>
      <c r="J601">
        <v>0.18</v>
      </c>
      <c r="K601">
        <v>0.21210000000000001</v>
      </c>
      <c r="L601">
        <v>0.8</v>
      </c>
      <c r="M601">
        <v>0.1045</v>
      </c>
      <c r="N601">
        <v>0</v>
      </c>
      <c r="O601">
        <v>4</v>
      </c>
      <c r="P601">
        <v>4</v>
      </c>
      <c r="Q601" t="str">
        <f t="shared" si="36"/>
        <v>Weekday</v>
      </c>
      <c r="R601" t="str">
        <f t="shared" si="37"/>
        <v>Low</v>
      </c>
      <c r="S601" s="10" t="str">
        <f t="shared" si="38"/>
        <v>Mist/Cloudy</v>
      </c>
      <c r="T601" s="10" t="str">
        <f t="shared" si="39"/>
        <v>Cold</v>
      </c>
    </row>
    <row r="602" spans="1:20" x14ac:dyDescent="0.3">
      <c r="A602">
        <v>601</v>
      </c>
      <c r="B602" t="s">
        <v>43</v>
      </c>
      <c r="C602">
        <v>1</v>
      </c>
      <c r="D602">
        <v>0</v>
      </c>
      <c r="E602">
        <v>1</v>
      </c>
      <c r="F602">
        <v>6</v>
      </c>
      <c r="G602" t="b">
        <v>0</v>
      </c>
      <c r="H602">
        <v>5</v>
      </c>
      <c r="I602">
        <v>2</v>
      </c>
      <c r="J602">
        <v>0.18</v>
      </c>
      <c r="K602">
        <v>0.19700000000000001</v>
      </c>
      <c r="L602">
        <v>0.8</v>
      </c>
      <c r="M602">
        <v>0.1343</v>
      </c>
      <c r="N602">
        <v>0</v>
      </c>
      <c r="O602">
        <v>16</v>
      </c>
      <c r="P602">
        <v>16</v>
      </c>
      <c r="Q602" t="str">
        <f t="shared" si="36"/>
        <v>Weekday</v>
      </c>
      <c r="R602" t="str">
        <f t="shared" si="37"/>
        <v>Low</v>
      </c>
      <c r="S602" s="10" t="str">
        <f t="shared" si="38"/>
        <v>Mist/Cloudy</v>
      </c>
      <c r="T602" s="10" t="str">
        <f t="shared" si="39"/>
        <v>Cold</v>
      </c>
    </row>
    <row r="603" spans="1:20" x14ac:dyDescent="0.3">
      <c r="A603">
        <v>602</v>
      </c>
      <c r="B603" t="s">
        <v>43</v>
      </c>
      <c r="C603">
        <v>1</v>
      </c>
      <c r="D603">
        <v>0</v>
      </c>
      <c r="E603">
        <v>1</v>
      </c>
      <c r="F603">
        <v>7</v>
      </c>
      <c r="G603" t="b">
        <v>0</v>
      </c>
      <c r="H603">
        <v>5</v>
      </c>
      <c r="I603">
        <v>2</v>
      </c>
      <c r="J603">
        <v>0.16</v>
      </c>
      <c r="K603">
        <v>0.19700000000000001</v>
      </c>
      <c r="L603">
        <v>0.86</v>
      </c>
      <c r="M603">
        <v>8.9599999999999999E-2</v>
      </c>
      <c r="N603">
        <v>2</v>
      </c>
      <c r="O603">
        <v>58</v>
      </c>
      <c r="P603">
        <v>60</v>
      </c>
      <c r="Q603" t="str">
        <f t="shared" si="36"/>
        <v>Weekday</v>
      </c>
      <c r="R603" t="str">
        <f t="shared" si="37"/>
        <v>Medium</v>
      </c>
      <c r="S603" s="10" t="str">
        <f t="shared" si="38"/>
        <v>Mist/Cloudy</v>
      </c>
      <c r="T603" s="10" t="str">
        <f t="shared" si="39"/>
        <v>Cold</v>
      </c>
    </row>
    <row r="604" spans="1:20" x14ac:dyDescent="0.3">
      <c r="A604">
        <v>603</v>
      </c>
      <c r="B604" t="s">
        <v>43</v>
      </c>
      <c r="C604">
        <v>1</v>
      </c>
      <c r="D604">
        <v>0</v>
      </c>
      <c r="E604">
        <v>1</v>
      </c>
      <c r="F604">
        <v>8</v>
      </c>
      <c r="G604" t="b">
        <v>0</v>
      </c>
      <c r="H604">
        <v>5</v>
      </c>
      <c r="I604">
        <v>2</v>
      </c>
      <c r="J604">
        <v>0.16</v>
      </c>
      <c r="K604">
        <v>0.19700000000000001</v>
      </c>
      <c r="L604">
        <v>0.86</v>
      </c>
      <c r="M604">
        <v>8.9599999999999999E-2</v>
      </c>
      <c r="N604">
        <v>2</v>
      </c>
      <c r="O604">
        <v>155</v>
      </c>
      <c r="P604">
        <v>157</v>
      </c>
      <c r="Q604" t="str">
        <f t="shared" si="36"/>
        <v>Weekday</v>
      </c>
      <c r="R604" t="str">
        <f t="shared" si="37"/>
        <v>High</v>
      </c>
      <c r="S604" s="10" t="str">
        <f t="shared" si="38"/>
        <v>Mist/Cloudy</v>
      </c>
      <c r="T604" s="10" t="str">
        <f t="shared" si="39"/>
        <v>Cold</v>
      </c>
    </row>
    <row r="605" spans="1:20" x14ac:dyDescent="0.3">
      <c r="A605">
        <v>604</v>
      </c>
      <c r="B605" t="s">
        <v>43</v>
      </c>
      <c r="C605">
        <v>1</v>
      </c>
      <c r="D605">
        <v>0</v>
      </c>
      <c r="E605">
        <v>1</v>
      </c>
      <c r="F605">
        <v>9</v>
      </c>
      <c r="G605" t="b">
        <v>0</v>
      </c>
      <c r="H605">
        <v>5</v>
      </c>
      <c r="I605">
        <v>3</v>
      </c>
      <c r="J605">
        <v>0.18</v>
      </c>
      <c r="K605">
        <v>0.21210000000000001</v>
      </c>
      <c r="L605">
        <v>0.86</v>
      </c>
      <c r="M605">
        <v>8.9599999999999999E-2</v>
      </c>
      <c r="N605">
        <v>6</v>
      </c>
      <c r="O605">
        <v>95</v>
      </c>
      <c r="P605">
        <v>101</v>
      </c>
      <c r="Q605" t="str">
        <f t="shared" si="36"/>
        <v>Weekday</v>
      </c>
      <c r="R605" t="str">
        <f t="shared" si="37"/>
        <v>Medium</v>
      </c>
      <c r="S605" s="10" t="str">
        <f t="shared" si="38"/>
        <v>Light Rain/Snow</v>
      </c>
      <c r="T605" s="10" t="str">
        <f t="shared" si="39"/>
        <v>Cold</v>
      </c>
    </row>
    <row r="606" spans="1:20" x14ac:dyDescent="0.3">
      <c r="A606">
        <v>605</v>
      </c>
      <c r="B606" t="s">
        <v>43</v>
      </c>
      <c r="C606">
        <v>1</v>
      </c>
      <c r="D606">
        <v>0</v>
      </c>
      <c r="E606">
        <v>1</v>
      </c>
      <c r="F606">
        <v>10</v>
      </c>
      <c r="G606" t="b">
        <v>0</v>
      </c>
      <c r="H606">
        <v>5</v>
      </c>
      <c r="I606">
        <v>3</v>
      </c>
      <c r="J606">
        <v>0.18</v>
      </c>
      <c r="K606">
        <v>0.21210000000000001</v>
      </c>
      <c r="L606">
        <v>0.86</v>
      </c>
      <c r="M606">
        <v>0.1045</v>
      </c>
      <c r="N606">
        <v>0</v>
      </c>
      <c r="O606">
        <v>49</v>
      </c>
      <c r="P606">
        <v>49</v>
      </c>
      <c r="Q606" t="str">
        <f t="shared" si="36"/>
        <v>Weekday</v>
      </c>
      <c r="R606" t="str">
        <f t="shared" si="37"/>
        <v>Low</v>
      </c>
      <c r="S606" s="10" t="str">
        <f t="shared" si="38"/>
        <v>Light Rain/Snow</v>
      </c>
      <c r="T606" s="10" t="str">
        <f t="shared" si="39"/>
        <v>Cold</v>
      </c>
    </row>
    <row r="607" spans="1:20" x14ac:dyDescent="0.3">
      <c r="A607">
        <v>606</v>
      </c>
      <c r="B607" t="s">
        <v>43</v>
      </c>
      <c r="C607">
        <v>1</v>
      </c>
      <c r="D607">
        <v>0</v>
      </c>
      <c r="E607">
        <v>1</v>
      </c>
      <c r="F607">
        <v>11</v>
      </c>
      <c r="G607" t="b">
        <v>0</v>
      </c>
      <c r="H607">
        <v>5</v>
      </c>
      <c r="I607">
        <v>3</v>
      </c>
      <c r="J607">
        <v>0.18</v>
      </c>
      <c r="K607">
        <v>0.21210000000000001</v>
      </c>
      <c r="L607">
        <v>0.93</v>
      </c>
      <c r="M607">
        <v>0.1045</v>
      </c>
      <c r="N607">
        <v>0</v>
      </c>
      <c r="O607">
        <v>30</v>
      </c>
      <c r="P607">
        <v>30</v>
      </c>
      <c r="Q607" t="str">
        <f t="shared" si="36"/>
        <v>Weekday</v>
      </c>
      <c r="R607" t="str">
        <f t="shared" si="37"/>
        <v>Low</v>
      </c>
      <c r="S607" s="10" t="str">
        <f t="shared" si="38"/>
        <v>Light Rain/Snow</v>
      </c>
      <c r="T607" s="10" t="str">
        <f t="shared" si="39"/>
        <v>Cold</v>
      </c>
    </row>
    <row r="608" spans="1:20" x14ac:dyDescent="0.3">
      <c r="A608">
        <v>607</v>
      </c>
      <c r="B608" t="s">
        <v>43</v>
      </c>
      <c r="C608">
        <v>1</v>
      </c>
      <c r="D608">
        <v>0</v>
      </c>
      <c r="E608">
        <v>1</v>
      </c>
      <c r="F608">
        <v>12</v>
      </c>
      <c r="G608" t="b">
        <v>0</v>
      </c>
      <c r="H608">
        <v>5</v>
      </c>
      <c r="I608">
        <v>3</v>
      </c>
      <c r="J608">
        <v>0.18</v>
      </c>
      <c r="K608">
        <v>0.21210000000000001</v>
      </c>
      <c r="L608">
        <v>0.93</v>
      </c>
      <c r="M608">
        <v>0.1045</v>
      </c>
      <c r="N608">
        <v>1</v>
      </c>
      <c r="O608">
        <v>28</v>
      </c>
      <c r="P608">
        <v>29</v>
      </c>
      <c r="Q608" t="str">
        <f t="shared" si="36"/>
        <v>Weekday</v>
      </c>
      <c r="R608" t="str">
        <f t="shared" si="37"/>
        <v>Low</v>
      </c>
      <c r="S608" s="10" t="str">
        <f t="shared" si="38"/>
        <v>Light Rain/Snow</v>
      </c>
      <c r="T608" s="10" t="str">
        <f t="shared" si="39"/>
        <v>Cold</v>
      </c>
    </row>
    <row r="609" spans="1:20" x14ac:dyDescent="0.3">
      <c r="A609">
        <v>608</v>
      </c>
      <c r="B609" t="s">
        <v>43</v>
      </c>
      <c r="C609">
        <v>1</v>
      </c>
      <c r="D609">
        <v>0</v>
      </c>
      <c r="E609">
        <v>1</v>
      </c>
      <c r="F609">
        <v>13</v>
      </c>
      <c r="G609" t="b">
        <v>0</v>
      </c>
      <c r="H609">
        <v>5</v>
      </c>
      <c r="I609">
        <v>3</v>
      </c>
      <c r="J609">
        <v>0.18</v>
      </c>
      <c r="K609">
        <v>0.21210000000000001</v>
      </c>
      <c r="L609">
        <v>0.93</v>
      </c>
      <c r="M609">
        <v>0.1045</v>
      </c>
      <c r="N609">
        <v>0</v>
      </c>
      <c r="O609">
        <v>31</v>
      </c>
      <c r="P609">
        <v>31</v>
      </c>
      <c r="Q609" t="str">
        <f t="shared" si="36"/>
        <v>Weekday</v>
      </c>
      <c r="R609" t="str">
        <f t="shared" si="37"/>
        <v>Low</v>
      </c>
      <c r="S609" s="10" t="str">
        <f t="shared" si="38"/>
        <v>Light Rain/Snow</v>
      </c>
      <c r="T609" s="10" t="str">
        <f t="shared" si="39"/>
        <v>Cold</v>
      </c>
    </row>
    <row r="610" spans="1:20" x14ac:dyDescent="0.3">
      <c r="A610">
        <v>609</v>
      </c>
      <c r="B610" t="s">
        <v>43</v>
      </c>
      <c r="C610">
        <v>1</v>
      </c>
      <c r="D610">
        <v>0</v>
      </c>
      <c r="E610">
        <v>1</v>
      </c>
      <c r="F610">
        <v>14</v>
      </c>
      <c r="G610" t="b">
        <v>0</v>
      </c>
      <c r="H610">
        <v>5</v>
      </c>
      <c r="I610">
        <v>3</v>
      </c>
      <c r="J610">
        <v>0.22</v>
      </c>
      <c r="K610">
        <v>0.2727</v>
      </c>
      <c r="L610">
        <v>0.8</v>
      </c>
      <c r="M610">
        <v>0</v>
      </c>
      <c r="N610">
        <v>2</v>
      </c>
      <c r="O610">
        <v>36</v>
      </c>
      <c r="P610">
        <v>38</v>
      </c>
      <c r="Q610" t="str">
        <f t="shared" si="36"/>
        <v>Weekday</v>
      </c>
      <c r="R610" t="str">
        <f t="shared" si="37"/>
        <v>Low</v>
      </c>
      <c r="S610" s="10" t="str">
        <f t="shared" si="38"/>
        <v>Light Rain/Snow</v>
      </c>
      <c r="T610" s="10" t="str">
        <f t="shared" si="39"/>
        <v>Cold</v>
      </c>
    </row>
    <row r="611" spans="1:20" x14ac:dyDescent="0.3">
      <c r="A611">
        <v>610</v>
      </c>
      <c r="B611" t="s">
        <v>43</v>
      </c>
      <c r="C611">
        <v>1</v>
      </c>
      <c r="D611">
        <v>0</v>
      </c>
      <c r="E611">
        <v>1</v>
      </c>
      <c r="F611">
        <v>15</v>
      </c>
      <c r="G611" t="b">
        <v>0</v>
      </c>
      <c r="H611">
        <v>5</v>
      </c>
      <c r="I611">
        <v>2</v>
      </c>
      <c r="J611">
        <v>0.2</v>
      </c>
      <c r="K611">
        <v>0.2576</v>
      </c>
      <c r="L611">
        <v>0.86</v>
      </c>
      <c r="M611">
        <v>0</v>
      </c>
      <c r="N611">
        <v>1</v>
      </c>
      <c r="O611">
        <v>40</v>
      </c>
      <c r="P611">
        <v>41</v>
      </c>
      <c r="Q611" t="str">
        <f t="shared" si="36"/>
        <v>Weekday</v>
      </c>
      <c r="R611" t="str">
        <f t="shared" si="37"/>
        <v>Low</v>
      </c>
      <c r="S611" s="10" t="str">
        <f t="shared" si="38"/>
        <v>Mist/Cloudy</v>
      </c>
      <c r="T611" s="10" t="str">
        <f t="shared" si="39"/>
        <v>Cold</v>
      </c>
    </row>
    <row r="612" spans="1:20" x14ac:dyDescent="0.3">
      <c r="A612">
        <v>620</v>
      </c>
      <c r="B612" t="s">
        <v>44</v>
      </c>
      <c r="C612">
        <v>1</v>
      </c>
      <c r="D612">
        <v>0</v>
      </c>
      <c r="E612">
        <v>1</v>
      </c>
      <c r="F612">
        <v>1</v>
      </c>
      <c r="G612" t="b">
        <v>0</v>
      </c>
      <c r="H612">
        <v>6</v>
      </c>
      <c r="I612">
        <v>1</v>
      </c>
      <c r="J612">
        <v>0.22</v>
      </c>
      <c r="K612">
        <v>0.2273</v>
      </c>
      <c r="L612">
        <v>0.64</v>
      </c>
      <c r="M612">
        <v>0.19400000000000001</v>
      </c>
      <c r="N612">
        <v>0</v>
      </c>
      <c r="O612">
        <v>20</v>
      </c>
      <c r="P612">
        <v>20</v>
      </c>
      <c r="Q612" t="str">
        <f t="shared" si="36"/>
        <v>Weekday</v>
      </c>
      <c r="R612" t="str">
        <f t="shared" si="37"/>
        <v>Low</v>
      </c>
      <c r="S612" s="10" t="str">
        <f t="shared" si="38"/>
        <v>Clear</v>
      </c>
      <c r="T612" s="10" t="str">
        <f t="shared" si="39"/>
        <v>Cold</v>
      </c>
    </row>
    <row r="613" spans="1:20" x14ac:dyDescent="0.3">
      <c r="A613">
        <v>621</v>
      </c>
      <c r="B613" t="s">
        <v>44</v>
      </c>
      <c r="C613">
        <v>1</v>
      </c>
      <c r="D613">
        <v>0</v>
      </c>
      <c r="E613">
        <v>1</v>
      </c>
      <c r="F613">
        <v>2</v>
      </c>
      <c r="G613" t="b">
        <v>0</v>
      </c>
      <c r="H613">
        <v>6</v>
      </c>
      <c r="I613">
        <v>1</v>
      </c>
      <c r="J613">
        <v>0.22</v>
      </c>
      <c r="K613">
        <v>0.2273</v>
      </c>
      <c r="L613">
        <v>0.64</v>
      </c>
      <c r="M613">
        <v>0.16420000000000001</v>
      </c>
      <c r="N613">
        <v>0</v>
      </c>
      <c r="O613">
        <v>15</v>
      </c>
      <c r="P613">
        <v>15</v>
      </c>
      <c r="Q613" t="str">
        <f t="shared" si="36"/>
        <v>Weekday</v>
      </c>
      <c r="R613" t="str">
        <f t="shared" si="37"/>
        <v>Low</v>
      </c>
      <c r="S613" s="10" t="str">
        <f t="shared" si="38"/>
        <v>Clear</v>
      </c>
      <c r="T613" s="10" t="str">
        <f t="shared" si="39"/>
        <v>Cold</v>
      </c>
    </row>
    <row r="614" spans="1:20" x14ac:dyDescent="0.3">
      <c r="A614">
        <v>622</v>
      </c>
      <c r="B614" t="s">
        <v>44</v>
      </c>
      <c r="C614">
        <v>1</v>
      </c>
      <c r="D614">
        <v>0</v>
      </c>
      <c r="E614">
        <v>1</v>
      </c>
      <c r="F614">
        <v>3</v>
      </c>
      <c r="G614" t="b">
        <v>0</v>
      </c>
      <c r="H614">
        <v>6</v>
      </c>
      <c r="I614">
        <v>1</v>
      </c>
      <c r="J614">
        <v>0.2</v>
      </c>
      <c r="K614">
        <v>0.21210000000000001</v>
      </c>
      <c r="L614">
        <v>0.64</v>
      </c>
      <c r="M614">
        <v>0.1343</v>
      </c>
      <c r="N614">
        <v>3</v>
      </c>
      <c r="O614">
        <v>5</v>
      </c>
      <c r="P614">
        <v>8</v>
      </c>
      <c r="Q614" t="str">
        <f t="shared" si="36"/>
        <v>Weekday</v>
      </c>
      <c r="R614" t="str">
        <f t="shared" si="37"/>
        <v>Low</v>
      </c>
      <c r="S614" s="10" t="str">
        <f t="shared" si="38"/>
        <v>Clear</v>
      </c>
      <c r="T614" s="10" t="str">
        <f t="shared" si="39"/>
        <v>Cold</v>
      </c>
    </row>
    <row r="615" spans="1:20" x14ac:dyDescent="0.3">
      <c r="A615">
        <v>623</v>
      </c>
      <c r="B615" t="s">
        <v>44</v>
      </c>
      <c r="C615">
        <v>1</v>
      </c>
      <c r="D615">
        <v>0</v>
      </c>
      <c r="E615">
        <v>1</v>
      </c>
      <c r="F615">
        <v>4</v>
      </c>
      <c r="G615" t="b">
        <v>0</v>
      </c>
      <c r="H615">
        <v>6</v>
      </c>
      <c r="I615">
        <v>1</v>
      </c>
      <c r="J615">
        <v>0.16</v>
      </c>
      <c r="K615">
        <v>0.18179999999999999</v>
      </c>
      <c r="L615">
        <v>0.69</v>
      </c>
      <c r="M615">
        <v>0.1045</v>
      </c>
      <c r="N615">
        <v>1</v>
      </c>
      <c r="O615">
        <v>2</v>
      </c>
      <c r="P615">
        <v>3</v>
      </c>
      <c r="Q615" t="str">
        <f t="shared" si="36"/>
        <v>Weekday</v>
      </c>
      <c r="R615" t="str">
        <f t="shared" si="37"/>
        <v>Low</v>
      </c>
      <c r="S615" s="10" t="str">
        <f t="shared" si="38"/>
        <v>Clear</v>
      </c>
      <c r="T615" s="10" t="str">
        <f t="shared" si="39"/>
        <v>Cold</v>
      </c>
    </row>
    <row r="616" spans="1:20" x14ac:dyDescent="0.3">
      <c r="A616">
        <v>624</v>
      </c>
      <c r="B616" t="s">
        <v>44</v>
      </c>
      <c r="C616">
        <v>1</v>
      </c>
      <c r="D616">
        <v>0</v>
      </c>
      <c r="E616">
        <v>1</v>
      </c>
      <c r="F616">
        <v>6</v>
      </c>
      <c r="G616" t="b">
        <v>0</v>
      </c>
      <c r="H616">
        <v>6</v>
      </c>
      <c r="I616">
        <v>1</v>
      </c>
      <c r="J616">
        <v>0.16</v>
      </c>
      <c r="K616">
        <v>0.18179999999999999</v>
      </c>
      <c r="L616">
        <v>0.64</v>
      </c>
      <c r="M616">
        <v>0.1343</v>
      </c>
      <c r="N616">
        <v>0</v>
      </c>
      <c r="O616">
        <v>2</v>
      </c>
      <c r="P616">
        <v>2</v>
      </c>
      <c r="Q616" t="str">
        <f t="shared" si="36"/>
        <v>Weekday</v>
      </c>
      <c r="R616" t="str">
        <f t="shared" si="37"/>
        <v>Low</v>
      </c>
      <c r="S616" s="10" t="str">
        <f t="shared" si="38"/>
        <v>Clear</v>
      </c>
      <c r="T616" s="10" t="str">
        <f t="shared" si="39"/>
        <v>Cold</v>
      </c>
    </row>
    <row r="617" spans="1:20" x14ac:dyDescent="0.3">
      <c r="A617">
        <v>625</v>
      </c>
      <c r="B617" t="s">
        <v>44</v>
      </c>
      <c r="C617">
        <v>1</v>
      </c>
      <c r="D617">
        <v>0</v>
      </c>
      <c r="E617">
        <v>1</v>
      </c>
      <c r="F617">
        <v>7</v>
      </c>
      <c r="G617" t="b">
        <v>0</v>
      </c>
      <c r="H617">
        <v>6</v>
      </c>
      <c r="I617">
        <v>1</v>
      </c>
      <c r="J617">
        <v>0.16</v>
      </c>
      <c r="K617">
        <v>0.18179999999999999</v>
      </c>
      <c r="L617">
        <v>0.59</v>
      </c>
      <c r="M617">
        <v>0.1045</v>
      </c>
      <c r="N617">
        <v>1</v>
      </c>
      <c r="O617">
        <v>4</v>
      </c>
      <c r="P617">
        <v>5</v>
      </c>
      <c r="Q617" t="str">
        <f t="shared" si="36"/>
        <v>Weekday</v>
      </c>
      <c r="R617" t="str">
        <f t="shared" si="37"/>
        <v>Low</v>
      </c>
      <c r="S617" s="10" t="str">
        <f t="shared" si="38"/>
        <v>Clear</v>
      </c>
      <c r="T617" s="10" t="str">
        <f t="shared" si="39"/>
        <v>Cold</v>
      </c>
    </row>
    <row r="618" spans="1:20" x14ac:dyDescent="0.3">
      <c r="A618">
        <v>626</v>
      </c>
      <c r="B618" t="s">
        <v>44</v>
      </c>
      <c r="C618">
        <v>1</v>
      </c>
      <c r="D618">
        <v>0</v>
      </c>
      <c r="E618">
        <v>1</v>
      </c>
      <c r="F618">
        <v>8</v>
      </c>
      <c r="G618" t="b">
        <v>0</v>
      </c>
      <c r="H618">
        <v>6</v>
      </c>
      <c r="I618">
        <v>1</v>
      </c>
      <c r="J618">
        <v>0.18</v>
      </c>
      <c r="K618">
        <v>0.19700000000000001</v>
      </c>
      <c r="L618">
        <v>0.55000000000000004</v>
      </c>
      <c r="M618">
        <v>0.16420000000000001</v>
      </c>
      <c r="N618">
        <v>3</v>
      </c>
      <c r="O618">
        <v>31</v>
      </c>
      <c r="P618">
        <v>34</v>
      </c>
      <c r="Q618" t="str">
        <f t="shared" si="36"/>
        <v>Weekday</v>
      </c>
      <c r="R618" t="str">
        <f t="shared" si="37"/>
        <v>Low</v>
      </c>
      <c r="S618" s="10" t="str">
        <f t="shared" si="38"/>
        <v>Clear</v>
      </c>
      <c r="T618" s="10" t="str">
        <f t="shared" si="39"/>
        <v>Cold</v>
      </c>
    </row>
    <row r="619" spans="1:20" x14ac:dyDescent="0.3">
      <c r="A619">
        <v>627</v>
      </c>
      <c r="B619" t="s">
        <v>44</v>
      </c>
      <c r="C619">
        <v>1</v>
      </c>
      <c r="D619">
        <v>0</v>
      </c>
      <c r="E619">
        <v>1</v>
      </c>
      <c r="F619">
        <v>9</v>
      </c>
      <c r="G619" t="b">
        <v>0</v>
      </c>
      <c r="H619">
        <v>6</v>
      </c>
      <c r="I619">
        <v>1</v>
      </c>
      <c r="J619">
        <v>0.18</v>
      </c>
      <c r="K619">
        <v>0.21210000000000001</v>
      </c>
      <c r="L619">
        <v>0.59</v>
      </c>
      <c r="M619">
        <v>8.9599999999999999E-2</v>
      </c>
      <c r="N619">
        <v>0</v>
      </c>
      <c r="O619">
        <v>34</v>
      </c>
      <c r="P619">
        <v>34</v>
      </c>
      <c r="Q619" t="str">
        <f t="shared" si="36"/>
        <v>Weekday</v>
      </c>
      <c r="R619" t="str">
        <f t="shared" si="37"/>
        <v>Low</v>
      </c>
      <c r="S619" s="10" t="str">
        <f t="shared" si="38"/>
        <v>Clear</v>
      </c>
      <c r="T619" s="10" t="str">
        <f t="shared" si="39"/>
        <v>Cold</v>
      </c>
    </row>
    <row r="620" spans="1:20" x14ac:dyDescent="0.3">
      <c r="A620">
        <v>628</v>
      </c>
      <c r="B620" t="s">
        <v>44</v>
      </c>
      <c r="C620">
        <v>1</v>
      </c>
      <c r="D620">
        <v>0</v>
      </c>
      <c r="E620">
        <v>1</v>
      </c>
      <c r="F620">
        <v>10</v>
      </c>
      <c r="G620" t="b">
        <v>0</v>
      </c>
      <c r="H620">
        <v>6</v>
      </c>
      <c r="I620">
        <v>2</v>
      </c>
      <c r="J620">
        <v>0.18</v>
      </c>
      <c r="K620">
        <v>0.21210000000000001</v>
      </c>
      <c r="L620">
        <v>0.64</v>
      </c>
      <c r="M620">
        <v>0.1045</v>
      </c>
      <c r="N620">
        <v>4</v>
      </c>
      <c r="O620">
        <v>51</v>
      </c>
      <c r="P620">
        <v>55</v>
      </c>
      <c r="Q620" t="str">
        <f t="shared" si="36"/>
        <v>Weekday</v>
      </c>
      <c r="R620" t="str">
        <f t="shared" si="37"/>
        <v>Medium</v>
      </c>
      <c r="S620" s="10" t="str">
        <f t="shared" si="38"/>
        <v>Mist/Cloudy</v>
      </c>
      <c r="T620" s="10" t="str">
        <f t="shared" si="39"/>
        <v>Cold</v>
      </c>
    </row>
    <row r="621" spans="1:20" x14ac:dyDescent="0.3">
      <c r="A621">
        <v>629</v>
      </c>
      <c r="B621" t="s">
        <v>44</v>
      </c>
      <c r="C621">
        <v>1</v>
      </c>
      <c r="D621">
        <v>0</v>
      </c>
      <c r="E621">
        <v>1</v>
      </c>
      <c r="F621">
        <v>11</v>
      </c>
      <c r="G621" t="b">
        <v>0</v>
      </c>
      <c r="H621">
        <v>6</v>
      </c>
      <c r="I621">
        <v>2</v>
      </c>
      <c r="J621">
        <v>0.18</v>
      </c>
      <c r="K621">
        <v>0.19700000000000001</v>
      </c>
      <c r="L621">
        <v>0.64</v>
      </c>
      <c r="M621">
        <v>0.1343</v>
      </c>
      <c r="N621">
        <v>4</v>
      </c>
      <c r="O621">
        <v>60</v>
      </c>
      <c r="P621">
        <v>64</v>
      </c>
      <c r="Q621" t="str">
        <f t="shared" si="36"/>
        <v>Weekday</v>
      </c>
      <c r="R621" t="str">
        <f t="shared" si="37"/>
        <v>Medium</v>
      </c>
      <c r="S621" s="10" t="str">
        <f t="shared" si="38"/>
        <v>Mist/Cloudy</v>
      </c>
      <c r="T621" s="10" t="str">
        <f t="shared" si="39"/>
        <v>Cold</v>
      </c>
    </row>
    <row r="622" spans="1:20" x14ac:dyDescent="0.3">
      <c r="A622">
        <v>630</v>
      </c>
      <c r="B622" t="s">
        <v>44</v>
      </c>
      <c r="C622">
        <v>1</v>
      </c>
      <c r="D622">
        <v>0</v>
      </c>
      <c r="E622">
        <v>1</v>
      </c>
      <c r="F622">
        <v>12</v>
      </c>
      <c r="G622" t="b">
        <v>0</v>
      </c>
      <c r="H622">
        <v>6</v>
      </c>
      <c r="I622">
        <v>2</v>
      </c>
      <c r="J622">
        <v>0.2</v>
      </c>
      <c r="K622">
        <v>0.19700000000000001</v>
      </c>
      <c r="L622">
        <v>0.59</v>
      </c>
      <c r="M622">
        <v>0.19400000000000001</v>
      </c>
      <c r="N622">
        <v>12</v>
      </c>
      <c r="O622">
        <v>66</v>
      </c>
      <c r="P622">
        <v>78</v>
      </c>
      <c r="Q622" t="str">
        <f t="shared" si="36"/>
        <v>Weekday</v>
      </c>
      <c r="R622" t="str">
        <f t="shared" si="37"/>
        <v>Medium</v>
      </c>
      <c r="S622" s="10" t="str">
        <f t="shared" si="38"/>
        <v>Mist/Cloudy</v>
      </c>
      <c r="T622" s="10" t="str">
        <f t="shared" si="39"/>
        <v>Cold</v>
      </c>
    </row>
    <row r="623" spans="1:20" x14ac:dyDescent="0.3">
      <c r="A623">
        <v>631</v>
      </c>
      <c r="B623" t="s">
        <v>44</v>
      </c>
      <c r="C623">
        <v>1</v>
      </c>
      <c r="D623">
        <v>0</v>
      </c>
      <c r="E623">
        <v>1</v>
      </c>
      <c r="F623">
        <v>13</v>
      </c>
      <c r="G623" t="b">
        <v>0</v>
      </c>
      <c r="H623">
        <v>6</v>
      </c>
      <c r="I623">
        <v>2</v>
      </c>
      <c r="J623">
        <v>0.22</v>
      </c>
      <c r="K623">
        <v>0.2273</v>
      </c>
      <c r="L623">
        <v>0.55000000000000004</v>
      </c>
      <c r="M623">
        <v>0.16420000000000001</v>
      </c>
      <c r="N623">
        <v>9</v>
      </c>
      <c r="O623">
        <v>56</v>
      </c>
      <c r="P623">
        <v>65</v>
      </c>
      <c r="Q623" t="str">
        <f t="shared" si="36"/>
        <v>Weekday</v>
      </c>
      <c r="R623" t="str">
        <f t="shared" si="37"/>
        <v>Medium</v>
      </c>
      <c r="S623" s="10" t="str">
        <f t="shared" si="38"/>
        <v>Mist/Cloudy</v>
      </c>
      <c r="T623" s="10" t="str">
        <f t="shared" si="39"/>
        <v>Cold</v>
      </c>
    </row>
    <row r="624" spans="1:20" x14ac:dyDescent="0.3">
      <c r="A624">
        <v>632</v>
      </c>
      <c r="B624" t="s">
        <v>44</v>
      </c>
      <c r="C624">
        <v>1</v>
      </c>
      <c r="D624">
        <v>0</v>
      </c>
      <c r="E624">
        <v>1</v>
      </c>
      <c r="F624">
        <v>14</v>
      </c>
      <c r="G624" t="b">
        <v>0</v>
      </c>
      <c r="H624">
        <v>6</v>
      </c>
      <c r="I624">
        <v>2</v>
      </c>
      <c r="J624">
        <v>0.22</v>
      </c>
      <c r="K624">
        <v>0.2273</v>
      </c>
      <c r="L624">
        <v>0.6</v>
      </c>
      <c r="M624">
        <v>0.1343</v>
      </c>
      <c r="N624">
        <v>10</v>
      </c>
      <c r="O624">
        <v>89</v>
      </c>
      <c r="P624">
        <v>99</v>
      </c>
      <c r="Q624" t="str">
        <f t="shared" si="36"/>
        <v>Weekday</v>
      </c>
      <c r="R624" t="str">
        <f t="shared" si="37"/>
        <v>Medium</v>
      </c>
      <c r="S624" s="10" t="str">
        <f t="shared" si="38"/>
        <v>Mist/Cloudy</v>
      </c>
      <c r="T624" s="10" t="str">
        <f t="shared" si="39"/>
        <v>Cold</v>
      </c>
    </row>
    <row r="625" spans="1:20" x14ac:dyDescent="0.3">
      <c r="A625">
        <v>633</v>
      </c>
      <c r="B625" t="s">
        <v>44</v>
      </c>
      <c r="C625">
        <v>1</v>
      </c>
      <c r="D625">
        <v>0</v>
      </c>
      <c r="E625">
        <v>1</v>
      </c>
      <c r="F625">
        <v>15</v>
      </c>
      <c r="G625" t="b">
        <v>0</v>
      </c>
      <c r="H625">
        <v>6</v>
      </c>
      <c r="I625">
        <v>1</v>
      </c>
      <c r="J625">
        <v>0.22</v>
      </c>
      <c r="K625">
        <v>0.21210000000000001</v>
      </c>
      <c r="L625">
        <v>0.69</v>
      </c>
      <c r="M625">
        <v>0.25369999999999998</v>
      </c>
      <c r="N625">
        <v>22</v>
      </c>
      <c r="O625">
        <v>98</v>
      </c>
      <c r="P625">
        <v>120</v>
      </c>
      <c r="Q625" t="str">
        <f t="shared" si="36"/>
        <v>Weekday</v>
      </c>
      <c r="R625" t="str">
        <f t="shared" si="37"/>
        <v>Medium</v>
      </c>
      <c r="S625" s="10" t="str">
        <f t="shared" si="38"/>
        <v>Clear</v>
      </c>
      <c r="T625" s="10" t="str">
        <f t="shared" si="39"/>
        <v>Cold</v>
      </c>
    </row>
    <row r="626" spans="1:20" x14ac:dyDescent="0.3">
      <c r="A626">
        <v>634</v>
      </c>
      <c r="B626" t="s">
        <v>44</v>
      </c>
      <c r="C626">
        <v>1</v>
      </c>
      <c r="D626">
        <v>0</v>
      </c>
      <c r="E626">
        <v>1</v>
      </c>
      <c r="F626">
        <v>16</v>
      </c>
      <c r="G626" t="b">
        <v>0</v>
      </c>
      <c r="H626">
        <v>6</v>
      </c>
      <c r="I626">
        <v>1</v>
      </c>
      <c r="J626">
        <v>0.24</v>
      </c>
      <c r="K626">
        <v>0.2424</v>
      </c>
      <c r="L626">
        <v>0.6</v>
      </c>
      <c r="M626">
        <v>0.16420000000000001</v>
      </c>
      <c r="N626">
        <v>19</v>
      </c>
      <c r="O626">
        <v>88</v>
      </c>
      <c r="P626">
        <v>107</v>
      </c>
      <c r="Q626" t="str">
        <f t="shared" si="36"/>
        <v>Weekday</v>
      </c>
      <c r="R626" t="str">
        <f t="shared" si="37"/>
        <v>Medium</v>
      </c>
      <c r="S626" s="10" t="str">
        <f t="shared" si="38"/>
        <v>Clear</v>
      </c>
      <c r="T626" s="10" t="str">
        <f t="shared" si="39"/>
        <v>Cold</v>
      </c>
    </row>
    <row r="627" spans="1:20" x14ac:dyDescent="0.3">
      <c r="A627">
        <v>635</v>
      </c>
      <c r="B627" t="s">
        <v>44</v>
      </c>
      <c r="C627">
        <v>1</v>
      </c>
      <c r="D627">
        <v>0</v>
      </c>
      <c r="E627">
        <v>1</v>
      </c>
      <c r="F627">
        <v>17</v>
      </c>
      <c r="G627" t="b">
        <v>0</v>
      </c>
      <c r="H627">
        <v>6</v>
      </c>
      <c r="I627">
        <v>1</v>
      </c>
      <c r="J627">
        <v>0.24</v>
      </c>
      <c r="K627">
        <v>0.28789999999999999</v>
      </c>
      <c r="L627">
        <v>0.6</v>
      </c>
      <c r="M627">
        <v>0</v>
      </c>
      <c r="N627">
        <v>9</v>
      </c>
      <c r="O627">
        <v>82</v>
      </c>
      <c r="P627">
        <v>91</v>
      </c>
      <c r="Q627" t="str">
        <f t="shared" si="36"/>
        <v>Weekday</v>
      </c>
      <c r="R627" t="str">
        <f t="shared" si="37"/>
        <v>Medium</v>
      </c>
      <c r="S627" s="10" t="str">
        <f t="shared" si="38"/>
        <v>Clear</v>
      </c>
      <c r="T627" s="10" t="str">
        <f t="shared" si="39"/>
        <v>Cold</v>
      </c>
    </row>
    <row r="628" spans="1:20" x14ac:dyDescent="0.3">
      <c r="A628">
        <v>636</v>
      </c>
      <c r="B628" t="s">
        <v>44</v>
      </c>
      <c r="C628">
        <v>1</v>
      </c>
      <c r="D628">
        <v>0</v>
      </c>
      <c r="E628">
        <v>1</v>
      </c>
      <c r="F628">
        <v>18</v>
      </c>
      <c r="G628" t="b">
        <v>0</v>
      </c>
      <c r="H628">
        <v>6</v>
      </c>
      <c r="I628">
        <v>1</v>
      </c>
      <c r="J628">
        <v>0.22</v>
      </c>
      <c r="K628">
        <v>0.2273</v>
      </c>
      <c r="L628">
        <v>0.69</v>
      </c>
      <c r="M628">
        <v>0.1343</v>
      </c>
      <c r="N628">
        <v>9</v>
      </c>
      <c r="O628">
        <v>59</v>
      </c>
      <c r="P628">
        <v>68</v>
      </c>
      <c r="Q628" t="str">
        <f t="shared" si="36"/>
        <v>Weekday</v>
      </c>
      <c r="R628" t="str">
        <f t="shared" si="37"/>
        <v>Medium</v>
      </c>
      <c r="S628" s="10" t="str">
        <f t="shared" si="38"/>
        <v>Clear</v>
      </c>
      <c r="T628" s="10" t="str">
        <f t="shared" si="39"/>
        <v>Cold</v>
      </c>
    </row>
    <row r="629" spans="1:20" x14ac:dyDescent="0.3">
      <c r="A629">
        <v>637</v>
      </c>
      <c r="B629" t="s">
        <v>44</v>
      </c>
      <c r="C629">
        <v>1</v>
      </c>
      <c r="D629">
        <v>0</v>
      </c>
      <c r="E629">
        <v>1</v>
      </c>
      <c r="F629">
        <v>19</v>
      </c>
      <c r="G629" t="b">
        <v>0</v>
      </c>
      <c r="H629">
        <v>6</v>
      </c>
      <c r="I629">
        <v>2</v>
      </c>
      <c r="J629">
        <v>0.22</v>
      </c>
      <c r="K629">
        <v>0.21210000000000001</v>
      </c>
      <c r="L629">
        <v>0.69</v>
      </c>
      <c r="M629">
        <v>0.25369999999999998</v>
      </c>
      <c r="N629">
        <v>6</v>
      </c>
      <c r="O629">
        <v>52</v>
      </c>
      <c r="P629">
        <v>58</v>
      </c>
      <c r="Q629" t="str">
        <f t="shared" si="36"/>
        <v>Weekday</v>
      </c>
      <c r="R629" t="str">
        <f t="shared" si="37"/>
        <v>Medium</v>
      </c>
      <c r="S629" s="10" t="str">
        <f t="shared" si="38"/>
        <v>Mist/Cloudy</v>
      </c>
      <c r="T629" s="10" t="str">
        <f t="shared" si="39"/>
        <v>Cold</v>
      </c>
    </row>
    <row r="630" spans="1:20" x14ac:dyDescent="0.3">
      <c r="A630">
        <v>638</v>
      </c>
      <c r="B630" t="s">
        <v>44</v>
      </c>
      <c r="C630">
        <v>1</v>
      </c>
      <c r="D630">
        <v>0</v>
      </c>
      <c r="E630">
        <v>1</v>
      </c>
      <c r="F630">
        <v>20</v>
      </c>
      <c r="G630" t="b">
        <v>0</v>
      </c>
      <c r="H630">
        <v>6</v>
      </c>
      <c r="I630">
        <v>1</v>
      </c>
      <c r="J630">
        <v>0.18</v>
      </c>
      <c r="K630">
        <v>0.21210000000000001</v>
      </c>
      <c r="L630">
        <v>0.74</v>
      </c>
      <c r="M630">
        <v>8.9599999999999999E-2</v>
      </c>
      <c r="N630">
        <v>1</v>
      </c>
      <c r="O630">
        <v>42</v>
      </c>
      <c r="P630">
        <v>43</v>
      </c>
      <c r="Q630" t="str">
        <f t="shared" si="36"/>
        <v>Weekday</v>
      </c>
      <c r="R630" t="str">
        <f t="shared" si="37"/>
        <v>Low</v>
      </c>
      <c r="S630" s="10" t="str">
        <f t="shared" si="38"/>
        <v>Clear</v>
      </c>
      <c r="T630" s="10" t="str">
        <f t="shared" si="39"/>
        <v>Cold</v>
      </c>
    </row>
    <row r="631" spans="1:20" x14ac:dyDescent="0.3">
      <c r="A631">
        <v>639</v>
      </c>
      <c r="B631" t="s">
        <v>44</v>
      </c>
      <c r="C631">
        <v>1</v>
      </c>
      <c r="D631">
        <v>0</v>
      </c>
      <c r="E631">
        <v>1</v>
      </c>
      <c r="F631">
        <v>21</v>
      </c>
      <c r="G631" t="b">
        <v>0</v>
      </c>
      <c r="H631">
        <v>6</v>
      </c>
      <c r="I631">
        <v>1</v>
      </c>
      <c r="J631">
        <v>0.18</v>
      </c>
      <c r="K631">
        <v>0.21210000000000001</v>
      </c>
      <c r="L631">
        <v>0.74</v>
      </c>
      <c r="M631">
        <v>8.9599999999999999E-2</v>
      </c>
      <c r="N631">
        <v>1</v>
      </c>
      <c r="O631">
        <v>35</v>
      </c>
      <c r="P631">
        <v>36</v>
      </c>
      <c r="Q631" t="str">
        <f t="shared" si="36"/>
        <v>Weekday</v>
      </c>
      <c r="R631" t="str">
        <f t="shared" si="37"/>
        <v>Low</v>
      </c>
      <c r="S631" s="10" t="str">
        <f t="shared" si="38"/>
        <v>Clear</v>
      </c>
      <c r="T631" s="10" t="str">
        <f t="shared" si="39"/>
        <v>Cold</v>
      </c>
    </row>
    <row r="632" spans="1:20" x14ac:dyDescent="0.3">
      <c r="A632">
        <v>640</v>
      </c>
      <c r="B632" t="s">
        <v>44</v>
      </c>
      <c r="C632">
        <v>1</v>
      </c>
      <c r="D632">
        <v>0</v>
      </c>
      <c r="E632">
        <v>1</v>
      </c>
      <c r="F632">
        <v>22</v>
      </c>
      <c r="G632" t="b">
        <v>0</v>
      </c>
      <c r="H632">
        <v>6</v>
      </c>
      <c r="I632">
        <v>1</v>
      </c>
      <c r="J632">
        <v>0.16</v>
      </c>
      <c r="K632">
        <v>0.19700000000000001</v>
      </c>
      <c r="L632">
        <v>0.8</v>
      </c>
      <c r="M632">
        <v>8.9599999999999999E-2</v>
      </c>
      <c r="N632">
        <v>4</v>
      </c>
      <c r="O632">
        <v>28</v>
      </c>
      <c r="P632">
        <v>32</v>
      </c>
      <c r="Q632" t="str">
        <f t="shared" si="36"/>
        <v>Weekday</v>
      </c>
      <c r="R632" t="str">
        <f t="shared" si="37"/>
        <v>Low</v>
      </c>
      <c r="S632" s="10" t="str">
        <f t="shared" si="38"/>
        <v>Clear</v>
      </c>
      <c r="T632" s="10" t="str">
        <f t="shared" si="39"/>
        <v>Cold</v>
      </c>
    </row>
    <row r="633" spans="1:20" x14ac:dyDescent="0.3">
      <c r="A633">
        <v>641</v>
      </c>
      <c r="B633" t="s">
        <v>44</v>
      </c>
      <c r="C633">
        <v>1</v>
      </c>
      <c r="D633">
        <v>0</v>
      </c>
      <c r="E633">
        <v>1</v>
      </c>
      <c r="F633">
        <v>23</v>
      </c>
      <c r="G633" t="b">
        <v>0</v>
      </c>
      <c r="H633">
        <v>6</v>
      </c>
      <c r="I633">
        <v>1</v>
      </c>
      <c r="J633">
        <v>0.16</v>
      </c>
      <c r="K633">
        <v>0.19700000000000001</v>
      </c>
      <c r="L633">
        <v>0.8</v>
      </c>
      <c r="M633">
        <v>8.9599999999999999E-2</v>
      </c>
      <c r="N633">
        <v>3</v>
      </c>
      <c r="O633">
        <v>30</v>
      </c>
      <c r="P633">
        <v>33</v>
      </c>
      <c r="Q633" t="str">
        <f t="shared" si="36"/>
        <v>Weekday</v>
      </c>
      <c r="R633" t="str">
        <f t="shared" si="37"/>
        <v>Low</v>
      </c>
      <c r="S633" s="10" t="str">
        <f t="shared" si="38"/>
        <v>Clear</v>
      </c>
      <c r="T633" s="10" t="str">
        <f t="shared" si="39"/>
        <v>Cold</v>
      </c>
    </row>
    <row r="634" spans="1:20" x14ac:dyDescent="0.3">
      <c r="A634">
        <v>642</v>
      </c>
      <c r="B634" t="s">
        <v>45</v>
      </c>
      <c r="C634">
        <v>1</v>
      </c>
      <c r="D634">
        <v>0</v>
      </c>
      <c r="E634">
        <v>1</v>
      </c>
      <c r="F634">
        <v>0</v>
      </c>
      <c r="G634" t="b">
        <v>0</v>
      </c>
      <c r="H634">
        <v>0</v>
      </c>
      <c r="I634">
        <v>1</v>
      </c>
      <c r="J634">
        <v>0.16</v>
      </c>
      <c r="K634">
        <v>0.18179999999999999</v>
      </c>
      <c r="L634">
        <v>0.8</v>
      </c>
      <c r="M634">
        <v>0.1045</v>
      </c>
      <c r="N634">
        <v>0</v>
      </c>
      <c r="O634">
        <v>33</v>
      </c>
      <c r="P634">
        <v>33</v>
      </c>
      <c r="Q634" t="str">
        <f t="shared" si="36"/>
        <v>Weekend</v>
      </c>
      <c r="R634" t="str">
        <f t="shared" si="37"/>
        <v>Low</v>
      </c>
      <c r="S634" s="10" t="str">
        <f t="shared" si="38"/>
        <v>Clear</v>
      </c>
      <c r="T634" s="10" t="str">
        <f t="shared" si="39"/>
        <v>Cold</v>
      </c>
    </row>
    <row r="635" spans="1:20" x14ac:dyDescent="0.3">
      <c r="A635">
        <v>643</v>
      </c>
      <c r="B635" t="s">
        <v>45</v>
      </c>
      <c r="C635">
        <v>1</v>
      </c>
      <c r="D635">
        <v>0</v>
      </c>
      <c r="E635">
        <v>1</v>
      </c>
      <c r="F635">
        <v>1</v>
      </c>
      <c r="G635" t="b">
        <v>0</v>
      </c>
      <c r="H635">
        <v>0</v>
      </c>
      <c r="I635">
        <v>1</v>
      </c>
      <c r="J635">
        <v>0.14000000000000001</v>
      </c>
      <c r="K635">
        <v>0.21210000000000001</v>
      </c>
      <c r="L635">
        <v>0.8</v>
      </c>
      <c r="M635">
        <v>0</v>
      </c>
      <c r="N635">
        <v>7</v>
      </c>
      <c r="O635">
        <v>22</v>
      </c>
      <c r="P635">
        <v>29</v>
      </c>
      <c r="Q635" t="str">
        <f t="shared" si="36"/>
        <v>Weekend</v>
      </c>
      <c r="R635" t="str">
        <f t="shared" si="37"/>
        <v>Low</v>
      </c>
      <c r="S635" s="10" t="str">
        <f t="shared" si="38"/>
        <v>Clear</v>
      </c>
      <c r="T635" s="10" t="str">
        <f t="shared" si="39"/>
        <v>Cold</v>
      </c>
    </row>
    <row r="636" spans="1:20" x14ac:dyDescent="0.3">
      <c r="A636">
        <v>644</v>
      </c>
      <c r="B636" t="s">
        <v>45</v>
      </c>
      <c r="C636">
        <v>1</v>
      </c>
      <c r="D636">
        <v>0</v>
      </c>
      <c r="E636">
        <v>1</v>
      </c>
      <c r="F636">
        <v>2</v>
      </c>
      <c r="G636" t="b">
        <v>0</v>
      </c>
      <c r="H636">
        <v>0</v>
      </c>
      <c r="I636">
        <v>1</v>
      </c>
      <c r="J636">
        <v>0.16</v>
      </c>
      <c r="K636">
        <v>0.2273</v>
      </c>
      <c r="L636">
        <v>0.8</v>
      </c>
      <c r="M636">
        <v>0</v>
      </c>
      <c r="N636">
        <v>1</v>
      </c>
      <c r="O636">
        <v>10</v>
      </c>
      <c r="P636">
        <v>11</v>
      </c>
      <c r="Q636" t="str">
        <f t="shared" si="36"/>
        <v>Weekend</v>
      </c>
      <c r="R636" t="str">
        <f t="shared" si="37"/>
        <v>Low</v>
      </c>
      <c r="S636" s="10" t="str">
        <f t="shared" si="38"/>
        <v>Clear</v>
      </c>
      <c r="T636" s="10" t="str">
        <f t="shared" si="39"/>
        <v>Cold</v>
      </c>
    </row>
    <row r="637" spans="1:20" x14ac:dyDescent="0.3">
      <c r="A637">
        <v>645</v>
      </c>
      <c r="B637" t="s">
        <v>45</v>
      </c>
      <c r="C637">
        <v>1</v>
      </c>
      <c r="D637">
        <v>0</v>
      </c>
      <c r="E637">
        <v>1</v>
      </c>
      <c r="F637">
        <v>3</v>
      </c>
      <c r="G637" t="b">
        <v>0</v>
      </c>
      <c r="H637">
        <v>0</v>
      </c>
      <c r="I637">
        <v>1</v>
      </c>
      <c r="J637">
        <v>0.14000000000000001</v>
      </c>
      <c r="K637">
        <v>0.21210000000000001</v>
      </c>
      <c r="L637">
        <v>0.93</v>
      </c>
      <c r="M637">
        <v>0</v>
      </c>
      <c r="N637">
        <v>1</v>
      </c>
      <c r="O637">
        <v>7</v>
      </c>
      <c r="P637">
        <v>8</v>
      </c>
      <c r="Q637" t="str">
        <f t="shared" si="36"/>
        <v>Weekend</v>
      </c>
      <c r="R637" t="str">
        <f t="shared" si="37"/>
        <v>Low</v>
      </c>
      <c r="S637" s="10" t="str">
        <f t="shared" si="38"/>
        <v>Clear</v>
      </c>
      <c r="T637" s="10" t="str">
        <f t="shared" si="39"/>
        <v>Cold</v>
      </c>
    </row>
    <row r="638" spans="1:20" x14ac:dyDescent="0.3">
      <c r="A638">
        <v>646</v>
      </c>
      <c r="B638" t="s">
        <v>45</v>
      </c>
      <c r="C638">
        <v>1</v>
      </c>
      <c r="D638">
        <v>0</v>
      </c>
      <c r="E638">
        <v>1</v>
      </c>
      <c r="F638">
        <v>4</v>
      </c>
      <c r="G638" t="b">
        <v>0</v>
      </c>
      <c r="H638">
        <v>0</v>
      </c>
      <c r="I638">
        <v>1</v>
      </c>
      <c r="J638">
        <v>0.14000000000000001</v>
      </c>
      <c r="K638">
        <v>0.21210000000000001</v>
      </c>
      <c r="L638">
        <v>0.93</v>
      </c>
      <c r="M638">
        <v>0</v>
      </c>
      <c r="N638">
        <v>0</v>
      </c>
      <c r="O638">
        <v>1</v>
      </c>
      <c r="P638">
        <v>1</v>
      </c>
      <c r="Q638" t="str">
        <f t="shared" si="36"/>
        <v>Weekend</v>
      </c>
      <c r="R638" t="str">
        <f t="shared" si="37"/>
        <v>Low</v>
      </c>
      <c r="S638" s="10" t="str">
        <f t="shared" si="38"/>
        <v>Clear</v>
      </c>
      <c r="T638" s="10" t="str">
        <f t="shared" si="39"/>
        <v>Cold</v>
      </c>
    </row>
    <row r="639" spans="1:20" x14ac:dyDescent="0.3">
      <c r="A639">
        <v>647</v>
      </c>
      <c r="B639" t="s">
        <v>45</v>
      </c>
      <c r="C639">
        <v>1</v>
      </c>
      <c r="D639">
        <v>0</v>
      </c>
      <c r="E639">
        <v>1</v>
      </c>
      <c r="F639">
        <v>5</v>
      </c>
      <c r="G639" t="b">
        <v>0</v>
      </c>
      <c r="H639">
        <v>0</v>
      </c>
      <c r="I639">
        <v>1</v>
      </c>
      <c r="J639">
        <v>0.14000000000000001</v>
      </c>
      <c r="K639">
        <v>0.21210000000000001</v>
      </c>
      <c r="L639">
        <v>0.86</v>
      </c>
      <c r="M639">
        <v>0</v>
      </c>
      <c r="N639">
        <v>0</v>
      </c>
      <c r="O639">
        <v>3</v>
      </c>
      <c r="P639">
        <v>3</v>
      </c>
      <c r="Q639" t="str">
        <f t="shared" si="36"/>
        <v>Weekend</v>
      </c>
      <c r="R639" t="str">
        <f t="shared" si="37"/>
        <v>Low</v>
      </c>
      <c r="S639" s="10" t="str">
        <f t="shared" si="38"/>
        <v>Clear</v>
      </c>
      <c r="T639" s="10" t="str">
        <f t="shared" si="39"/>
        <v>Cold</v>
      </c>
    </row>
    <row r="640" spans="1:20" x14ac:dyDescent="0.3">
      <c r="A640">
        <v>648</v>
      </c>
      <c r="B640" t="s">
        <v>45</v>
      </c>
      <c r="C640">
        <v>1</v>
      </c>
      <c r="D640">
        <v>0</v>
      </c>
      <c r="E640">
        <v>1</v>
      </c>
      <c r="F640">
        <v>7</v>
      </c>
      <c r="G640" t="b">
        <v>0</v>
      </c>
      <c r="H640">
        <v>0</v>
      </c>
      <c r="I640">
        <v>1</v>
      </c>
      <c r="J640">
        <v>0.14000000000000001</v>
      </c>
      <c r="K640">
        <v>0.21210000000000001</v>
      </c>
      <c r="L640">
        <v>0.86</v>
      </c>
      <c r="M640">
        <v>0</v>
      </c>
      <c r="N640">
        <v>0</v>
      </c>
      <c r="O640">
        <v>3</v>
      </c>
      <c r="P640">
        <v>3</v>
      </c>
      <c r="Q640" t="str">
        <f t="shared" si="36"/>
        <v>Weekend</v>
      </c>
      <c r="R640" t="str">
        <f t="shared" si="37"/>
        <v>Low</v>
      </c>
      <c r="S640" s="10" t="str">
        <f t="shared" si="38"/>
        <v>Clear</v>
      </c>
      <c r="T640" s="10" t="str">
        <f t="shared" si="39"/>
        <v>Cold</v>
      </c>
    </row>
    <row r="641" spans="1:20" x14ac:dyDescent="0.3">
      <c r="A641">
        <v>649</v>
      </c>
      <c r="B641" t="s">
        <v>45</v>
      </c>
      <c r="C641">
        <v>1</v>
      </c>
      <c r="D641">
        <v>0</v>
      </c>
      <c r="E641">
        <v>1</v>
      </c>
      <c r="F641">
        <v>8</v>
      </c>
      <c r="G641" t="b">
        <v>0</v>
      </c>
      <c r="H641">
        <v>0</v>
      </c>
      <c r="I641">
        <v>2</v>
      </c>
      <c r="J641">
        <v>0.14000000000000001</v>
      </c>
      <c r="K641">
        <v>0.21210000000000001</v>
      </c>
      <c r="L641">
        <v>0.86</v>
      </c>
      <c r="M641">
        <v>0</v>
      </c>
      <c r="N641">
        <v>1</v>
      </c>
      <c r="O641">
        <v>11</v>
      </c>
      <c r="P641">
        <v>12</v>
      </c>
      <c r="Q641" t="str">
        <f t="shared" si="36"/>
        <v>Weekend</v>
      </c>
      <c r="R641" t="str">
        <f t="shared" si="37"/>
        <v>Low</v>
      </c>
      <c r="S641" s="10" t="str">
        <f t="shared" si="38"/>
        <v>Mist/Cloudy</v>
      </c>
      <c r="T641" s="10" t="str">
        <f t="shared" si="39"/>
        <v>Cold</v>
      </c>
    </row>
    <row r="642" spans="1:20" x14ac:dyDescent="0.3">
      <c r="A642">
        <v>650</v>
      </c>
      <c r="B642" t="s">
        <v>45</v>
      </c>
      <c r="C642">
        <v>1</v>
      </c>
      <c r="D642">
        <v>0</v>
      </c>
      <c r="E642">
        <v>1</v>
      </c>
      <c r="F642">
        <v>9</v>
      </c>
      <c r="G642" t="b">
        <v>0</v>
      </c>
      <c r="H642">
        <v>0</v>
      </c>
      <c r="I642">
        <v>2</v>
      </c>
      <c r="J642">
        <v>0.16</v>
      </c>
      <c r="K642">
        <v>0.2273</v>
      </c>
      <c r="L642">
        <v>0.8</v>
      </c>
      <c r="M642">
        <v>0</v>
      </c>
      <c r="N642">
        <v>4</v>
      </c>
      <c r="O642">
        <v>34</v>
      </c>
      <c r="P642">
        <v>38</v>
      </c>
      <c r="Q642" t="str">
        <f t="shared" ref="Q642:Q705" si="40">IF(G642=TRUE,"Holiday",IF(H642=0,"Weekend","Weekday"))</f>
        <v>Weekend</v>
      </c>
      <c r="R642" t="str">
        <f t="shared" ref="R642:R705" si="41">IF(P642&lt;50,"Low",IF(P642&lt;150,"Medium","High"))</f>
        <v>Low</v>
      </c>
      <c r="S642" s="10" t="str">
        <f t="shared" si="38"/>
        <v>Mist/Cloudy</v>
      </c>
      <c r="T642" s="10" t="str">
        <f t="shared" si="39"/>
        <v>Cold</v>
      </c>
    </row>
    <row r="643" spans="1:20" x14ac:dyDescent="0.3">
      <c r="A643">
        <v>651</v>
      </c>
      <c r="B643" t="s">
        <v>45</v>
      </c>
      <c r="C643">
        <v>1</v>
      </c>
      <c r="D643">
        <v>0</v>
      </c>
      <c r="E643">
        <v>1</v>
      </c>
      <c r="F643">
        <v>10</v>
      </c>
      <c r="G643" t="b">
        <v>0</v>
      </c>
      <c r="H643">
        <v>0</v>
      </c>
      <c r="I643">
        <v>2</v>
      </c>
      <c r="J643">
        <v>0.18</v>
      </c>
      <c r="K643">
        <v>0.2424</v>
      </c>
      <c r="L643">
        <v>0.8</v>
      </c>
      <c r="M643">
        <v>0</v>
      </c>
      <c r="N643">
        <v>7</v>
      </c>
      <c r="O643">
        <v>57</v>
      </c>
      <c r="P643">
        <v>64</v>
      </c>
      <c r="Q643" t="str">
        <f t="shared" si="40"/>
        <v>Weekend</v>
      </c>
      <c r="R643" t="str">
        <f t="shared" si="41"/>
        <v>Medium</v>
      </c>
      <c r="S643" s="10" t="str">
        <f t="shared" ref="S643:S706" si="42">IF(I643=1,"Clear",IF(I643=2,"Mist/Cloudy",IF(I643=3,"Light Rain/Snow","Heavy Rain/Ice")))</f>
        <v>Mist/Cloudy</v>
      </c>
      <c r="T643" s="10" t="str">
        <f t="shared" ref="T643:T706" si="43">IF(J643&lt;0.3,"Cold","Warm")</f>
        <v>Cold</v>
      </c>
    </row>
    <row r="644" spans="1:20" x14ac:dyDescent="0.3">
      <c r="A644">
        <v>652</v>
      </c>
      <c r="B644" t="s">
        <v>45</v>
      </c>
      <c r="C644">
        <v>1</v>
      </c>
      <c r="D644">
        <v>0</v>
      </c>
      <c r="E644">
        <v>1</v>
      </c>
      <c r="F644">
        <v>11</v>
      </c>
      <c r="G644" t="b">
        <v>0</v>
      </c>
      <c r="H644">
        <v>0</v>
      </c>
      <c r="I644">
        <v>1</v>
      </c>
      <c r="J644">
        <v>0.22</v>
      </c>
      <c r="K644">
        <v>0.2727</v>
      </c>
      <c r="L644">
        <v>0.75</v>
      </c>
      <c r="M644">
        <v>0</v>
      </c>
      <c r="N644">
        <v>9</v>
      </c>
      <c r="O644">
        <v>50</v>
      </c>
      <c r="P644">
        <v>59</v>
      </c>
      <c r="Q644" t="str">
        <f t="shared" si="40"/>
        <v>Weekend</v>
      </c>
      <c r="R644" t="str">
        <f t="shared" si="41"/>
        <v>Medium</v>
      </c>
      <c r="S644" s="10" t="str">
        <f t="shared" si="42"/>
        <v>Clear</v>
      </c>
      <c r="T644" s="10" t="str">
        <f t="shared" si="43"/>
        <v>Cold</v>
      </c>
    </row>
    <row r="645" spans="1:20" x14ac:dyDescent="0.3">
      <c r="A645">
        <v>653</v>
      </c>
      <c r="B645" t="s">
        <v>45</v>
      </c>
      <c r="C645">
        <v>1</v>
      </c>
      <c r="D645">
        <v>0</v>
      </c>
      <c r="E645">
        <v>1</v>
      </c>
      <c r="F645">
        <v>12</v>
      </c>
      <c r="G645" t="b">
        <v>0</v>
      </c>
      <c r="H645">
        <v>0</v>
      </c>
      <c r="I645">
        <v>1</v>
      </c>
      <c r="J645">
        <v>0.3</v>
      </c>
      <c r="K645">
        <v>0.31819999999999998</v>
      </c>
      <c r="L645">
        <v>0.52</v>
      </c>
      <c r="M645">
        <v>0.1045</v>
      </c>
      <c r="N645">
        <v>10</v>
      </c>
      <c r="O645">
        <v>87</v>
      </c>
      <c r="P645">
        <v>97</v>
      </c>
      <c r="Q645" t="str">
        <f t="shared" si="40"/>
        <v>Weekend</v>
      </c>
      <c r="R645" t="str">
        <f t="shared" si="41"/>
        <v>Medium</v>
      </c>
      <c r="S645" s="10" t="str">
        <f t="shared" si="42"/>
        <v>Clear</v>
      </c>
      <c r="T645" s="10" t="str">
        <f t="shared" si="43"/>
        <v>Warm</v>
      </c>
    </row>
    <row r="646" spans="1:20" x14ac:dyDescent="0.3">
      <c r="A646">
        <v>654</v>
      </c>
      <c r="B646" t="s">
        <v>45</v>
      </c>
      <c r="C646">
        <v>1</v>
      </c>
      <c r="D646">
        <v>0</v>
      </c>
      <c r="E646">
        <v>1</v>
      </c>
      <c r="F646">
        <v>13</v>
      </c>
      <c r="G646" t="b">
        <v>0</v>
      </c>
      <c r="H646">
        <v>0</v>
      </c>
      <c r="I646">
        <v>1</v>
      </c>
      <c r="J646">
        <v>0.28000000000000003</v>
      </c>
      <c r="K646">
        <v>0.28789999999999999</v>
      </c>
      <c r="L646">
        <v>0.61</v>
      </c>
      <c r="M646">
        <v>0.1045</v>
      </c>
      <c r="N646">
        <v>13</v>
      </c>
      <c r="O646">
        <v>71</v>
      </c>
      <c r="P646">
        <v>84</v>
      </c>
      <c r="Q646" t="str">
        <f t="shared" si="40"/>
        <v>Weekend</v>
      </c>
      <c r="R646" t="str">
        <f t="shared" si="41"/>
        <v>Medium</v>
      </c>
      <c r="S646" s="10" t="str">
        <f t="shared" si="42"/>
        <v>Clear</v>
      </c>
      <c r="T646" s="10" t="str">
        <f t="shared" si="43"/>
        <v>Cold</v>
      </c>
    </row>
    <row r="647" spans="1:20" x14ac:dyDescent="0.3">
      <c r="A647">
        <v>655</v>
      </c>
      <c r="B647" t="s">
        <v>45</v>
      </c>
      <c r="C647">
        <v>1</v>
      </c>
      <c r="D647">
        <v>0</v>
      </c>
      <c r="E647">
        <v>1</v>
      </c>
      <c r="F647">
        <v>14</v>
      </c>
      <c r="G647" t="b">
        <v>0</v>
      </c>
      <c r="H647">
        <v>0</v>
      </c>
      <c r="I647">
        <v>1</v>
      </c>
      <c r="J647">
        <v>0.28000000000000003</v>
      </c>
      <c r="K647">
        <v>0.30299999999999999</v>
      </c>
      <c r="L647">
        <v>0.61</v>
      </c>
      <c r="M647">
        <v>8.9599999999999999E-2</v>
      </c>
      <c r="N647">
        <v>18</v>
      </c>
      <c r="O647">
        <v>104</v>
      </c>
      <c r="P647">
        <v>122</v>
      </c>
      <c r="Q647" t="str">
        <f t="shared" si="40"/>
        <v>Weekend</v>
      </c>
      <c r="R647" t="str">
        <f t="shared" si="41"/>
        <v>Medium</v>
      </c>
      <c r="S647" s="10" t="str">
        <f t="shared" si="42"/>
        <v>Clear</v>
      </c>
      <c r="T647" s="10" t="str">
        <f t="shared" si="43"/>
        <v>Cold</v>
      </c>
    </row>
    <row r="648" spans="1:20" x14ac:dyDescent="0.3">
      <c r="A648">
        <v>656</v>
      </c>
      <c r="B648" t="s">
        <v>45</v>
      </c>
      <c r="C648">
        <v>1</v>
      </c>
      <c r="D648">
        <v>0</v>
      </c>
      <c r="E648">
        <v>1</v>
      </c>
      <c r="F648">
        <v>15</v>
      </c>
      <c r="G648" t="b">
        <v>0</v>
      </c>
      <c r="H648">
        <v>0</v>
      </c>
      <c r="I648">
        <v>1</v>
      </c>
      <c r="J648">
        <v>0.3</v>
      </c>
      <c r="K648">
        <v>0.33329999999999999</v>
      </c>
      <c r="L648">
        <v>0.56000000000000005</v>
      </c>
      <c r="M648">
        <v>0</v>
      </c>
      <c r="N648">
        <v>14</v>
      </c>
      <c r="O648">
        <v>95</v>
      </c>
      <c r="P648">
        <v>109</v>
      </c>
      <c r="Q648" t="str">
        <f t="shared" si="40"/>
        <v>Weekend</v>
      </c>
      <c r="R648" t="str">
        <f t="shared" si="41"/>
        <v>Medium</v>
      </c>
      <c r="S648" s="10" t="str">
        <f t="shared" si="42"/>
        <v>Clear</v>
      </c>
      <c r="T648" s="10" t="str">
        <f t="shared" si="43"/>
        <v>Warm</v>
      </c>
    </row>
    <row r="649" spans="1:20" x14ac:dyDescent="0.3">
      <c r="A649">
        <v>657</v>
      </c>
      <c r="B649" t="s">
        <v>45</v>
      </c>
      <c r="C649">
        <v>1</v>
      </c>
      <c r="D649">
        <v>0</v>
      </c>
      <c r="E649">
        <v>1</v>
      </c>
      <c r="F649">
        <v>16</v>
      </c>
      <c r="G649" t="b">
        <v>0</v>
      </c>
      <c r="H649">
        <v>0</v>
      </c>
      <c r="I649">
        <v>1</v>
      </c>
      <c r="J649">
        <v>0.3</v>
      </c>
      <c r="K649">
        <v>0.33329999999999999</v>
      </c>
      <c r="L649">
        <v>0.56000000000000005</v>
      </c>
      <c r="M649">
        <v>0</v>
      </c>
      <c r="N649">
        <v>19</v>
      </c>
      <c r="O649">
        <v>104</v>
      </c>
      <c r="P649">
        <v>123</v>
      </c>
      <c r="Q649" t="str">
        <f t="shared" si="40"/>
        <v>Weekend</v>
      </c>
      <c r="R649" t="str">
        <f t="shared" si="41"/>
        <v>Medium</v>
      </c>
      <c r="S649" s="10" t="str">
        <f t="shared" si="42"/>
        <v>Clear</v>
      </c>
      <c r="T649" s="10" t="str">
        <f t="shared" si="43"/>
        <v>Warm</v>
      </c>
    </row>
    <row r="650" spans="1:20" x14ac:dyDescent="0.3">
      <c r="A650">
        <v>658</v>
      </c>
      <c r="B650" t="s">
        <v>45</v>
      </c>
      <c r="C650">
        <v>1</v>
      </c>
      <c r="D650">
        <v>0</v>
      </c>
      <c r="E650">
        <v>1</v>
      </c>
      <c r="F650">
        <v>17</v>
      </c>
      <c r="G650" t="b">
        <v>0</v>
      </c>
      <c r="H650">
        <v>0</v>
      </c>
      <c r="I650">
        <v>1</v>
      </c>
      <c r="J650">
        <v>0.3</v>
      </c>
      <c r="K650">
        <v>0.28789999999999999</v>
      </c>
      <c r="L650">
        <v>0.56000000000000005</v>
      </c>
      <c r="M650">
        <v>0.19400000000000001</v>
      </c>
      <c r="N650">
        <v>6</v>
      </c>
      <c r="O650">
        <v>71</v>
      </c>
      <c r="P650">
        <v>77</v>
      </c>
      <c r="Q650" t="str">
        <f t="shared" si="40"/>
        <v>Weekend</v>
      </c>
      <c r="R650" t="str">
        <f t="shared" si="41"/>
        <v>Medium</v>
      </c>
      <c r="S650" s="10" t="str">
        <f t="shared" si="42"/>
        <v>Clear</v>
      </c>
      <c r="T650" s="10" t="str">
        <f t="shared" si="43"/>
        <v>Warm</v>
      </c>
    </row>
    <row r="651" spans="1:20" x14ac:dyDescent="0.3">
      <c r="A651">
        <v>659</v>
      </c>
      <c r="B651" t="s">
        <v>45</v>
      </c>
      <c r="C651">
        <v>1</v>
      </c>
      <c r="D651">
        <v>0</v>
      </c>
      <c r="E651">
        <v>1</v>
      </c>
      <c r="F651">
        <v>18</v>
      </c>
      <c r="G651" t="b">
        <v>0</v>
      </c>
      <c r="H651">
        <v>0</v>
      </c>
      <c r="I651">
        <v>1</v>
      </c>
      <c r="J651">
        <v>0.26</v>
      </c>
      <c r="K651">
        <v>0.2576</v>
      </c>
      <c r="L651">
        <v>0.65</v>
      </c>
      <c r="M651">
        <v>0.16420000000000001</v>
      </c>
      <c r="N651">
        <v>8</v>
      </c>
      <c r="O651">
        <v>57</v>
      </c>
      <c r="P651">
        <v>65</v>
      </c>
      <c r="Q651" t="str">
        <f t="shared" si="40"/>
        <v>Weekend</v>
      </c>
      <c r="R651" t="str">
        <f t="shared" si="41"/>
        <v>Medium</v>
      </c>
      <c r="S651" s="10" t="str">
        <f t="shared" si="42"/>
        <v>Clear</v>
      </c>
      <c r="T651" s="10" t="str">
        <f t="shared" si="43"/>
        <v>Cold</v>
      </c>
    </row>
    <row r="652" spans="1:20" x14ac:dyDescent="0.3">
      <c r="A652">
        <v>660</v>
      </c>
      <c r="B652" t="s">
        <v>45</v>
      </c>
      <c r="C652">
        <v>1</v>
      </c>
      <c r="D652">
        <v>0</v>
      </c>
      <c r="E652">
        <v>1</v>
      </c>
      <c r="F652">
        <v>19</v>
      </c>
      <c r="G652" t="b">
        <v>0</v>
      </c>
      <c r="H652">
        <v>0</v>
      </c>
      <c r="I652">
        <v>1</v>
      </c>
      <c r="J652">
        <v>0.26</v>
      </c>
      <c r="K652">
        <v>0.2576</v>
      </c>
      <c r="L652">
        <v>0.65</v>
      </c>
      <c r="M652">
        <v>0.19400000000000001</v>
      </c>
      <c r="N652">
        <v>9</v>
      </c>
      <c r="O652">
        <v>46</v>
      </c>
      <c r="P652">
        <v>55</v>
      </c>
      <c r="Q652" t="str">
        <f t="shared" si="40"/>
        <v>Weekend</v>
      </c>
      <c r="R652" t="str">
        <f t="shared" si="41"/>
        <v>Medium</v>
      </c>
      <c r="S652" s="10" t="str">
        <f t="shared" si="42"/>
        <v>Clear</v>
      </c>
      <c r="T652" s="10" t="str">
        <f t="shared" si="43"/>
        <v>Cold</v>
      </c>
    </row>
    <row r="653" spans="1:20" x14ac:dyDescent="0.3">
      <c r="A653">
        <v>661</v>
      </c>
      <c r="B653" t="s">
        <v>45</v>
      </c>
      <c r="C653">
        <v>1</v>
      </c>
      <c r="D653">
        <v>0</v>
      </c>
      <c r="E653">
        <v>1</v>
      </c>
      <c r="F653">
        <v>20</v>
      </c>
      <c r="G653" t="b">
        <v>0</v>
      </c>
      <c r="H653">
        <v>0</v>
      </c>
      <c r="I653">
        <v>2</v>
      </c>
      <c r="J653">
        <v>0.26</v>
      </c>
      <c r="K653">
        <v>0.2727</v>
      </c>
      <c r="L653">
        <v>0.65</v>
      </c>
      <c r="M653">
        <v>0.1045</v>
      </c>
      <c r="N653">
        <v>3</v>
      </c>
      <c r="O653">
        <v>30</v>
      </c>
      <c r="P653">
        <v>33</v>
      </c>
      <c r="Q653" t="str">
        <f t="shared" si="40"/>
        <v>Weekend</v>
      </c>
      <c r="R653" t="str">
        <f t="shared" si="41"/>
        <v>Low</v>
      </c>
      <c r="S653" s="10" t="str">
        <f t="shared" si="42"/>
        <v>Mist/Cloudy</v>
      </c>
      <c r="T653" s="10" t="str">
        <f t="shared" si="43"/>
        <v>Cold</v>
      </c>
    </row>
    <row r="654" spans="1:20" x14ac:dyDescent="0.3">
      <c r="A654">
        <v>662</v>
      </c>
      <c r="B654" t="s">
        <v>45</v>
      </c>
      <c r="C654">
        <v>1</v>
      </c>
      <c r="D654">
        <v>0</v>
      </c>
      <c r="E654">
        <v>1</v>
      </c>
      <c r="F654">
        <v>21</v>
      </c>
      <c r="G654" t="b">
        <v>0</v>
      </c>
      <c r="H654">
        <v>0</v>
      </c>
      <c r="I654">
        <v>2</v>
      </c>
      <c r="J654">
        <v>0.24</v>
      </c>
      <c r="K654">
        <v>0.2424</v>
      </c>
      <c r="L654">
        <v>0.7</v>
      </c>
      <c r="M654">
        <v>0.16420000000000001</v>
      </c>
      <c r="N654">
        <v>3</v>
      </c>
      <c r="O654">
        <v>25</v>
      </c>
      <c r="P654">
        <v>28</v>
      </c>
      <c r="Q654" t="str">
        <f t="shared" si="40"/>
        <v>Weekend</v>
      </c>
      <c r="R654" t="str">
        <f t="shared" si="41"/>
        <v>Low</v>
      </c>
      <c r="S654" s="10" t="str">
        <f t="shared" si="42"/>
        <v>Mist/Cloudy</v>
      </c>
      <c r="T654" s="10" t="str">
        <f t="shared" si="43"/>
        <v>Cold</v>
      </c>
    </row>
    <row r="655" spans="1:20" x14ac:dyDescent="0.3">
      <c r="A655">
        <v>663</v>
      </c>
      <c r="B655" t="s">
        <v>45</v>
      </c>
      <c r="C655">
        <v>1</v>
      </c>
      <c r="D655">
        <v>0</v>
      </c>
      <c r="E655">
        <v>1</v>
      </c>
      <c r="F655">
        <v>22</v>
      </c>
      <c r="G655" t="b">
        <v>0</v>
      </c>
      <c r="H655">
        <v>0</v>
      </c>
      <c r="I655">
        <v>2</v>
      </c>
      <c r="J655">
        <v>0.24</v>
      </c>
      <c r="K655">
        <v>0.2273</v>
      </c>
      <c r="L655">
        <v>0.7</v>
      </c>
      <c r="M655">
        <v>0.19400000000000001</v>
      </c>
      <c r="N655">
        <v>2</v>
      </c>
      <c r="O655">
        <v>19</v>
      </c>
      <c r="P655">
        <v>21</v>
      </c>
      <c r="Q655" t="str">
        <f t="shared" si="40"/>
        <v>Weekend</v>
      </c>
      <c r="R655" t="str">
        <f t="shared" si="41"/>
        <v>Low</v>
      </c>
      <c r="S655" s="10" t="str">
        <f t="shared" si="42"/>
        <v>Mist/Cloudy</v>
      </c>
      <c r="T655" s="10" t="str">
        <f t="shared" si="43"/>
        <v>Cold</v>
      </c>
    </row>
    <row r="656" spans="1:20" x14ac:dyDescent="0.3">
      <c r="A656">
        <v>664</v>
      </c>
      <c r="B656" t="s">
        <v>45</v>
      </c>
      <c r="C656">
        <v>1</v>
      </c>
      <c r="D656">
        <v>0</v>
      </c>
      <c r="E656">
        <v>1</v>
      </c>
      <c r="F656">
        <v>23</v>
      </c>
      <c r="G656" t="b">
        <v>0</v>
      </c>
      <c r="H656">
        <v>0</v>
      </c>
      <c r="I656">
        <v>2</v>
      </c>
      <c r="J656">
        <v>0.24</v>
      </c>
      <c r="K656">
        <v>0.21210000000000001</v>
      </c>
      <c r="L656">
        <v>0.65</v>
      </c>
      <c r="M656">
        <v>0.28360000000000002</v>
      </c>
      <c r="N656">
        <v>5</v>
      </c>
      <c r="O656">
        <v>16</v>
      </c>
      <c r="P656">
        <v>21</v>
      </c>
      <c r="Q656" t="str">
        <f t="shared" si="40"/>
        <v>Weekend</v>
      </c>
      <c r="R656" t="str">
        <f t="shared" si="41"/>
        <v>Low</v>
      </c>
      <c r="S656" s="10" t="str">
        <f t="shared" si="42"/>
        <v>Mist/Cloudy</v>
      </c>
      <c r="T656" s="10" t="str">
        <f t="shared" si="43"/>
        <v>Cold</v>
      </c>
    </row>
    <row r="657" spans="1:20" x14ac:dyDescent="0.3">
      <c r="A657">
        <v>665</v>
      </c>
      <c r="B657" t="s">
        <v>46</v>
      </c>
      <c r="C657">
        <v>1</v>
      </c>
      <c r="D657">
        <v>0</v>
      </c>
      <c r="E657">
        <v>1</v>
      </c>
      <c r="F657">
        <v>0</v>
      </c>
      <c r="G657" t="b">
        <v>0</v>
      </c>
      <c r="H657">
        <v>1</v>
      </c>
      <c r="I657">
        <v>2</v>
      </c>
      <c r="J657">
        <v>0.24</v>
      </c>
      <c r="K657">
        <v>0.2273</v>
      </c>
      <c r="L657">
        <v>0.65</v>
      </c>
      <c r="M657">
        <v>0.22389999999999999</v>
      </c>
      <c r="N657">
        <v>1</v>
      </c>
      <c r="O657">
        <v>6</v>
      </c>
      <c r="P657">
        <v>7</v>
      </c>
      <c r="Q657" t="str">
        <f t="shared" si="40"/>
        <v>Weekday</v>
      </c>
      <c r="R657" t="str">
        <f t="shared" si="41"/>
        <v>Low</v>
      </c>
      <c r="S657" s="10" t="str">
        <f t="shared" si="42"/>
        <v>Mist/Cloudy</v>
      </c>
      <c r="T657" s="10" t="str">
        <f t="shared" si="43"/>
        <v>Cold</v>
      </c>
    </row>
    <row r="658" spans="1:20" x14ac:dyDescent="0.3">
      <c r="A658">
        <v>666</v>
      </c>
      <c r="B658" t="s">
        <v>46</v>
      </c>
      <c r="C658">
        <v>1</v>
      </c>
      <c r="D658">
        <v>0</v>
      </c>
      <c r="E658">
        <v>1</v>
      </c>
      <c r="F658">
        <v>1</v>
      </c>
      <c r="G658" t="b">
        <v>0</v>
      </c>
      <c r="H658">
        <v>1</v>
      </c>
      <c r="I658">
        <v>1</v>
      </c>
      <c r="J658">
        <v>0.22</v>
      </c>
      <c r="K658">
        <v>0.21210000000000001</v>
      </c>
      <c r="L658">
        <v>0.64</v>
      </c>
      <c r="M658">
        <v>0.25369999999999998</v>
      </c>
      <c r="N658">
        <v>2</v>
      </c>
      <c r="O658">
        <v>5</v>
      </c>
      <c r="P658">
        <v>7</v>
      </c>
      <c r="Q658" t="str">
        <f t="shared" si="40"/>
        <v>Weekday</v>
      </c>
      <c r="R658" t="str">
        <f t="shared" si="41"/>
        <v>Low</v>
      </c>
      <c r="S658" s="10" t="str">
        <f t="shared" si="42"/>
        <v>Clear</v>
      </c>
      <c r="T658" s="10" t="str">
        <f t="shared" si="43"/>
        <v>Cold</v>
      </c>
    </row>
    <row r="659" spans="1:20" x14ac:dyDescent="0.3">
      <c r="A659">
        <v>667</v>
      </c>
      <c r="B659" t="s">
        <v>46</v>
      </c>
      <c r="C659">
        <v>1</v>
      </c>
      <c r="D659">
        <v>0</v>
      </c>
      <c r="E659">
        <v>1</v>
      </c>
      <c r="F659">
        <v>2</v>
      </c>
      <c r="G659" t="b">
        <v>0</v>
      </c>
      <c r="H659">
        <v>1</v>
      </c>
      <c r="I659">
        <v>1</v>
      </c>
      <c r="J659">
        <v>0.22</v>
      </c>
      <c r="K659">
        <v>0.2273</v>
      </c>
      <c r="L659">
        <v>0.64</v>
      </c>
      <c r="M659">
        <v>0.19400000000000001</v>
      </c>
      <c r="N659">
        <v>0</v>
      </c>
      <c r="O659">
        <v>1</v>
      </c>
      <c r="P659">
        <v>1</v>
      </c>
      <c r="Q659" t="str">
        <f t="shared" si="40"/>
        <v>Weekday</v>
      </c>
      <c r="R659" t="str">
        <f t="shared" si="41"/>
        <v>Low</v>
      </c>
      <c r="S659" s="10" t="str">
        <f t="shared" si="42"/>
        <v>Clear</v>
      </c>
      <c r="T659" s="10" t="str">
        <f t="shared" si="43"/>
        <v>Cold</v>
      </c>
    </row>
    <row r="660" spans="1:20" x14ac:dyDescent="0.3">
      <c r="A660">
        <v>668</v>
      </c>
      <c r="B660" t="s">
        <v>46</v>
      </c>
      <c r="C660">
        <v>1</v>
      </c>
      <c r="D660">
        <v>0</v>
      </c>
      <c r="E660">
        <v>1</v>
      </c>
      <c r="F660">
        <v>3</v>
      </c>
      <c r="G660" t="b">
        <v>0</v>
      </c>
      <c r="H660">
        <v>1</v>
      </c>
      <c r="I660">
        <v>1</v>
      </c>
      <c r="J660">
        <v>0.22</v>
      </c>
      <c r="K660">
        <v>0.2273</v>
      </c>
      <c r="L660">
        <v>0.64</v>
      </c>
      <c r="M660">
        <v>0.19400000000000001</v>
      </c>
      <c r="N660">
        <v>0</v>
      </c>
      <c r="O660">
        <v>2</v>
      </c>
      <c r="P660">
        <v>2</v>
      </c>
      <c r="Q660" t="str">
        <f t="shared" si="40"/>
        <v>Weekday</v>
      </c>
      <c r="R660" t="str">
        <f t="shared" si="41"/>
        <v>Low</v>
      </c>
      <c r="S660" s="10" t="str">
        <f t="shared" si="42"/>
        <v>Clear</v>
      </c>
      <c r="T660" s="10" t="str">
        <f t="shared" si="43"/>
        <v>Cold</v>
      </c>
    </row>
    <row r="661" spans="1:20" x14ac:dyDescent="0.3">
      <c r="A661">
        <v>669</v>
      </c>
      <c r="B661" t="s">
        <v>46</v>
      </c>
      <c r="C661">
        <v>1</v>
      </c>
      <c r="D661">
        <v>0</v>
      </c>
      <c r="E661">
        <v>1</v>
      </c>
      <c r="F661">
        <v>4</v>
      </c>
      <c r="G661" t="b">
        <v>0</v>
      </c>
      <c r="H661">
        <v>1</v>
      </c>
      <c r="I661">
        <v>1</v>
      </c>
      <c r="J661">
        <v>0.2</v>
      </c>
      <c r="K661">
        <v>0.19700000000000001</v>
      </c>
      <c r="L661">
        <v>0.59</v>
      </c>
      <c r="M661">
        <v>0.22389999999999999</v>
      </c>
      <c r="N661">
        <v>0</v>
      </c>
      <c r="O661">
        <v>2</v>
      </c>
      <c r="P661">
        <v>2</v>
      </c>
      <c r="Q661" t="str">
        <f t="shared" si="40"/>
        <v>Weekday</v>
      </c>
      <c r="R661" t="str">
        <f t="shared" si="41"/>
        <v>Low</v>
      </c>
      <c r="S661" s="10" t="str">
        <f t="shared" si="42"/>
        <v>Clear</v>
      </c>
      <c r="T661" s="10" t="str">
        <f t="shared" si="43"/>
        <v>Cold</v>
      </c>
    </row>
    <row r="662" spans="1:20" x14ac:dyDescent="0.3">
      <c r="A662">
        <v>670</v>
      </c>
      <c r="B662" t="s">
        <v>46</v>
      </c>
      <c r="C662">
        <v>1</v>
      </c>
      <c r="D662">
        <v>0</v>
      </c>
      <c r="E662">
        <v>1</v>
      </c>
      <c r="F662">
        <v>5</v>
      </c>
      <c r="G662" t="b">
        <v>0</v>
      </c>
      <c r="H662">
        <v>1</v>
      </c>
      <c r="I662">
        <v>1</v>
      </c>
      <c r="J662">
        <v>0.18</v>
      </c>
      <c r="K662">
        <v>0.16669999999999999</v>
      </c>
      <c r="L662">
        <v>0.64</v>
      </c>
      <c r="M662">
        <v>0.28360000000000002</v>
      </c>
      <c r="N662">
        <v>0</v>
      </c>
      <c r="O662">
        <v>8</v>
      </c>
      <c r="P662">
        <v>8</v>
      </c>
      <c r="Q662" t="str">
        <f t="shared" si="40"/>
        <v>Weekday</v>
      </c>
      <c r="R662" t="str">
        <f t="shared" si="41"/>
        <v>Low</v>
      </c>
      <c r="S662" s="10" t="str">
        <f t="shared" si="42"/>
        <v>Clear</v>
      </c>
      <c r="T662" s="10" t="str">
        <f t="shared" si="43"/>
        <v>Cold</v>
      </c>
    </row>
    <row r="663" spans="1:20" x14ac:dyDescent="0.3">
      <c r="A663">
        <v>671</v>
      </c>
      <c r="B663" t="s">
        <v>46</v>
      </c>
      <c r="C663">
        <v>1</v>
      </c>
      <c r="D663">
        <v>0</v>
      </c>
      <c r="E663">
        <v>1</v>
      </c>
      <c r="F663">
        <v>6</v>
      </c>
      <c r="G663" t="b">
        <v>0</v>
      </c>
      <c r="H663">
        <v>1</v>
      </c>
      <c r="I663">
        <v>1</v>
      </c>
      <c r="J663">
        <v>0.16</v>
      </c>
      <c r="K663">
        <v>0.13639999999999999</v>
      </c>
      <c r="L663">
        <v>0.69</v>
      </c>
      <c r="M663">
        <v>0.32840000000000003</v>
      </c>
      <c r="N663">
        <v>0</v>
      </c>
      <c r="O663">
        <v>37</v>
      </c>
      <c r="P663">
        <v>37</v>
      </c>
      <c r="Q663" t="str">
        <f t="shared" si="40"/>
        <v>Weekday</v>
      </c>
      <c r="R663" t="str">
        <f t="shared" si="41"/>
        <v>Low</v>
      </c>
      <c r="S663" s="10" t="str">
        <f t="shared" si="42"/>
        <v>Clear</v>
      </c>
      <c r="T663" s="10" t="str">
        <f t="shared" si="43"/>
        <v>Cold</v>
      </c>
    </row>
    <row r="664" spans="1:20" x14ac:dyDescent="0.3">
      <c r="A664">
        <v>672</v>
      </c>
      <c r="B664" t="s">
        <v>46</v>
      </c>
      <c r="C664">
        <v>1</v>
      </c>
      <c r="D664">
        <v>0</v>
      </c>
      <c r="E664">
        <v>1</v>
      </c>
      <c r="F664">
        <v>7</v>
      </c>
      <c r="G664" t="b">
        <v>0</v>
      </c>
      <c r="H664">
        <v>1</v>
      </c>
      <c r="I664">
        <v>2</v>
      </c>
      <c r="J664">
        <v>0.16</v>
      </c>
      <c r="K664">
        <v>0.13639999999999999</v>
      </c>
      <c r="L664">
        <v>0.64</v>
      </c>
      <c r="M664">
        <v>0.28360000000000002</v>
      </c>
      <c r="N664">
        <v>1</v>
      </c>
      <c r="O664">
        <v>71</v>
      </c>
      <c r="P664">
        <v>72</v>
      </c>
      <c r="Q664" t="str">
        <f t="shared" si="40"/>
        <v>Weekday</v>
      </c>
      <c r="R664" t="str">
        <f t="shared" si="41"/>
        <v>Medium</v>
      </c>
      <c r="S664" s="10" t="str">
        <f t="shared" si="42"/>
        <v>Mist/Cloudy</v>
      </c>
      <c r="T664" s="10" t="str">
        <f t="shared" si="43"/>
        <v>Cold</v>
      </c>
    </row>
    <row r="665" spans="1:20" x14ac:dyDescent="0.3">
      <c r="A665">
        <v>673</v>
      </c>
      <c r="B665" t="s">
        <v>46</v>
      </c>
      <c r="C665">
        <v>1</v>
      </c>
      <c r="D665">
        <v>0</v>
      </c>
      <c r="E665">
        <v>1</v>
      </c>
      <c r="F665">
        <v>8</v>
      </c>
      <c r="G665" t="b">
        <v>0</v>
      </c>
      <c r="H665">
        <v>1</v>
      </c>
      <c r="I665">
        <v>2</v>
      </c>
      <c r="J665">
        <v>0.16</v>
      </c>
      <c r="K665">
        <v>0.13639999999999999</v>
      </c>
      <c r="L665">
        <v>0.59</v>
      </c>
      <c r="M665">
        <v>0.28360000000000002</v>
      </c>
      <c r="N665">
        <v>3</v>
      </c>
      <c r="O665">
        <v>182</v>
      </c>
      <c r="P665">
        <v>185</v>
      </c>
      <c r="Q665" t="str">
        <f t="shared" si="40"/>
        <v>Weekday</v>
      </c>
      <c r="R665" t="str">
        <f t="shared" si="41"/>
        <v>High</v>
      </c>
      <c r="S665" s="10" t="str">
        <f t="shared" si="42"/>
        <v>Mist/Cloudy</v>
      </c>
      <c r="T665" s="10" t="str">
        <f t="shared" si="43"/>
        <v>Cold</v>
      </c>
    </row>
    <row r="666" spans="1:20" x14ac:dyDescent="0.3">
      <c r="A666">
        <v>674</v>
      </c>
      <c r="B666" t="s">
        <v>46</v>
      </c>
      <c r="C666">
        <v>1</v>
      </c>
      <c r="D666">
        <v>0</v>
      </c>
      <c r="E666">
        <v>1</v>
      </c>
      <c r="F666">
        <v>9</v>
      </c>
      <c r="G666" t="b">
        <v>0</v>
      </c>
      <c r="H666">
        <v>1</v>
      </c>
      <c r="I666">
        <v>2</v>
      </c>
      <c r="J666">
        <v>0.16</v>
      </c>
      <c r="K666">
        <v>0.13639999999999999</v>
      </c>
      <c r="L666">
        <v>0.59</v>
      </c>
      <c r="M666">
        <v>0.29849999999999999</v>
      </c>
      <c r="N666">
        <v>0</v>
      </c>
      <c r="O666">
        <v>112</v>
      </c>
      <c r="P666">
        <v>112</v>
      </c>
      <c r="Q666" t="str">
        <f t="shared" si="40"/>
        <v>Weekday</v>
      </c>
      <c r="R666" t="str">
        <f t="shared" si="41"/>
        <v>Medium</v>
      </c>
      <c r="S666" s="10" t="str">
        <f t="shared" si="42"/>
        <v>Mist/Cloudy</v>
      </c>
      <c r="T666" s="10" t="str">
        <f t="shared" si="43"/>
        <v>Cold</v>
      </c>
    </row>
    <row r="667" spans="1:20" x14ac:dyDescent="0.3">
      <c r="A667">
        <v>675</v>
      </c>
      <c r="B667" t="s">
        <v>46</v>
      </c>
      <c r="C667">
        <v>1</v>
      </c>
      <c r="D667">
        <v>0</v>
      </c>
      <c r="E667">
        <v>1</v>
      </c>
      <c r="F667">
        <v>10</v>
      </c>
      <c r="G667" t="b">
        <v>0</v>
      </c>
      <c r="H667">
        <v>1</v>
      </c>
      <c r="I667">
        <v>2</v>
      </c>
      <c r="J667">
        <v>0.16</v>
      </c>
      <c r="K667">
        <v>0.1515</v>
      </c>
      <c r="L667">
        <v>0.59</v>
      </c>
      <c r="M667">
        <v>0.19400000000000001</v>
      </c>
      <c r="N667">
        <v>1</v>
      </c>
      <c r="O667">
        <v>68</v>
      </c>
      <c r="P667">
        <v>69</v>
      </c>
      <c r="Q667" t="str">
        <f t="shared" si="40"/>
        <v>Weekday</v>
      </c>
      <c r="R667" t="str">
        <f t="shared" si="41"/>
        <v>Medium</v>
      </c>
      <c r="S667" s="10" t="str">
        <f t="shared" si="42"/>
        <v>Mist/Cloudy</v>
      </c>
      <c r="T667" s="10" t="str">
        <f t="shared" si="43"/>
        <v>Cold</v>
      </c>
    </row>
    <row r="668" spans="1:20" x14ac:dyDescent="0.3">
      <c r="A668">
        <v>676</v>
      </c>
      <c r="B668" t="s">
        <v>46</v>
      </c>
      <c r="C668">
        <v>1</v>
      </c>
      <c r="D668">
        <v>0</v>
      </c>
      <c r="E668">
        <v>1</v>
      </c>
      <c r="F668">
        <v>11</v>
      </c>
      <c r="G668" t="b">
        <v>0</v>
      </c>
      <c r="H668">
        <v>1</v>
      </c>
      <c r="I668">
        <v>2</v>
      </c>
      <c r="J668">
        <v>0.16</v>
      </c>
      <c r="K668">
        <v>0.1515</v>
      </c>
      <c r="L668">
        <v>0.59</v>
      </c>
      <c r="M668">
        <v>0.19400000000000001</v>
      </c>
      <c r="N668">
        <v>2</v>
      </c>
      <c r="O668">
        <v>46</v>
      </c>
      <c r="P668">
        <v>48</v>
      </c>
      <c r="Q668" t="str">
        <f t="shared" si="40"/>
        <v>Weekday</v>
      </c>
      <c r="R668" t="str">
        <f t="shared" si="41"/>
        <v>Low</v>
      </c>
      <c r="S668" s="10" t="str">
        <f t="shared" si="42"/>
        <v>Mist/Cloudy</v>
      </c>
      <c r="T668" s="10" t="str">
        <f t="shared" si="43"/>
        <v>Cold</v>
      </c>
    </row>
    <row r="669" spans="1:20" x14ac:dyDescent="0.3">
      <c r="A669">
        <v>677</v>
      </c>
      <c r="B669" t="s">
        <v>46</v>
      </c>
      <c r="C669">
        <v>1</v>
      </c>
      <c r="D669">
        <v>0</v>
      </c>
      <c r="E669">
        <v>1</v>
      </c>
      <c r="F669">
        <v>12</v>
      </c>
      <c r="G669" t="b">
        <v>0</v>
      </c>
      <c r="H669">
        <v>1</v>
      </c>
      <c r="I669">
        <v>2</v>
      </c>
      <c r="J669">
        <v>0.18</v>
      </c>
      <c r="K669">
        <v>0.21210000000000001</v>
      </c>
      <c r="L669">
        <v>0.55000000000000004</v>
      </c>
      <c r="M669">
        <v>0.1045</v>
      </c>
      <c r="N669">
        <v>6</v>
      </c>
      <c r="O669">
        <v>62</v>
      </c>
      <c r="P669">
        <v>68</v>
      </c>
      <c r="Q669" t="str">
        <f t="shared" si="40"/>
        <v>Weekday</v>
      </c>
      <c r="R669" t="str">
        <f t="shared" si="41"/>
        <v>Medium</v>
      </c>
      <c r="S669" s="10" t="str">
        <f t="shared" si="42"/>
        <v>Mist/Cloudy</v>
      </c>
      <c r="T669" s="10" t="str">
        <f t="shared" si="43"/>
        <v>Cold</v>
      </c>
    </row>
    <row r="670" spans="1:20" x14ac:dyDescent="0.3">
      <c r="A670">
        <v>678</v>
      </c>
      <c r="B670" t="s">
        <v>46</v>
      </c>
      <c r="C670">
        <v>1</v>
      </c>
      <c r="D670">
        <v>0</v>
      </c>
      <c r="E670">
        <v>1</v>
      </c>
      <c r="F670">
        <v>13</v>
      </c>
      <c r="G670" t="b">
        <v>0</v>
      </c>
      <c r="H670">
        <v>1</v>
      </c>
      <c r="I670">
        <v>2</v>
      </c>
      <c r="J670">
        <v>0.16</v>
      </c>
      <c r="K670">
        <v>0.2273</v>
      </c>
      <c r="L670">
        <v>0.59</v>
      </c>
      <c r="M670">
        <v>0</v>
      </c>
      <c r="N670">
        <v>2</v>
      </c>
      <c r="O670">
        <v>52</v>
      </c>
      <c r="P670">
        <v>54</v>
      </c>
      <c r="Q670" t="str">
        <f t="shared" si="40"/>
        <v>Weekday</v>
      </c>
      <c r="R670" t="str">
        <f t="shared" si="41"/>
        <v>Medium</v>
      </c>
      <c r="S670" s="10" t="str">
        <f t="shared" si="42"/>
        <v>Mist/Cloudy</v>
      </c>
      <c r="T670" s="10" t="str">
        <f t="shared" si="43"/>
        <v>Cold</v>
      </c>
    </row>
    <row r="671" spans="1:20" x14ac:dyDescent="0.3">
      <c r="A671">
        <v>679</v>
      </c>
      <c r="B671" t="s">
        <v>46</v>
      </c>
      <c r="C671">
        <v>1</v>
      </c>
      <c r="D671">
        <v>0</v>
      </c>
      <c r="E671">
        <v>1</v>
      </c>
      <c r="F671">
        <v>14</v>
      </c>
      <c r="G671" t="b">
        <v>0</v>
      </c>
      <c r="H671">
        <v>1</v>
      </c>
      <c r="I671">
        <v>2</v>
      </c>
      <c r="J671">
        <v>0.18</v>
      </c>
      <c r="K671">
        <v>0.19700000000000001</v>
      </c>
      <c r="L671">
        <v>0.55000000000000004</v>
      </c>
      <c r="M671">
        <v>0.1343</v>
      </c>
      <c r="N671">
        <v>1</v>
      </c>
      <c r="O671">
        <v>85</v>
      </c>
      <c r="P671">
        <v>86</v>
      </c>
      <c r="Q671" t="str">
        <f t="shared" si="40"/>
        <v>Weekday</v>
      </c>
      <c r="R671" t="str">
        <f t="shared" si="41"/>
        <v>Medium</v>
      </c>
      <c r="S671" s="10" t="str">
        <f t="shared" si="42"/>
        <v>Mist/Cloudy</v>
      </c>
      <c r="T671" s="10" t="str">
        <f t="shared" si="43"/>
        <v>Cold</v>
      </c>
    </row>
    <row r="672" spans="1:20" x14ac:dyDescent="0.3">
      <c r="A672">
        <v>680</v>
      </c>
      <c r="B672" t="s">
        <v>46</v>
      </c>
      <c r="C672">
        <v>1</v>
      </c>
      <c r="D672">
        <v>0</v>
      </c>
      <c r="E672">
        <v>1</v>
      </c>
      <c r="F672">
        <v>15</v>
      </c>
      <c r="G672" t="b">
        <v>0</v>
      </c>
      <c r="H672">
        <v>1</v>
      </c>
      <c r="I672">
        <v>2</v>
      </c>
      <c r="J672">
        <v>0.16</v>
      </c>
      <c r="K672">
        <v>0.18179999999999999</v>
      </c>
      <c r="L672">
        <v>0.59</v>
      </c>
      <c r="M672">
        <v>0.1343</v>
      </c>
      <c r="N672">
        <v>3</v>
      </c>
      <c r="O672">
        <v>41</v>
      </c>
      <c r="P672">
        <v>44</v>
      </c>
      <c r="Q672" t="str">
        <f t="shared" si="40"/>
        <v>Weekday</v>
      </c>
      <c r="R672" t="str">
        <f t="shared" si="41"/>
        <v>Low</v>
      </c>
      <c r="S672" s="10" t="str">
        <f t="shared" si="42"/>
        <v>Mist/Cloudy</v>
      </c>
      <c r="T672" s="10" t="str">
        <f t="shared" si="43"/>
        <v>Cold</v>
      </c>
    </row>
    <row r="673" spans="1:20" x14ac:dyDescent="0.3">
      <c r="A673">
        <v>681</v>
      </c>
      <c r="B673" t="s">
        <v>46</v>
      </c>
      <c r="C673">
        <v>1</v>
      </c>
      <c r="D673">
        <v>0</v>
      </c>
      <c r="E673">
        <v>1</v>
      </c>
      <c r="F673">
        <v>16</v>
      </c>
      <c r="G673" t="b">
        <v>0</v>
      </c>
      <c r="H673">
        <v>1</v>
      </c>
      <c r="I673">
        <v>2</v>
      </c>
      <c r="J673">
        <v>0.16</v>
      </c>
      <c r="K673">
        <v>0.18179999999999999</v>
      </c>
      <c r="L673">
        <v>0.56000000000000005</v>
      </c>
      <c r="M673">
        <v>0.19400000000000001</v>
      </c>
      <c r="N673">
        <v>3</v>
      </c>
      <c r="O673">
        <v>83</v>
      </c>
      <c r="P673">
        <v>86</v>
      </c>
      <c r="Q673" t="str">
        <f t="shared" si="40"/>
        <v>Weekday</v>
      </c>
      <c r="R673" t="str">
        <f t="shared" si="41"/>
        <v>Medium</v>
      </c>
      <c r="S673" s="10" t="str">
        <f t="shared" si="42"/>
        <v>Mist/Cloudy</v>
      </c>
      <c r="T673" s="10" t="str">
        <f t="shared" si="43"/>
        <v>Cold</v>
      </c>
    </row>
    <row r="674" spans="1:20" x14ac:dyDescent="0.3">
      <c r="A674">
        <v>682</v>
      </c>
      <c r="B674" t="s">
        <v>46</v>
      </c>
      <c r="C674">
        <v>1</v>
      </c>
      <c r="D674">
        <v>0</v>
      </c>
      <c r="E674">
        <v>1</v>
      </c>
      <c r="F674">
        <v>17</v>
      </c>
      <c r="G674" t="b">
        <v>0</v>
      </c>
      <c r="H674">
        <v>1</v>
      </c>
      <c r="I674">
        <v>2</v>
      </c>
      <c r="J674">
        <v>0.16</v>
      </c>
      <c r="K674">
        <v>0.1515</v>
      </c>
      <c r="L674">
        <v>0.59</v>
      </c>
      <c r="M674">
        <v>0.19400000000000001</v>
      </c>
      <c r="N674">
        <v>6</v>
      </c>
      <c r="O674">
        <v>155</v>
      </c>
      <c r="P674">
        <v>161</v>
      </c>
      <c r="Q674" t="str">
        <f t="shared" si="40"/>
        <v>Weekday</v>
      </c>
      <c r="R674" t="str">
        <f t="shared" si="41"/>
        <v>High</v>
      </c>
      <c r="S674" s="10" t="str">
        <f t="shared" si="42"/>
        <v>Mist/Cloudy</v>
      </c>
      <c r="T674" s="10" t="str">
        <f t="shared" si="43"/>
        <v>Cold</v>
      </c>
    </row>
    <row r="675" spans="1:20" x14ac:dyDescent="0.3">
      <c r="A675">
        <v>683</v>
      </c>
      <c r="B675" t="s">
        <v>46</v>
      </c>
      <c r="C675">
        <v>1</v>
      </c>
      <c r="D675">
        <v>0</v>
      </c>
      <c r="E675">
        <v>1</v>
      </c>
      <c r="F675">
        <v>18</v>
      </c>
      <c r="G675" t="b">
        <v>0</v>
      </c>
      <c r="H675">
        <v>1</v>
      </c>
      <c r="I675">
        <v>2</v>
      </c>
      <c r="J675">
        <v>0.16</v>
      </c>
      <c r="K675">
        <v>0.1515</v>
      </c>
      <c r="L675">
        <v>0.55000000000000004</v>
      </c>
      <c r="M675">
        <v>0.22389999999999999</v>
      </c>
      <c r="N675">
        <v>3</v>
      </c>
      <c r="O675">
        <v>153</v>
      </c>
      <c r="P675">
        <v>156</v>
      </c>
      <c r="Q675" t="str">
        <f t="shared" si="40"/>
        <v>Weekday</v>
      </c>
      <c r="R675" t="str">
        <f t="shared" si="41"/>
        <v>High</v>
      </c>
      <c r="S675" s="10" t="str">
        <f t="shared" si="42"/>
        <v>Mist/Cloudy</v>
      </c>
      <c r="T675" s="10" t="str">
        <f t="shared" si="43"/>
        <v>Cold</v>
      </c>
    </row>
    <row r="676" spans="1:20" x14ac:dyDescent="0.3">
      <c r="A676">
        <v>684</v>
      </c>
      <c r="B676" t="s">
        <v>46</v>
      </c>
      <c r="C676">
        <v>1</v>
      </c>
      <c r="D676">
        <v>0</v>
      </c>
      <c r="E676">
        <v>1</v>
      </c>
      <c r="F676">
        <v>19</v>
      </c>
      <c r="G676" t="b">
        <v>0</v>
      </c>
      <c r="H676">
        <v>1</v>
      </c>
      <c r="I676">
        <v>1</v>
      </c>
      <c r="J676">
        <v>0.3</v>
      </c>
      <c r="K676">
        <v>0.31819999999999998</v>
      </c>
      <c r="L676">
        <v>0.61</v>
      </c>
      <c r="M676">
        <v>0.1045</v>
      </c>
      <c r="N676">
        <v>3</v>
      </c>
      <c r="O676">
        <v>108</v>
      </c>
      <c r="P676">
        <v>111</v>
      </c>
      <c r="Q676" t="str">
        <f t="shared" si="40"/>
        <v>Weekday</v>
      </c>
      <c r="R676" t="str">
        <f t="shared" si="41"/>
        <v>Medium</v>
      </c>
      <c r="S676" s="10" t="str">
        <f t="shared" si="42"/>
        <v>Clear</v>
      </c>
      <c r="T676" s="10" t="str">
        <f t="shared" si="43"/>
        <v>Warm</v>
      </c>
    </row>
    <row r="677" spans="1:20" x14ac:dyDescent="0.3">
      <c r="A677">
        <v>685</v>
      </c>
      <c r="B677" t="s">
        <v>46</v>
      </c>
      <c r="C677">
        <v>1</v>
      </c>
      <c r="D677">
        <v>0</v>
      </c>
      <c r="E677">
        <v>1</v>
      </c>
      <c r="F677">
        <v>20</v>
      </c>
      <c r="G677" t="b">
        <v>0</v>
      </c>
      <c r="H677">
        <v>1</v>
      </c>
      <c r="I677">
        <v>3</v>
      </c>
      <c r="J677">
        <v>0.16</v>
      </c>
      <c r="K677">
        <v>0.16669999999999999</v>
      </c>
      <c r="L677">
        <v>0.59</v>
      </c>
      <c r="M677">
        <v>0.16420000000000001</v>
      </c>
      <c r="N677">
        <v>0</v>
      </c>
      <c r="O677">
        <v>78</v>
      </c>
      <c r="P677">
        <v>78</v>
      </c>
      <c r="Q677" t="str">
        <f t="shared" si="40"/>
        <v>Weekday</v>
      </c>
      <c r="R677" t="str">
        <f t="shared" si="41"/>
        <v>Medium</v>
      </c>
      <c r="S677" s="10" t="str">
        <f t="shared" si="42"/>
        <v>Light Rain/Snow</v>
      </c>
      <c r="T677" s="10" t="str">
        <f t="shared" si="43"/>
        <v>Cold</v>
      </c>
    </row>
    <row r="678" spans="1:20" x14ac:dyDescent="0.3">
      <c r="A678">
        <v>686</v>
      </c>
      <c r="B678" t="s">
        <v>46</v>
      </c>
      <c r="C678">
        <v>1</v>
      </c>
      <c r="D678">
        <v>0</v>
      </c>
      <c r="E678">
        <v>1</v>
      </c>
      <c r="F678">
        <v>21</v>
      </c>
      <c r="G678" t="b">
        <v>0</v>
      </c>
      <c r="H678">
        <v>1</v>
      </c>
      <c r="I678">
        <v>3</v>
      </c>
      <c r="J678">
        <v>0.16</v>
      </c>
      <c r="K678">
        <v>0.19700000000000001</v>
      </c>
      <c r="L678">
        <v>0.59</v>
      </c>
      <c r="M678">
        <v>8.9599999999999999E-2</v>
      </c>
      <c r="N678">
        <v>3</v>
      </c>
      <c r="O678">
        <v>53</v>
      </c>
      <c r="P678">
        <v>56</v>
      </c>
      <c r="Q678" t="str">
        <f t="shared" si="40"/>
        <v>Weekday</v>
      </c>
      <c r="R678" t="str">
        <f t="shared" si="41"/>
        <v>Medium</v>
      </c>
      <c r="S678" s="10" t="str">
        <f t="shared" si="42"/>
        <v>Light Rain/Snow</v>
      </c>
      <c r="T678" s="10" t="str">
        <f t="shared" si="43"/>
        <v>Cold</v>
      </c>
    </row>
    <row r="679" spans="1:20" x14ac:dyDescent="0.3">
      <c r="A679">
        <v>687</v>
      </c>
      <c r="B679" t="s">
        <v>46</v>
      </c>
      <c r="C679">
        <v>1</v>
      </c>
      <c r="D679">
        <v>0</v>
      </c>
      <c r="E679">
        <v>1</v>
      </c>
      <c r="F679">
        <v>22</v>
      </c>
      <c r="G679" t="b">
        <v>0</v>
      </c>
      <c r="H679">
        <v>1</v>
      </c>
      <c r="I679">
        <v>2</v>
      </c>
      <c r="J679">
        <v>0.16</v>
      </c>
      <c r="K679">
        <v>0.18179999999999999</v>
      </c>
      <c r="L679">
        <v>0.59</v>
      </c>
      <c r="M679">
        <v>0.1045</v>
      </c>
      <c r="N679">
        <v>0</v>
      </c>
      <c r="O679">
        <v>34</v>
      </c>
      <c r="P679">
        <v>34</v>
      </c>
      <c r="Q679" t="str">
        <f t="shared" si="40"/>
        <v>Weekday</v>
      </c>
      <c r="R679" t="str">
        <f t="shared" si="41"/>
        <v>Low</v>
      </c>
      <c r="S679" s="10" t="str">
        <f t="shared" si="42"/>
        <v>Mist/Cloudy</v>
      </c>
      <c r="T679" s="10" t="str">
        <f t="shared" si="43"/>
        <v>Cold</v>
      </c>
    </row>
    <row r="680" spans="1:20" x14ac:dyDescent="0.3">
      <c r="A680">
        <v>688</v>
      </c>
      <c r="B680" t="s">
        <v>46</v>
      </c>
      <c r="C680">
        <v>1</v>
      </c>
      <c r="D680">
        <v>0</v>
      </c>
      <c r="E680">
        <v>1</v>
      </c>
      <c r="F680">
        <v>23</v>
      </c>
      <c r="G680" t="b">
        <v>0</v>
      </c>
      <c r="H680">
        <v>1</v>
      </c>
      <c r="I680">
        <v>2</v>
      </c>
      <c r="J680">
        <v>0.16</v>
      </c>
      <c r="K680">
        <v>0.19700000000000001</v>
      </c>
      <c r="L680">
        <v>0.64</v>
      </c>
      <c r="M680">
        <v>8.9599999999999999E-2</v>
      </c>
      <c r="N680">
        <v>2</v>
      </c>
      <c r="O680">
        <v>15</v>
      </c>
      <c r="P680">
        <v>17</v>
      </c>
      <c r="Q680" t="str">
        <f t="shared" si="40"/>
        <v>Weekday</v>
      </c>
      <c r="R680" t="str">
        <f t="shared" si="41"/>
        <v>Low</v>
      </c>
      <c r="S680" s="10" t="str">
        <f t="shared" si="42"/>
        <v>Mist/Cloudy</v>
      </c>
      <c r="T680" s="10" t="str">
        <f t="shared" si="43"/>
        <v>Cold</v>
      </c>
    </row>
    <row r="681" spans="1:20" x14ac:dyDescent="0.3">
      <c r="A681">
        <v>689</v>
      </c>
      <c r="B681" t="s">
        <v>47</v>
      </c>
      <c r="C681">
        <v>1</v>
      </c>
      <c r="D681">
        <v>0</v>
      </c>
      <c r="E681">
        <v>2</v>
      </c>
      <c r="F681">
        <v>0</v>
      </c>
      <c r="G681" t="b">
        <v>0</v>
      </c>
      <c r="H681">
        <v>2</v>
      </c>
      <c r="I681">
        <v>2</v>
      </c>
      <c r="J681">
        <v>0.16</v>
      </c>
      <c r="K681">
        <v>0.18179999999999999</v>
      </c>
      <c r="L681">
        <v>0.64</v>
      </c>
      <c r="M681">
        <v>0.1045</v>
      </c>
      <c r="N681">
        <v>2</v>
      </c>
      <c r="O681">
        <v>6</v>
      </c>
      <c r="P681">
        <v>8</v>
      </c>
      <c r="Q681" t="str">
        <f t="shared" si="40"/>
        <v>Weekday</v>
      </c>
      <c r="R681" t="str">
        <f t="shared" si="41"/>
        <v>Low</v>
      </c>
      <c r="S681" s="10" t="str">
        <f t="shared" si="42"/>
        <v>Mist/Cloudy</v>
      </c>
      <c r="T681" s="10" t="str">
        <f t="shared" si="43"/>
        <v>Cold</v>
      </c>
    </row>
    <row r="682" spans="1:20" x14ac:dyDescent="0.3">
      <c r="A682">
        <v>690</v>
      </c>
      <c r="B682" t="s">
        <v>47</v>
      </c>
      <c r="C682">
        <v>1</v>
      </c>
      <c r="D682">
        <v>0</v>
      </c>
      <c r="E682">
        <v>2</v>
      </c>
      <c r="F682">
        <v>1</v>
      </c>
      <c r="G682" t="b">
        <v>0</v>
      </c>
      <c r="H682">
        <v>2</v>
      </c>
      <c r="I682">
        <v>2</v>
      </c>
      <c r="J682">
        <v>0.16</v>
      </c>
      <c r="K682">
        <v>0.18179999999999999</v>
      </c>
      <c r="L682">
        <v>0.69</v>
      </c>
      <c r="M682">
        <v>0.1045</v>
      </c>
      <c r="N682">
        <v>0</v>
      </c>
      <c r="O682">
        <v>3</v>
      </c>
      <c r="P682">
        <v>3</v>
      </c>
      <c r="Q682" t="str">
        <f t="shared" si="40"/>
        <v>Weekday</v>
      </c>
      <c r="R682" t="str">
        <f t="shared" si="41"/>
        <v>Low</v>
      </c>
      <c r="S682" s="10" t="str">
        <f t="shared" si="42"/>
        <v>Mist/Cloudy</v>
      </c>
      <c r="T682" s="10" t="str">
        <f t="shared" si="43"/>
        <v>Cold</v>
      </c>
    </row>
    <row r="683" spans="1:20" x14ac:dyDescent="0.3">
      <c r="A683">
        <v>691</v>
      </c>
      <c r="B683" t="s">
        <v>47</v>
      </c>
      <c r="C683">
        <v>1</v>
      </c>
      <c r="D683">
        <v>0</v>
      </c>
      <c r="E683">
        <v>2</v>
      </c>
      <c r="F683">
        <v>2</v>
      </c>
      <c r="G683" t="b">
        <v>0</v>
      </c>
      <c r="H683">
        <v>2</v>
      </c>
      <c r="I683">
        <v>2</v>
      </c>
      <c r="J683">
        <v>0.16</v>
      </c>
      <c r="K683">
        <v>0.2273</v>
      </c>
      <c r="L683">
        <v>0.69</v>
      </c>
      <c r="M683">
        <v>0</v>
      </c>
      <c r="N683">
        <v>0</v>
      </c>
      <c r="O683">
        <v>2</v>
      </c>
      <c r="P683">
        <v>2</v>
      </c>
      <c r="Q683" t="str">
        <f t="shared" si="40"/>
        <v>Weekday</v>
      </c>
      <c r="R683" t="str">
        <f t="shared" si="41"/>
        <v>Low</v>
      </c>
      <c r="S683" s="10" t="str">
        <f t="shared" si="42"/>
        <v>Mist/Cloudy</v>
      </c>
      <c r="T683" s="10" t="str">
        <f t="shared" si="43"/>
        <v>Cold</v>
      </c>
    </row>
    <row r="684" spans="1:20" x14ac:dyDescent="0.3">
      <c r="A684">
        <v>692</v>
      </c>
      <c r="B684" t="s">
        <v>47</v>
      </c>
      <c r="C684">
        <v>1</v>
      </c>
      <c r="D684">
        <v>0</v>
      </c>
      <c r="E684">
        <v>2</v>
      </c>
      <c r="F684">
        <v>3</v>
      </c>
      <c r="G684" t="b">
        <v>0</v>
      </c>
      <c r="H684">
        <v>2</v>
      </c>
      <c r="I684">
        <v>2</v>
      </c>
      <c r="J684">
        <v>0.16</v>
      </c>
      <c r="K684">
        <v>0.2273</v>
      </c>
      <c r="L684">
        <v>0.69</v>
      </c>
      <c r="M684">
        <v>0</v>
      </c>
      <c r="N684">
        <v>0</v>
      </c>
      <c r="O684">
        <v>2</v>
      </c>
      <c r="P684">
        <v>2</v>
      </c>
      <c r="Q684" t="str">
        <f t="shared" si="40"/>
        <v>Weekday</v>
      </c>
      <c r="R684" t="str">
        <f t="shared" si="41"/>
        <v>Low</v>
      </c>
      <c r="S684" s="10" t="str">
        <f t="shared" si="42"/>
        <v>Mist/Cloudy</v>
      </c>
      <c r="T684" s="10" t="str">
        <f t="shared" si="43"/>
        <v>Cold</v>
      </c>
    </row>
    <row r="685" spans="1:20" x14ac:dyDescent="0.3">
      <c r="A685">
        <v>693</v>
      </c>
      <c r="B685" t="s">
        <v>47</v>
      </c>
      <c r="C685">
        <v>1</v>
      </c>
      <c r="D685">
        <v>0</v>
      </c>
      <c r="E685">
        <v>2</v>
      </c>
      <c r="F685">
        <v>5</v>
      </c>
      <c r="G685" t="b">
        <v>0</v>
      </c>
      <c r="H685">
        <v>2</v>
      </c>
      <c r="I685">
        <v>3</v>
      </c>
      <c r="J685">
        <v>0.14000000000000001</v>
      </c>
      <c r="K685">
        <v>0.21210000000000001</v>
      </c>
      <c r="L685">
        <v>0.93</v>
      </c>
      <c r="M685">
        <v>0</v>
      </c>
      <c r="N685">
        <v>0</v>
      </c>
      <c r="O685">
        <v>3</v>
      </c>
      <c r="P685">
        <v>3</v>
      </c>
      <c r="Q685" t="str">
        <f t="shared" si="40"/>
        <v>Weekday</v>
      </c>
      <c r="R685" t="str">
        <f t="shared" si="41"/>
        <v>Low</v>
      </c>
      <c r="S685" s="10" t="str">
        <f t="shared" si="42"/>
        <v>Light Rain/Snow</v>
      </c>
      <c r="T685" s="10" t="str">
        <f t="shared" si="43"/>
        <v>Cold</v>
      </c>
    </row>
    <row r="686" spans="1:20" x14ac:dyDescent="0.3">
      <c r="A686">
        <v>694</v>
      </c>
      <c r="B686" t="s">
        <v>47</v>
      </c>
      <c r="C686">
        <v>1</v>
      </c>
      <c r="D686">
        <v>0</v>
      </c>
      <c r="E686">
        <v>2</v>
      </c>
      <c r="F686">
        <v>6</v>
      </c>
      <c r="G686" t="b">
        <v>0</v>
      </c>
      <c r="H686">
        <v>2</v>
      </c>
      <c r="I686">
        <v>3</v>
      </c>
      <c r="J686">
        <v>0.14000000000000001</v>
      </c>
      <c r="K686">
        <v>0.21210000000000001</v>
      </c>
      <c r="L686">
        <v>0.93</v>
      </c>
      <c r="M686">
        <v>0</v>
      </c>
      <c r="N686">
        <v>0</v>
      </c>
      <c r="O686">
        <v>22</v>
      </c>
      <c r="P686">
        <v>22</v>
      </c>
      <c r="Q686" t="str">
        <f t="shared" si="40"/>
        <v>Weekday</v>
      </c>
      <c r="R686" t="str">
        <f t="shared" si="41"/>
        <v>Low</v>
      </c>
      <c r="S686" s="10" t="str">
        <f t="shared" si="42"/>
        <v>Light Rain/Snow</v>
      </c>
      <c r="T686" s="10" t="str">
        <f t="shared" si="43"/>
        <v>Cold</v>
      </c>
    </row>
    <row r="687" spans="1:20" x14ac:dyDescent="0.3">
      <c r="A687">
        <v>695</v>
      </c>
      <c r="B687" t="s">
        <v>47</v>
      </c>
      <c r="C687">
        <v>1</v>
      </c>
      <c r="D687">
        <v>0</v>
      </c>
      <c r="E687">
        <v>2</v>
      </c>
      <c r="F687">
        <v>7</v>
      </c>
      <c r="G687" t="b">
        <v>0</v>
      </c>
      <c r="H687">
        <v>2</v>
      </c>
      <c r="I687">
        <v>3</v>
      </c>
      <c r="J687">
        <v>0.16</v>
      </c>
      <c r="K687">
        <v>0.2273</v>
      </c>
      <c r="L687">
        <v>0.93</v>
      </c>
      <c r="M687">
        <v>0</v>
      </c>
      <c r="N687">
        <v>0</v>
      </c>
      <c r="O687">
        <v>52</v>
      </c>
      <c r="P687">
        <v>52</v>
      </c>
      <c r="Q687" t="str">
        <f t="shared" si="40"/>
        <v>Weekday</v>
      </c>
      <c r="R687" t="str">
        <f t="shared" si="41"/>
        <v>Medium</v>
      </c>
      <c r="S687" s="10" t="str">
        <f t="shared" si="42"/>
        <v>Light Rain/Snow</v>
      </c>
      <c r="T687" s="10" t="str">
        <f t="shared" si="43"/>
        <v>Cold</v>
      </c>
    </row>
    <row r="688" spans="1:20" x14ac:dyDescent="0.3">
      <c r="A688">
        <v>696</v>
      </c>
      <c r="B688" t="s">
        <v>47</v>
      </c>
      <c r="C688">
        <v>1</v>
      </c>
      <c r="D688">
        <v>0</v>
      </c>
      <c r="E688">
        <v>2</v>
      </c>
      <c r="F688">
        <v>8</v>
      </c>
      <c r="G688" t="b">
        <v>0</v>
      </c>
      <c r="H688">
        <v>2</v>
      </c>
      <c r="I688">
        <v>3</v>
      </c>
      <c r="J688">
        <v>0.16</v>
      </c>
      <c r="K688">
        <v>0.2273</v>
      </c>
      <c r="L688">
        <v>0.93</v>
      </c>
      <c r="M688">
        <v>0</v>
      </c>
      <c r="N688">
        <v>3</v>
      </c>
      <c r="O688">
        <v>132</v>
      </c>
      <c r="P688">
        <v>135</v>
      </c>
      <c r="Q688" t="str">
        <f t="shared" si="40"/>
        <v>Weekday</v>
      </c>
      <c r="R688" t="str">
        <f t="shared" si="41"/>
        <v>Medium</v>
      </c>
      <c r="S688" s="10" t="str">
        <f t="shared" si="42"/>
        <v>Light Rain/Snow</v>
      </c>
      <c r="T688" s="10" t="str">
        <f t="shared" si="43"/>
        <v>Cold</v>
      </c>
    </row>
    <row r="689" spans="1:20" x14ac:dyDescent="0.3">
      <c r="A689">
        <v>697</v>
      </c>
      <c r="B689" t="s">
        <v>47</v>
      </c>
      <c r="C689">
        <v>1</v>
      </c>
      <c r="D689">
        <v>0</v>
      </c>
      <c r="E689">
        <v>2</v>
      </c>
      <c r="F689">
        <v>9</v>
      </c>
      <c r="G689" t="b">
        <v>0</v>
      </c>
      <c r="H689">
        <v>2</v>
      </c>
      <c r="I689">
        <v>2</v>
      </c>
      <c r="J689">
        <v>0.16</v>
      </c>
      <c r="K689">
        <v>0.2273</v>
      </c>
      <c r="L689">
        <v>0.93</v>
      </c>
      <c r="M689">
        <v>0</v>
      </c>
      <c r="N689">
        <v>2</v>
      </c>
      <c r="O689">
        <v>114</v>
      </c>
      <c r="P689">
        <v>116</v>
      </c>
      <c r="Q689" t="str">
        <f t="shared" si="40"/>
        <v>Weekday</v>
      </c>
      <c r="R689" t="str">
        <f t="shared" si="41"/>
        <v>Medium</v>
      </c>
      <c r="S689" s="10" t="str">
        <f t="shared" si="42"/>
        <v>Mist/Cloudy</v>
      </c>
      <c r="T689" s="10" t="str">
        <f t="shared" si="43"/>
        <v>Cold</v>
      </c>
    </row>
    <row r="690" spans="1:20" x14ac:dyDescent="0.3">
      <c r="A690">
        <v>698</v>
      </c>
      <c r="B690" t="s">
        <v>47</v>
      </c>
      <c r="C690">
        <v>1</v>
      </c>
      <c r="D690">
        <v>0</v>
      </c>
      <c r="E690">
        <v>2</v>
      </c>
      <c r="F690">
        <v>10</v>
      </c>
      <c r="G690" t="b">
        <v>0</v>
      </c>
      <c r="H690">
        <v>2</v>
      </c>
      <c r="I690">
        <v>2</v>
      </c>
      <c r="J690">
        <v>0.16</v>
      </c>
      <c r="K690">
        <v>0.2273</v>
      </c>
      <c r="L690">
        <v>0.93</v>
      </c>
      <c r="M690">
        <v>0</v>
      </c>
      <c r="N690">
        <v>0</v>
      </c>
      <c r="O690">
        <v>47</v>
      </c>
      <c r="P690">
        <v>47</v>
      </c>
      <c r="Q690" t="str">
        <f t="shared" si="40"/>
        <v>Weekday</v>
      </c>
      <c r="R690" t="str">
        <f t="shared" si="41"/>
        <v>Low</v>
      </c>
      <c r="S690" s="10" t="str">
        <f t="shared" si="42"/>
        <v>Mist/Cloudy</v>
      </c>
      <c r="T690" s="10" t="str">
        <f t="shared" si="43"/>
        <v>Cold</v>
      </c>
    </row>
    <row r="691" spans="1:20" x14ac:dyDescent="0.3">
      <c r="A691">
        <v>699</v>
      </c>
      <c r="B691" t="s">
        <v>47</v>
      </c>
      <c r="C691">
        <v>1</v>
      </c>
      <c r="D691">
        <v>0</v>
      </c>
      <c r="E691">
        <v>2</v>
      </c>
      <c r="F691">
        <v>11</v>
      </c>
      <c r="G691" t="b">
        <v>0</v>
      </c>
      <c r="H691">
        <v>2</v>
      </c>
      <c r="I691">
        <v>2</v>
      </c>
      <c r="J691">
        <v>0.18</v>
      </c>
      <c r="K691">
        <v>0.2424</v>
      </c>
      <c r="L691">
        <v>0.86</v>
      </c>
      <c r="M691">
        <v>0</v>
      </c>
      <c r="N691">
        <v>2</v>
      </c>
      <c r="O691">
        <v>49</v>
      </c>
      <c r="P691">
        <v>51</v>
      </c>
      <c r="Q691" t="str">
        <f t="shared" si="40"/>
        <v>Weekday</v>
      </c>
      <c r="R691" t="str">
        <f t="shared" si="41"/>
        <v>Medium</v>
      </c>
      <c r="S691" s="10" t="str">
        <f t="shared" si="42"/>
        <v>Mist/Cloudy</v>
      </c>
      <c r="T691" s="10" t="str">
        <f t="shared" si="43"/>
        <v>Cold</v>
      </c>
    </row>
    <row r="692" spans="1:20" x14ac:dyDescent="0.3">
      <c r="A692">
        <v>700</v>
      </c>
      <c r="B692" t="s">
        <v>47</v>
      </c>
      <c r="C692">
        <v>1</v>
      </c>
      <c r="D692">
        <v>0</v>
      </c>
      <c r="E692">
        <v>2</v>
      </c>
      <c r="F692">
        <v>12</v>
      </c>
      <c r="G692" t="b">
        <v>0</v>
      </c>
      <c r="H692">
        <v>2</v>
      </c>
      <c r="I692">
        <v>2</v>
      </c>
      <c r="J692">
        <v>0.2</v>
      </c>
      <c r="K692">
        <v>0.2576</v>
      </c>
      <c r="L692">
        <v>0.86</v>
      </c>
      <c r="M692">
        <v>0</v>
      </c>
      <c r="N692">
        <v>2</v>
      </c>
      <c r="O692">
        <v>53</v>
      </c>
      <c r="P692">
        <v>55</v>
      </c>
      <c r="Q692" t="str">
        <f t="shared" si="40"/>
        <v>Weekday</v>
      </c>
      <c r="R692" t="str">
        <f t="shared" si="41"/>
        <v>Medium</v>
      </c>
      <c r="S692" s="10" t="str">
        <f t="shared" si="42"/>
        <v>Mist/Cloudy</v>
      </c>
      <c r="T692" s="10" t="str">
        <f t="shared" si="43"/>
        <v>Cold</v>
      </c>
    </row>
    <row r="693" spans="1:20" x14ac:dyDescent="0.3">
      <c r="A693">
        <v>701</v>
      </c>
      <c r="B693" t="s">
        <v>47</v>
      </c>
      <c r="C693">
        <v>1</v>
      </c>
      <c r="D693">
        <v>0</v>
      </c>
      <c r="E693">
        <v>2</v>
      </c>
      <c r="F693">
        <v>13</v>
      </c>
      <c r="G693" t="b">
        <v>0</v>
      </c>
      <c r="H693">
        <v>2</v>
      </c>
      <c r="I693">
        <v>2</v>
      </c>
      <c r="J693">
        <v>0.2</v>
      </c>
      <c r="K693">
        <v>0.2576</v>
      </c>
      <c r="L693">
        <v>0.86</v>
      </c>
      <c r="M693">
        <v>0</v>
      </c>
      <c r="N693">
        <v>3</v>
      </c>
      <c r="O693">
        <v>49</v>
      </c>
      <c r="P693">
        <v>52</v>
      </c>
      <c r="Q693" t="str">
        <f t="shared" si="40"/>
        <v>Weekday</v>
      </c>
      <c r="R693" t="str">
        <f t="shared" si="41"/>
        <v>Medium</v>
      </c>
      <c r="S693" s="10" t="str">
        <f t="shared" si="42"/>
        <v>Mist/Cloudy</v>
      </c>
      <c r="T693" s="10" t="str">
        <f t="shared" si="43"/>
        <v>Cold</v>
      </c>
    </row>
    <row r="694" spans="1:20" x14ac:dyDescent="0.3">
      <c r="A694">
        <v>702</v>
      </c>
      <c r="B694" t="s">
        <v>47</v>
      </c>
      <c r="C694">
        <v>1</v>
      </c>
      <c r="D694">
        <v>0</v>
      </c>
      <c r="E694">
        <v>2</v>
      </c>
      <c r="F694">
        <v>14</v>
      </c>
      <c r="G694" t="b">
        <v>0</v>
      </c>
      <c r="H694">
        <v>2</v>
      </c>
      <c r="I694">
        <v>2</v>
      </c>
      <c r="J694">
        <v>0.22</v>
      </c>
      <c r="K694">
        <v>0.2576</v>
      </c>
      <c r="L694">
        <v>0.8</v>
      </c>
      <c r="M694">
        <v>8.9599999999999999E-2</v>
      </c>
      <c r="N694">
        <v>5</v>
      </c>
      <c r="O694">
        <v>49</v>
      </c>
      <c r="P694">
        <v>54</v>
      </c>
      <c r="Q694" t="str">
        <f t="shared" si="40"/>
        <v>Weekday</v>
      </c>
      <c r="R694" t="str">
        <f t="shared" si="41"/>
        <v>Medium</v>
      </c>
      <c r="S694" s="10" t="str">
        <f t="shared" si="42"/>
        <v>Mist/Cloudy</v>
      </c>
      <c r="T694" s="10" t="str">
        <f t="shared" si="43"/>
        <v>Cold</v>
      </c>
    </row>
    <row r="695" spans="1:20" x14ac:dyDescent="0.3">
      <c r="A695">
        <v>703</v>
      </c>
      <c r="B695" t="s">
        <v>47</v>
      </c>
      <c r="C695">
        <v>1</v>
      </c>
      <c r="D695">
        <v>0</v>
      </c>
      <c r="E695">
        <v>2</v>
      </c>
      <c r="F695">
        <v>15</v>
      </c>
      <c r="G695" t="b">
        <v>0</v>
      </c>
      <c r="H695">
        <v>2</v>
      </c>
      <c r="I695">
        <v>2</v>
      </c>
      <c r="J695">
        <v>0.24</v>
      </c>
      <c r="K695">
        <v>0.28789999999999999</v>
      </c>
      <c r="L695">
        <v>0.75</v>
      </c>
      <c r="M695">
        <v>0</v>
      </c>
      <c r="N695">
        <v>7</v>
      </c>
      <c r="O695">
        <v>45</v>
      </c>
      <c r="P695">
        <v>52</v>
      </c>
      <c r="Q695" t="str">
        <f t="shared" si="40"/>
        <v>Weekday</v>
      </c>
      <c r="R695" t="str">
        <f t="shared" si="41"/>
        <v>Medium</v>
      </c>
      <c r="S695" s="10" t="str">
        <f t="shared" si="42"/>
        <v>Mist/Cloudy</v>
      </c>
      <c r="T695" s="10" t="str">
        <f t="shared" si="43"/>
        <v>Cold</v>
      </c>
    </row>
    <row r="696" spans="1:20" x14ac:dyDescent="0.3">
      <c r="A696">
        <v>704</v>
      </c>
      <c r="B696" t="s">
        <v>47</v>
      </c>
      <c r="C696">
        <v>1</v>
      </c>
      <c r="D696">
        <v>0</v>
      </c>
      <c r="E696">
        <v>2</v>
      </c>
      <c r="F696">
        <v>16</v>
      </c>
      <c r="G696" t="b">
        <v>0</v>
      </c>
      <c r="H696">
        <v>2</v>
      </c>
      <c r="I696">
        <v>2</v>
      </c>
      <c r="J696">
        <v>0.24</v>
      </c>
      <c r="K696">
        <v>0.2424</v>
      </c>
      <c r="L696">
        <v>0.75</v>
      </c>
      <c r="M696">
        <v>0.1343</v>
      </c>
      <c r="N696">
        <v>3</v>
      </c>
      <c r="O696">
        <v>61</v>
      </c>
      <c r="P696">
        <v>64</v>
      </c>
      <c r="Q696" t="str">
        <f t="shared" si="40"/>
        <v>Weekday</v>
      </c>
      <c r="R696" t="str">
        <f t="shared" si="41"/>
        <v>Medium</v>
      </c>
      <c r="S696" s="10" t="str">
        <f t="shared" si="42"/>
        <v>Mist/Cloudy</v>
      </c>
      <c r="T696" s="10" t="str">
        <f t="shared" si="43"/>
        <v>Cold</v>
      </c>
    </row>
    <row r="697" spans="1:20" x14ac:dyDescent="0.3">
      <c r="A697">
        <v>705</v>
      </c>
      <c r="B697" t="s">
        <v>47</v>
      </c>
      <c r="C697">
        <v>1</v>
      </c>
      <c r="D697">
        <v>0</v>
      </c>
      <c r="E697">
        <v>2</v>
      </c>
      <c r="F697">
        <v>17</v>
      </c>
      <c r="G697" t="b">
        <v>0</v>
      </c>
      <c r="H697">
        <v>2</v>
      </c>
      <c r="I697">
        <v>2</v>
      </c>
      <c r="J697">
        <v>0.24</v>
      </c>
      <c r="K697">
        <v>0.28789999999999999</v>
      </c>
      <c r="L697">
        <v>0.75</v>
      </c>
      <c r="M697">
        <v>0</v>
      </c>
      <c r="N697">
        <v>4</v>
      </c>
      <c r="O697">
        <v>172</v>
      </c>
      <c r="P697">
        <v>176</v>
      </c>
      <c r="Q697" t="str">
        <f t="shared" si="40"/>
        <v>Weekday</v>
      </c>
      <c r="R697" t="str">
        <f t="shared" si="41"/>
        <v>High</v>
      </c>
      <c r="S697" s="10" t="str">
        <f t="shared" si="42"/>
        <v>Mist/Cloudy</v>
      </c>
      <c r="T697" s="10" t="str">
        <f t="shared" si="43"/>
        <v>Cold</v>
      </c>
    </row>
    <row r="698" spans="1:20" x14ac:dyDescent="0.3">
      <c r="A698">
        <v>706</v>
      </c>
      <c r="B698" t="s">
        <v>47</v>
      </c>
      <c r="C698">
        <v>1</v>
      </c>
      <c r="D698">
        <v>0</v>
      </c>
      <c r="E698">
        <v>2</v>
      </c>
      <c r="F698">
        <v>18</v>
      </c>
      <c r="G698" t="b">
        <v>0</v>
      </c>
      <c r="H698">
        <v>2</v>
      </c>
      <c r="I698">
        <v>2</v>
      </c>
      <c r="J698">
        <v>0.24</v>
      </c>
      <c r="K698">
        <v>0.2576</v>
      </c>
      <c r="L698">
        <v>0.81</v>
      </c>
      <c r="M698">
        <v>0.1045</v>
      </c>
      <c r="N698">
        <v>3</v>
      </c>
      <c r="O698">
        <v>165</v>
      </c>
      <c r="P698">
        <v>168</v>
      </c>
      <c r="Q698" t="str">
        <f t="shared" si="40"/>
        <v>Weekday</v>
      </c>
      <c r="R698" t="str">
        <f t="shared" si="41"/>
        <v>High</v>
      </c>
      <c r="S698" s="10" t="str">
        <f t="shared" si="42"/>
        <v>Mist/Cloudy</v>
      </c>
      <c r="T698" s="10" t="str">
        <f t="shared" si="43"/>
        <v>Cold</v>
      </c>
    </row>
    <row r="699" spans="1:20" x14ac:dyDescent="0.3">
      <c r="A699">
        <v>707</v>
      </c>
      <c r="B699" t="s">
        <v>47</v>
      </c>
      <c r="C699">
        <v>1</v>
      </c>
      <c r="D699">
        <v>0</v>
      </c>
      <c r="E699">
        <v>2</v>
      </c>
      <c r="F699">
        <v>19</v>
      </c>
      <c r="G699" t="b">
        <v>0</v>
      </c>
      <c r="H699">
        <v>2</v>
      </c>
      <c r="I699">
        <v>2</v>
      </c>
      <c r="J699">
        <v>0.24</v>
      </c>
      <c r="K699">
        <v>0.2424</v>
      </c>
      <c r="L699">
        <v>0.81</v>
      </c>
      <c r="M699">
        <v>0.1343</v>
      </c>
      <c r="N699">
        <v>3</v>
      </c>
      <c r="O699">
        <v>105</v>
      </c>
      <c r="P699">
        <v>108</v>
      </c>
      <c r="Q699" t="str">
        <f t="shared" si="40"/>
        <v>Weekday</v>
      </c>
      <c r="R699" t="str">
        <f t="shared" si="41"/>
        <v>Medium</v>
      </c>
      <c r="S699" s="10" t="str">
        <f t="shared" si="42"/>
        <v>Mist/Cloudy</v>
      </c>
      <c r="T699" s="10" t="str">
        <f t="shared" si="43"/>
        <v>Cold</v>
      </c>
    </row>
    <row r="700" spans="1:20" x14ac:dyDescent="0.3">
      <c r="A700">
        <v>708</v>
      </c>
      <c r="B700" t="s">
        <v>47</v>
      </c>
      <c r="C700">
        <v>1</v>
      </c>
      <c r="D700">
        <v>0</v>
      </c>
      <c r="E700">
        <v>2</v>
      </c>
      <c r="F700">
        <v>20</v>
      </c>
      <c r="G700" t="b">
        <v>0</v>
      </c>
      <c r="H700">
        <v>2</v>
      </c>
      <c r="I700">
        <v>2</v>
      </c>
      <c r="J700">
        <v>0.22</v>
      </c>
      <c r="K700">
        <v>0.2273</v>
      </c>
      <c r="L700">
        <v>0.87</v>
      </c>
      <c r="M700">
        <v>0.1343</v>
      </c>
      <c r="N700">
        <v>5</v>
      </c>
      <c r="O700">
        <v>69</v>
      </c>
      <c r="P700">
        <v>74</v>
      </c>
      <c r="Q700" t="str">
        <f t="shared" si="40"/>
        <v>Weekday</v>
      </c>
      <c r="R700" t="str">
        <f t="shared" si="41"/>
        <v>Medium</v>
      </c>
      <c r="S700" s="10" t="str">
        <f t="shared" si="42"/>
        <v>Mist/Cloudy</v>
      </c>
      <c r="T700" s="10" t="str">
        <f t="shared" si="43"/>
        <v>Cold</v>
      </c>
    </row>
    <row r="701" spans="1:20" x14ac:dyDescent="0.3">
      <c r="A701">
        <v>709</v>
      </c>
      <c r="B701" t="s">
        <v>47</v>
      </c>
      <c r="C701">
        <v>1</v>
      </c>
      <c r="D701">
        <v>0</v>
      </c>
      <c r="E701">
        <v>2</v>
      </c>
      <c r="F701">
        <v>21</v>
      </c>
      <c r="G701" t="b">
        <v>0</v>
      </c>
      <c r="H701">
        <v>2</v>
      </c>
      <c r="I701">
        <v>2</v>
      </c>
      <c r="J701">
        <v>0.22</v>
      </c>
      <c r="K701">
        <v>0.2273</v>
      </c>
      <c r="L701">
        <v>0.87</v>
      </c>
      <c r="M701">
        <v>0.1343</v>
      </c>
      <c r="N701">
        <v>0</v>
      </c>
      <c r="O701">
        <v>64</v>
      </c>
      <c r="P701">
        <v>64</v>
      </c>
      <c r="Q701" t="str">
        <f t="shared" si="40"/>
        <v>Weekday</v>
      </c>
      <c r="R701" t="str">
        <f t="shared" si="41"/>
        <v>Medium</v>
      </c>
      <c r="S701" s="10" t="str">
        <f t="shared" si="42"/>
        <v>Mist/Cloudy</v>
      </c>
      <c r="T701" s="10" t="str">
        <f t="shared" si="43"/>
        <v>Cold</v>
      </c>
    </row>
    <row r="702" spans="1:20" x14ac:dyDescent="0.3">
      <c r="A702">
        <v>710</v>
      </c>
      <c r="B702" t="s">
        <v>47</v>
      </c>
      <c r="C702">
        <v>1</v>
      </c>
      <c r="D702">
        <v>0</v>
      </c>
      <c r="E702">
        <v>2</v>
      </c>
      <c r="F702">
        <v>22</v>
      </c>
      <c r="G702" t="b">
        <v>0</v>
      </c>
      <c r="H702">
        <v>2</v>
      </c>
      <c r="I702">
        <v>2</v>
      </c>
      <c r="J702">
        <v>0.22</v>
      </c>
      <c r="K702">
        <v>0.2576</v>
      </c>
      <c r="L702">
        <v>0.87</v>
      </c>
      <c r="M702">
        <v>8.9599999999999999E-2</v>
      </c>
      <c r="N702">
        <v>2</v>
      </c>
      <c r="O702">
        <v>34</v>
      </c>
      <c r="P702">
        <v>36</v>
      </c>
      <c r="Q702" t="str">
        <f t="shared" si="40"/>
        <v>Weekday</v>
      </c>
      <c r="R702" t="str">
        <f t="shared" si="41"/>
        <v>Low</v>
      </c>
      <c r="S702" s="10" t="str">
        <f t="shared" si="42"/>
        <v>Mist/Cloudy</v>
      </c>
      <c r="T702" s="10" t="str">
        <f t="shared" si="43"/>
        <v>Cold</v>
      </c>
    </row>
    <row r="703" spans="1:20" x14ac:dyDescent="0.3">
      <c r="A703">
        <v>711</v>
      </c>
      <c r="B703" t="s">
        <v>47</v>
      </c>
      <c r="C703">
        <v>1</v>
      </c>
      <c r="D703">
        <v>0</v>
      </c>
      <c r="E703">
        <v>2</v>
      </c>
      <c r="F703">
        <v>23</v>
      </c>
      <c r="G703" t="b">
        <v>0</v>
      </c>
      <c r="H703">
        <v>2</v>
      </c>
      <c r="I703">
        <v>3</v>
      </c>
      <c r="J703">
        <v>0.2</v>
      </c>
      <c r="K703">
        <v>0.19700000000000001</v>
      </c>
      <c r="L703">
        <v>0.93</v>
      </c>
      <c r="M703">
        <v>0.19400000000000001</v>
      </c>
      <c r="N703">
        <v>1</v>
      </c>
      <c r="O703">
        <v>15</v>
      </c>
      <c r="P703">
        <v>16</v>
      </c>
      <c r="Q703" t="str">
        <f t="shared" si="40"/>
        <v>Weekday</v>
      </c>
      <c r="R703" t="str">
        <f t="shared" si="41"/>
        <v>Low</v>
      </c>
      <c r="S703" s="10" t="str">
        <f t="shared" si="42"/>
        <v>Light Rain/Snow</v>
      </c>
      <c r="T703" s="10" t="str">
        <f t="shared" si="43"/>
        <v>Cold</v>
      </c>
    </row>
    <row r="704" spans="1:20" x14ac:dyDescent="0.3">
      <c r="A704">
        <v>712</v>
      </c>
      <c r="B704" t="s">
        <v>48</v>
      </c>
      <c r="C704">
        <v>1</v>
      </c>
      <c r="D704">
        <v>0</v>
      </c>
      <c r="E704">
        <v>2</v>
      </c>
      <c r="F704">
        <v>0</v>
      </c>
      <c r="G704" t="b">
        <v>0</v>
      </c>
      <c r="H704">
        <v>3</v>
      </c>
      <c r="I704">
        <v>3</v>
      </c>
      <c r="J704">
        <v>0.22</v>
      </c>
      <c r="K704">
        <v>0.2424</v>
      </c>
      <c r="L704">
        <v>0.93</v>
      </c>
      <c r="M704">
        <v>0.1045</v>
      </c>
      <c r="N704">
        <v>0</v>
      </c>
      <c r="O704">
        <v>2</v>
      </c>
      <c r="P704">
        <v>2</v>
      </c>
      <c r="Q704" t="str">
        <f t="shared" si="40"/>
        <v>Weekday</v>
      </c>
      <c r="R704" t="str">
        <f t="shared" si="41"/>
        <v>Low</v>
      </c>
      <c r="S704" s="10" t="str">
        <f t="shared" si="42"/>
        <v>Light Rain/Snow</v>
      </c>
      <c r="T704" s="10" t="str">
        <f t="shared" si="43"/>
        <v>Cold</v>
      </c>
    </row>
    <row r="705" spans="1:20" x14ac:dyDescent="0.3">
      <c r="A705">
        <v>713</v>
      </c>
      <c r="B705" t="s">
        <v>48</v>
      </c>
      <c r="C705">
        <v>1</v>
      </c>
      <c r="D705">
        <v>0</v>
      </c>
      <c r="E705">
        <v>2</v>
      </c>
      <c r="F705">
        <v>1</v>
      </c>
      <c r="G705" t="b">
        <v>0</v>
      </c>
      <c r="H705">
        <v>3</v>
      </c>
      <c r="I705">
        <v>3</v>
      </c>
      <c r="J705">
        <v>0.22</v>
      </c>
      <c r="K705">
        <v>0.2273</v>
      </c>
      <c r="L705">
        <v>0.93</v>
      </c>
      <c r="M705">
        <v>0.19400000000000001</v>
      </c>
      <c r="N705">
        <v>0</v>
      </c>
      <c r="O705">
        <v>3</v>
      </c>
      <c r="P705">
        <v>3</v>
      </c>
      <c r="Q705" t="str">
        <f t="shared" si="40"/>
        <v>Weekday</v>
      </c>
      <c r="R705" t="str">
        <f t="shared" si="41"/>
        <v>Low</v>
      </c>
      <c r="S705" s="10" t="str">
        <f t="shared" si="42"/>
        <v>Light Rain/Snow</v>
      </c>
      <c r="T705" s="10" t="str">
        <f t="shared" si="43"/>
        <v>Cold</v>
      </c>
    </row>
    <row r="706" spans="1:20" x14ac:dyDescent="0.3">
      <c r="A706">
        <v>714</v>
      </c>
      <c r="B706" t="s">
        <v>48</v>
      </c>
      <c r="C706">
        <v>1</v>
      </c>
      <c r="D706">
        <v>0</v>
      </c>
      <c r="E706">
        <v>2</v>
      </c>
      <c r="F706">
        <v>2</v>
      </c>
      <c r="G706" t="b">
        <v>0</v>
      </c>
      <c r="H706">
        <v>3</v>
      </c>
      <c r="I706">
        <v>3</v>
      </c>
      <c r="J706">
        <v>0.22</v>
      </c>
      <c r="K706">
        <v>0.2273</v>
      </c>
      <c r="L706">
        <v>0.93</v>
      </c>
      <c r="M706">
        <v>0.1343</v>
      </c>
      <c r="N706">
        <v>4</v>
      </c>
      <c r="O706">
        <v>0</v>
      </c>
      <c r="P706">
        <v>4</v>
      </c>
      <c r="Q706" t="str">
        <f t="shared" ref="Q706:Q769" si="44">IF(G706=TRUE,"Holiday",IF(H706=0,"Weekend","Weekday"))</f>
        <v>Weekday</v>
      </c>
      <c r="R706" t="str">
        <f t="shared" ref="R706:R769" si="45">IF(P706&lt;50,"Low",IF(P706&lt;150,"Medium","High"))</f>
        <v>Low</v>
      </c>
      <c r="S706" s="10" t="str">
        <f t="shared" si="42"/>
        <v>Light Rain/Snow</v>
      </c>
      <c r="T706" s="10" t="str">
        <f t="shared" si="43"/>
        <v>Cold</v>
      </c>
    </row>
    <row r="707" spans="1:20" x14ac:dyDescent="0.3">
      <c r="A707">
        <v>715</v>
      </c>
      <c r="B707" t="s">
        <v>48</v>
      </c>
      <c r="C707">
        <v>1</v>
      </c>
      <c r="D707">
        <v>0</v>
      </c>
      <c r="E707">
        <v>2</v>
      </c>
      <c r="F707">
        <v>3</v>
      </c>
      <c r="G707" t="b">
        <v>0</v>
      </c>
      <c r="H707">
        <v>3</v>
      </c>
      <c r="I707">
        <v>3</v>
      </c>
      <c r="J707">
        <v>0.22</v>
      </c>
      <c r="K707">
        <v>0.2273</v>
      </c>
      <c r="L707">
        <v>0.93</v>
      </c>
      <c r="M707">
        <v>0.1343</v>
      </c>
      <c r="N707">
        <v>0</v>
      </c>
      <c r="O707">
        <v>1</v>
      </c>
      <c r="P707">
        <v>1</v>
      </c>
      <c r="Q707" t="str">
        <f t="shared" si="44"/>
        <v>Weekday</v>
      </c>
      <c r="R707" t="str">
        <f t="shared" si="45"/>
        <v>Low</v>
      </c>
      <c r="S707" s="10" t="str">
        <f t="shared" ref="S707:S770" si="46">IF(I707=1,"Clear",IF(I707=2,"Mist/Cloudy",IF(I707=3,"Light Rain/Snow","Heavy Rain/Ice")))</f>
        <v>Light Rain/Snow</v>
      </c>
      <c r="T707" s="10" t="str">
        <f t="shared" ref="T707:T770" si="47">IF(J707&lt;0.3,"Cold","Warm")</f>
        <v>Cold</v>
      </c>
    </row>
    <row r="708" spans="1:20" x14ac:dyDescent="0.3">
      <c r="A708">
        <v>716</v>
      </c>
      <c r="B708" t="s">
        <v>48</v>
      </c>
      <c r="C708">
        <v>1</v>
      </c>
      <c r="D708">
        <v>0</v>
      </c>
      <c r="E708">
        <v>2</v>
      </c>
      <c r="F708">
        <v>4</v>
      </c>
      <c r="G708" t="b">
        <v>0</v>
      </c>
      <c r="H708">
        <v>3</v>
      </c>
      <c r="I708">
        <v>3</v>
      </c>
      <c r="J708">
        <v>0.22</v>
      </c>
      <c r="K708">
        <v>0.21210000000000001</v>
      </c>
      <c r="L708">
        <v>0.93</v>
      </c>
      <c r="M708">
        <v>0.28360000000000002</v>
      </c>
      <c r="N708">
        <v>0</v>
      </c>
      <c r="O708">
        <v>1</v>
      </c>
      <c r="P708">
        <v>1</v>
      </c>
      <c r="Q708" t="str">
        <f t="shared" si="44"/>
        <v>Weekday</v>
      </c>
      <c r="R708" t="str">
        <f t="shared" si="45"/>
        <v>Low</v>
      </c>
      <c r="S708" s="10" t="str">
        <f t="shared" si="46"/>
        <v>Light Rain/Snow</v>
      </c>
      <c r="T708" s="10" t="str">
        <f t="shared" si="47"/>
        <v>Cold</v>
      </c>
    </row>
    <row r="709" spans="1:20" x14ac:dyDescent="0.3">
      <c r="A709">
        <v>717</v>
      </c>
      <c r="B709" t="s">
        <v>48</v>
      </c>
      <c r="C709">
        <v>1</v>
      </c>
      <c r="D709">
        <v>0</v>
      </c>
      <c r="E709">
        <v>2</v>
      </c>
      <c r="F709">
        <v>5</v>
      </c>
      <c r="G709" t="b">
        <v>0</v>
      </c>
      <c r="H709">
        <v>3</v>
      </c>
      <c r="I709">
        <v>3</v>
      </c>
      <c r="J709">
        <v>0.22</v>
      </c>
      <c r="K709">
        <v>0.2424</v>
      </c>
      <c r="L709">
        <v>0.93</v>
      </c>
      <c r="M709">
        <v>0.1045</v>
      </c>
      <c r="N709">
        <v>0</v>
      </c>
      <c r="O709">
        <v>3</v>
      </c>
      <c r="P709">
        <v>3</v>
      </c>
      <c r="Q709" t="str">
        <f t="shared" si="44"/>
        <v>Weekday</v>
      </c>
      <c r="R709" t="str">
        <f t="shared" si="45"/>
        <v>Low</v>
      </c>
      <c r="S709" s="10" t="str">
        <f t="shared" si="46"/>
        <v>Light Rain/Snow</v>
      </c>
      <c r="T709" s="10" t="str">
        <f t="shared" si="47"/>
        <v>Cold</v>
      </c>
    </row>
    <row r="710" spans="1:20" x14ac:dyDescent="0.3">
      <c r="A710">
        <v>718</v>
      </c>
      <c r="B710" t="s">
        <v>48</v>
      </c>
      <c r="C710">
        <v>1</v>
      </c>
      <c r="D710">
        <v>0</v>
      </c>
      <c r="E710">
        <v>2</v>
      </c>
      <c r="F710">
        <v>6</v>
      </c>
      <c r="G710" t="b">
        <v>0</v>
      </c>
      <c r="H710">
        <v>3</v>
      </c>
      <c r="I710">
        <v>3</v>
      </c>
      <c r="J710">
        <v>0.22</v>
      </c>
      <c r="K710">
        <v>0.2424</v>
      </c>
      <c r="L710">
        <v>0.93</v>
      </c>
      <c r="M710">
        <v>0.1045</v>
      </c>
      <c r="N710">
        <v>1</v>
      </c>
      <c r="O710">
        <v>17</v>
      </c>
      <c r="P710">
        <v>18</v>
      </c>
      <c r="Q710" t="str">
        <f t="shared" si="44"/>
        <v>Weekday</v>
      </c>
      <c r="R710" t="str">
        <f t="shared" si="45"/>
        <v>Low</v>
      </c>
      <c r="S710" s="10" t="str">
        <f t="shared" si="46"/>
        <v>Light Rain/Snow</v>
      </c>
      <c r="T710" s="10" t="str">
        <f t="shared" si="47"/>
        <v>Cold</v>
      </c>
    </row>
    <row r="711" spans="1:20" x14ac:dyDescent="0.3">
      <c r="A711">
        <v>719</v>
      </c>
      <c r="B711" t="s">
        <v>48</v>
      </c>
      <c r="C711">
        <v>1</v>
      </c>
      <c r="D711">
        <v>0</v>
      </c>
      <c r="E711">
        <v>2</v>
      </c>
      <c r="F711">
        <v>7</v>
      </c>
      <c r="G711" t="b">
        <v>0</v>
      </c>
      <c r="H711">
        <v>3</v>
      </c>
      <c r="I711">
        <v>3</v>
      </c>
      <c r="J711">
        <v>0.22</v>
      </c>
      <c r="K711">
        <v>0.21210000000000001</v>
      </c>
      <c r="L711">
        <v>0.93</v>
      </c>
      <c r="M711">
        <v>0.22389999999999999</v>
      </c>
      <c r="N711">
        <v>1</v>
      </c>
      <c r="O711">
        <v>48</v>
      </c>
      <c r="P711">
        <v>49</v>
      </c>
      <c r="Q711" t="str">
        <f t="shared" si="44"/>
        <v>Weekday</v>
      </c>
      <c r="R711" t="str">
        <f t="shared" si="45"/>
        <v>Low</v>
      </c>
      <c r="S711" s="10" t="str">
        <f t="shared" si="46"/>
        <v>Light Rain/Snow</v>
      </c>
      <c r="T711" s="10" t="str">
        <f t="shared" si="47"/>
        <v>Cold</v>
      </c>
    </row>
    <row r="712" spans="1:20" x14ac:dyDescent="0.3">
      <c r="A712">
        <v>720</v>
      </c>
      <c r="B712" t="s">
        <v>48</v>
      </c>
      <c r="C712">
        <v>1</v>
      </c>
      <c r="D712">
        <v>0</v>
      </c>
      <c r="E712">
        <v>2</v>
      </c>
      <c r="F712">
        <v>8</v>
      </c>
      <c r="G712" t="b">
        <v>0</v>
      </c>
      <c r="H712">
        <v>3</v>
      </c>
      <c r="I712">
        <v>3</v>
      </c>
      <c r="J712">
        <v>0.22</v>
      </c>
      <c r="K712">
        <v>0.21210000000000001</v>
      </c>
      <c r="L712">
        <v>0.93</v>
      </c>
      <c r="M712">
        <v>0.22389999999999999</v>
      </c>
      <c r="N712">
        <v>1</v>
      </c>
      <c r="O712">
        <v>154</v>
      </c>
      <c r="P712">
        <v>155</v>
      </c>
      <c r="Q712" t="str">
        <f t="shared" si="44"/>
        <v>Weekday</v>
      </c>
      <c r="R712" t="str">
        <f t="shared" si="45"/>
        <v>High</v>
      </c>
      <c r="S712" s="10" t="str">
        <f t="shared" si="46"/>
        <v>Light Rain/Snow</v>
      </c>
      <c r="T712" s="10" t="str">
        <f t="shared" si="47"/>
        <v>Cold</v>
      </c>
    </row>
    <row r="713" spans="1:20" x14ac:dyDescent="0.3">
      <c r="A713">
        <v>721</v>
      </c>
      <c r="B713" t="s">
        <v>48</v>
      </c>
      <c r="C713">
        <v>1</v>
      </c>
      <c r="D713">
        <v>0</v>
      </c>
      <c r="E713">
        <v>2</v>
      </c>
      <c r="F713">
        <v>9</v>
      </c>
      <c r="G713" t="b">
        <v>0</v>
      </c>
      <c r="H713">
        <v>3</v>
      </c>
      <c r="I713">
        <v>2</v>
      </c>
      <c r="J713">
        <v>0.24</v>
      </c>
      <c r="K713">
        <v>0.2576</v>
      </c>
      <c r="L713">
        <v>0.93</v>
      </c>
      <c r="M713">
        <v>8.9599999999999999E-2</v>
      </c>
      <c r="N713">
        <v>4</v>
      </c>
      <c r="O713">
        <v>119</v>
      </c>
      <c r="P713">
        <v>123</v>
      </c>
      <c r="Q713" t="str">
        <f t="shared" si="44"/>
        <v>Weekday</v>
      </c>
      <c r="R713" t="str">
        <f t="shared" si="45"/>
        <v>Medium</v>
      </c>
      <c r="S713" s="10" t="str">
        <f t="shared" si="46"/>
        <v>Mist/Cloudy</v>
      </c>
      <c r="T713" s="10" t="str">
        <f t="shared" si="47"/>
        <v>Cold</v>
      </c>
    </row>
    <row r="714" spans="1:20" x14ac:dyDescent="0.3">
      <c r="A714">
        <v>722</v>
      </c>
      <c r="B714" t="s">
        <v>48</v>
      </c>
      <c r="C714">
        <v>1</v>
      </c>
      <c r="D714">
        <v>0</v>
      </c>
      <c r="E714">
        <v>2</v>
      </c>
      <c r="F714">
        <v>10</v>
      </c>
      <c r="G714" t="b">
        <v>0</v>
      </c>
      <c r="H714">
        <v>3</v>
      </c>
      <c r="I714">
        <v>2</v>
      </c>
      <c r="J714">
        <v>0.22</v>
      </c>
      <c r="K714">
        <v>0.2727</v>
      </c>
      <c r="L714">
        <v>1</v>
      </c>
      <c r="M714">
        <v>0</v>
      </c>
      <c r="N714">
        <v>2</v>
      </c>
      <c r="O714">
        <v>59</v>
      </c>
      <c r="P714">
        <v>61</v>
      </c>
      <c r="Q714" t="str">
        <f t="shared" si="44"/>
        <v>Weekday</v>
      </c>
      <c r="R714" t="str">
        <f t="shared" si="45"/>
        <v>Medium</v>
      </c>
      <c r="S714" s="10" t="str">
        <f t="shared" si="46"/>
        <v>Mist/Cloudy</v>
      </c>
      <c r="T714" s="10" t="str">
        <f t="shared" si="47"/>
        <v>Cold</v>
      </c>
    </row>
    <row r="715" spans="1:20" x14ac:dyDescent="0.3">
      <c r="A715">
        <v>723</v>
      </c>
      <c r="B715" t="s">
        <v>48</v>
      </c>
      <c r="C715">
        <v>1</v>
      </c>
      <c r="D715">
        <v>0</v>
      </c>
      <c r="E715">
        <v>2</v>
      </c>
      <c r="F715">
        <v>11</v>
      </c>
      <c r="G715" t="b">
        <v>0</v>
      </c>
      <c r="H715">
        <v>3</v>
      </c>
      <c r="I715">
        <v>2</v>
      </c>
      <c r="J715">
        <v>0.24</v>
      </c>
      <c r="K715">
        <v>0.2273</v>
      </c>
      <c r="L715">
        <v>0.93</v>
      </c>
      <c r="M715">
        <v>0.19400000000000001</v>
      </c>
      <c r="N715">
        <v>5</v>
      </c>
      <c r="O715">
        <v>47</v>
      </c>
      <c r="P715">
        <v>52</v>
      </c>
      <c r="Q715" t="str">
        <f t="shared" si="44"/>
        <v>Weekday</v>
      </c>
      <c r="R715" t="str">
        <f t="shared" si="45"/>
        <v>Medium</v>
      </c>
      <c r="S715" s="10" t="str">
        <f t="shared" si="46"/>
        <v>Mist/Cloudy</v>
      </c>
      <c r="T715" s="10" t="str">
        <f t="shared" si="47"/>
        <v>Cold</v>
      </c>
    </row>
    <row r="716" spans="1:20" x14ac:dyDescent="0.3">
      <c r="A716">
        <v>724</v>
      </c>
      <c r="B716" t="s">
        <v>48</v>
      </c>
      <c r="C716">
        <v>1</v>
      </c>
      <c r="D716">
        <v>0</v>
      </c>
      <c r="E716">
        <v>2</v>
      </c>
      <c r="F716">
        <v>12</v>
      </c>
      <c r="G716" t="b">
        <v>0</v>
      </c>
      <c r="H716">
        <v>3</v>
      </c>
      <c r="I716">
        <v>2</v>
      </c>
      <c r="J716">
        <v>0.24</v>
      </c>
      <c r="K716">
        <v>0.2273</v>
      </c>
      <c r="L716">
        <v>0.93</v>
      </c>
      <c r="M716">
        <v>0.22389999999999999</v>
      </c>
      <c r="N716">
        <v>3</v>
      </c>
      <c r="O716">
        <v>61</v>
      </c>
      <c r="P716">
        <v>64</v>
      </c>
      <c r="Q716" t="str">
        <f t="shared" si="44"/>
        <v>Weekday</v>
      </c>
      <c r="R716" t="str">
        <f t="shared" si="45"/>
        <v>Medium</v>
      </c>
      <c r="S716" s="10" t="str">
        <f t="shared" si="46"/>
        <v>Mist/Cloudy</v>
      </c>
      <c r="T716" s="10" t="str">
        <f t="shared" si="47"/>
        <v>Cold</v>
      </c>
    </row>
    <row r="717" spans="1:20" x14ac:dyDescent="0.3">
      <c r="A717">
        <v>725</v>
      </c>
      <c r="B717" t="s">
        <v>48</v>
      </c>
      <c r="C717">
        <v>1</v>
      </c>
      <c r="D717">
        <v>0</v>
      </c>
      <c r="E717">
        <v>2</v>
      </c>
      <c r="F717">
        <v>13</v>
      </c>
      <c r="G717" t="b">
        <v>0</v>
      </c>
      <c r="H717">
        <v>3</v>
      </c>
      <c r="I717">
        <v>1</v>
      </c>
      <c r="J717">
        <v>0.34</v>
      </c>
      <c r="K717">
        <v>0.33329999999999999</v>
      </c>
      <c r="L717">
        <v>0.93</v>
      </c>
      <c r="M717">
        <v>0.16420000000000001</v>
      </c>
      <c r="N717">
        <v>1</v>
      </c>
      <c r="O717">
        <v>74</v>
      </c>
      <c r="P717">
        <v>75</v>
      </c>
      <c r="Q717" t="str">
        <f t="shared" si="44"/>
        <v>Weekday</v>
      </c>
      <c r="R717" t="str">
        <f t="shared" si="45"/>
        <v>Medium</v>
      </c>
      <c r="S717" s="10" t="str">
        <f t="shared" si="46"/>
        <v>Clear</v>
      </c>
      <c r="T717" s="10" t="str">
        <f t="shared" si="47"/>
        <v>Warm</v>
      </c>
    </row>
    <row r="718" spans="1:20" x14ac:dyDescent="0.3">
      <c r="A718">
        <v>726</v>
      </c>
      <c r="B718" t="s">
        <v>48</v>
      </c>
      <c r="C718">
        <v>1</v>
      </c>
      <c r="D718">
        <v>0</v>
      </c>
      <c r="E718">
        <v>2</v>
      </c>
      <c r="F718">
        <v>14</v>
      </c>
      <c r="G718" t="b">
        <v>0</v>
      </c>
      <c r="H718">
        <v>3</v>
      </c>
      <c r="I718">
        <v>1</v>
      </c>
      <c r="J718">
        <v>0.38</v>
      </c>
      <c r="K718">
        <v>0.39389999999999997</v>
      </c>
      <c r="L718">
        <v>0.82</v>
      </c>
      <c r="M718">
        <v>0.3881</v>
      </c>
      <c r="N718">
        <v>2</v>
      </c>
      <c r="O718">
        <v>61</v>
      </c>
      <c r="P718">
        <v>63</v>
      </c>
      <c r="Q718" t="str">
        <f t="shared" si="44"/>
        <v>Weekday</v>
      </c>
      <c r="R718" t="str">
        <f t="shared" si="45"/>
        <v>Medium</v>
      </c>
      <c r="S718" s="10" t="str">
        <f t="shared" si="46"/>
        <v>Clear</v>
      </c>
      <c r="T718" s="10" t="str">
        <f t="shared" si="47"/>
        <v>Warm</v>
      </c>
    </row>
    <row r="719" spans="1:20" x14ac:dyDescent="0.3">
      <c r="A719">
        <v>727</v>
      </c>
      <c r="B719" t="s">
        <v>48</v>
      </c>
      <c r="C719">
        <v>1</v>
      </c>
      <c r="D719">
        <v>0</v>
      </c>
      <c r="E719">
        <v>2</v>
      </c>
      <c r="F719">
        <v>15</v>
      </c>
      <c r="G719" t="b">
        <v>0</v>
      </c>
      <c r="H719">
        <v>3</v>
      </c>
      <c r="I719">
        <v>1</v>
      </c>
      <c r="J719">
        <v>0.38</v>
      </c>
      <c r="K719">
        <v>0.39389999999999997</v>
      </c>
      <c r="L719">
        <v>0.76</v>
      </c>
      <c r="M719">
        <v>0.32840000000000003</v>
      </c>
      <c r="N719">
        <v>10</v>
      </c>
      <c r="O719">
        <v>66</v>
      </c>
      <c r="P719">
        <v>76</v>
      </c>
      <c r="Q719" t="str">
        <f t="shared" si="44"/>
        <v>Weekday</v>
      </c>
      <c r="R719" t="str">
        <f t="shared" si="45"/>
        <v>Medium</v>
      </c>
      <c r="S719" s="10" t="str">
        <f t="shared" si="46"/>
        <v>Clear</v>
      </c>
      <c r="T719" s="10" t="str">
        <f t="shared" si="47"/>
        <v>Warm</v>
      </c>
    </row>
    <row r="720" spans="1:20" x14ac:dyDescent="0.3">
      <c r="A720">
        <v>728</v>
      </c>
      <c r="B720" t="s">
        <v>48</v>
      </c>
      <c r="C720">
        <v>1</v>
      </c>
      <c r="D720">
        <v>0</v>
      </c>
      <c r="E720">
        <v>2</v>
      </c>
      <c r="F720">
        <v>16</v>
      </c>
      <c r="G720" t="b">
        <v>0</v>
      </c>
      <c r="H720">
        <v>3</v>
      </c>
      <c r="I720">
        <v>1</v>
      </c>
      <c r="J720">
        <v>0.36</v>
      </c>
      <c r="K720">
        <v>0.33329999999999999</v>
      </c>
      <c r="L720">
        <v>0.71</v>
      </c>
      <c r="M720">
        <v>0.29849999999999999</v>
      </c>
      <c r="N720">
        <v>8</v>
      </c>
      <c r="O720">
        <v>95</v>
      </c>
      <c r="P720">
        <v>103</v>
      </c>
      <c r="Q720" t="str">
        <f t="shared" si="44"/>
        <v>Weekday</v>
      </c>
      <c r="R720" t="str">
        <f t="shared" si="45"/>
        <v>Medium</v>
      </c>
      <c r="S720" s="10" t="str">
        <f t="shared" si="46"/>
        <v>Clear</v>
      </c>
      <c r="T720" s="10" t="str">
        <f t="shared" si="47"/>
        <v>Warm</v>
      </c>
    </row>
    <row r="721" spans="1:20" x14ac:dyDescent="0.3">
      <c r="A721">
        <v>729</v>
      </c>
      <c r="B721" t="s">
        <v>48</v>
      </c>
      <c r="C721">
        <v>1</v>
      </c>
      <c r="D721">
        <v>0</v>
      </c>
      <c r="E721">
        <v>2</v>
      </c>
      <c r="F721">
        <v>17</v>
      </c>
      <c r="G721" t="b">
        <v>0</v>
      </c>
      <c r="H721">
        <v>3</v>
      </c>
      <c r="I721">
        <v>1</v>
      </c>
      <c r="J721">
        <v>0.36</v>
      </c>
      <c r="K721">
        <v>0.31819999999999998</v>
      </c>
      <c r="L721">
        <v>0.53</v>
      </c>
      <c r="M721">
        <v>0.52239999999999998</v>
      </c>
      <c r="N721">
        <v>7</v>
      </c>
      <c r="O721">
        <v>183</v>
      </c>
      <c r="P721">
        <v>190</v>
      </c>
      <c r="Q721" t="str">
        <f t="shared" si="44"/>
        <v>Weekday</v>
      </c>
      <c r="R721" t="str">
        <f t="shared" si="45"/>
        <v>High</v>
      </c>
      <c r="S721" s="10" t="str">
        <f t="shared" si="46"/>
        <v>Clear</v>
      </c>
      <c r="T721" s="10" t="str">
        <f t="shared" si="47"/>
        <v>Warm</v>
      </c>
    </row>
    <row r="722" spans="1:20" x14ac:dyDescent="0.3">
      <c r="A722">
        <v>730</v>
      </c>
      <c r="B722" t="s">
        <v>48</v>
      </c>
      <c r="C722">
        <v>1</v>
      </c>
      <c r="D722">
        <v>0</v>
      </c>
      <c r="E722">
        <v>2</v>
      </c>
      <c r="F722">
        <v>18</v>
      </c>
      <c r="G722" t="b">
        <v>0</v>
      </c>
      <c r="H722">
        <v>3</v>
      </c>
      <c r="I722">
        <v>1</v>
      </c>
      <c r="J722">
        <v>0.34</v>
      </c>
      <c r="K722">
        <v>0.28789999999999999</v>
      </c>
      <c r="L722">
        <v>0.42</v>
      </c>
      <c r="M722">
        <v>0.55220000000000002</v>
      </c>
      <c r="N722">
        <v>7</v>
      </c>
      <c r="O722">
        <v>175</v>
      </c>
      <c r="P722">
        <v>182</v>
      </c>
      <c r="Q722" t="str">
        <f t="shared" si="44"/>
        <v>Weekday</v>
      </c>
      <c r="R722" t="str">
        <f t="shared" si="45"/>
        <v>High</v>
      </c>
      <c r="S722" s="10" t="str">
        <f t="shared" si="46"/>
        <v>Clear</v>
      </c>
      <c r="T722" s="10" t="str">
        <f t="shared" si="47"/>
        <v>Warm</v>
      </c>
    </row>
    <row r="723" spans="1:20" x14ac:dyDescent="0.3">
      <c r="A723">
        <v>731</v>
      </c>
      <c r="B723" t="s">
        <v>48</v>
      </c>
      <c r="C723">
        <v>1</v>
      </c>
      <c r="D723">
        <v>0</v>
      </c>
      <c r="E723">
        <v>2</v>
      </c>
      <c r="F723">
        <v>19</v>
      </c>
      <c r="G723" t="b">
        <v>0</v>
      </c>
      <c r="H723">
        <v>3</v>
      </c>
      <c r="I723">
        <v>1</v>
      </c>
      <c r="J723">
        <v>0.28000000000000003</v>
      </c>
      <c r="K723">
        <v>0.2424</v>
      </c>
      <c r="L723">
        <v>0.45</v>
      </c>
      <c r="M723">
        <v>0.49249999999999999</v>
      </c>
      <c r="N723">
        <v>3</v>
      </c>
      <c r="O723">
        <v>88</v>
      </c>
      <c r="P723">
        <v>91</v>
      </c>
      <c r="Q723" t="str">
        <f t="shared" si="44"/>
        <v>Weekday</v>
      </c>
      <c r="R723" t="str">
        <f t="shared" si="45"/>
        <v>Medium</v>
      </c>
      <c r="S723" s="10" t="str">
        <f t="shared" si="46"/>
        <v>Clear</v>
      </c>
      <c r="T723" s="10" t="str">
        <f t="shared" si="47"/>
        <v>Cold</v>
      </c>
    </row>
    <row r="724" spans="1:20" x14ac:dyDescent="0.3">
      <c r="A724">
        <v>732</v>
      </c>
      <c r="B724" t="s">
        <v>48</v>
      </c>
      <c r="C724">
        <v>1</v>
      </c>
      <c r="D724">
        <v>0</v>
      </c>
      <c r="E724">
        <v>2</v>
      </c>
      <c r="F724">
        <v>20</v>
      </c>
      <c r="G724" t="b">
        <v>0</v>
      </c>
      <c r="H724">
        <v>3</v>
      </c>
      <c r="I724">
        <v>1</v>
      </c>
      <c r="J724">
        <v>0.24</v>
      </c>
      <c r="K724">
        <v>0.19700000000000001</v>
      </c>
      <c r="L724">
        <v>0.48</v>
      </c>
      <c r="M724">
        <v>0.55220000000000002</v>
      </c>
      <c r="N724">
        <v>4</v>
      </c>
      <c r="O724">
        <v>71</v>
      </c>
      <c r="P724">
        <v>75</v>
      </c>
      <c r="Q724" t="str">
        <f t="shared" si="44"/>
        <v>Weekday</v>
      </c>
      <c r="R724" t="str">
        <f t="shared" si="45"/>
        <v>Medium</v>
      </c>
      <c r="S724" s="10" t="str">
        <f t="shared" si="46"/>
        <v>Clear</v>
      </c>
      <c r="T724" s="10" t="str">
        <f t="shared" si="47"/>
        <v>Cold</v>
      </c>
    </row>
    <row r="725" spans="1:20" x14ac:dyDescent="0.3">
      <c r="A725">
        <v>733</v>
      </c>
      <c r="B725" t="s">
        <v>48</v>
      </c>
      <c r="C725">
        <v>1</v>
      </c>
      <c r="D725">
        <v>0</v>
      </c>
      <c r="E725">
        <v>2</v>
      </c>
      <c r="F725">
        <v>21</v>
      </c>
      <c r="G725" t="b">
        <v>0</v>
      </c>
      <c r="H725">
        <v>3</v>
      </c>
      <c r="I725">
        <v>1</v>
      </c>
      <c r="J725">
        <v>0.22</v>
      </c>
      <c r="K725">
        <v>0.19700000000000001</v>
      </c>
      <c r="L725">
        <v>0.47</v>
      </c>
      <c r="M725">
        <v>0.32840000000000003</v>
      </c>
      <c r="N725">
        <v>1</v>
      </c>
      <c r="O725">
        <v>62</v>
      </c>
      <c r="P725">
        <v>63</v>
      </c>
      <c r="Q725" t="str">
        <f t="shared" si="44"/>
        <v>Weekday</v>
      </c>
      <c r="R725" t="str">
        <f t="shared" si="45"/>
        <v>Medium</v>
      </c>
      <c r="S725" s="10" t="str">
        <f t="shared" si="46"/>
        <v>Clear</v>
      </c>
      <c r="T725" s="10" t="str">
        <f t="shared" si="47"/>
        <v>Cold</v>
      </c>
    </row>
    <row r="726" spans="1:20" x14ac:dyDescent="0.3">
      <c r="A726">
        <v>734</v>
      </c>
      <c r="B726" t="s">
        <v>48</v>
      </c>
      <c r="C726">
        <v>1</v>
      </c>
      <c r="D726">
        <v>0</v>
      </c>
      <c r="E726">
        <v>2</v>
      </c>
      <c r="F726">
        <v>22</v>
      </c>
      <c r="G726" t="b">
        <v>0</v>
      </c>
      <c r="H726">
        <v>3</v>
      </c>
      <c r="I726">
        <v>1</v>
      </c>
      <c r="J726">
        <v>0.22</v>
      </c>
      <c r="K726">
        <v>0.21210000000000001</v>
      </c>
      <c r="L726">
        <v>0.44</v>
      </c>
      <c r="M726">
        <v>0.25369999999999998</v>
      </c>
      <c r="N726">
        <v>5</v>
      </c>
      <c r="O726">
        <v>35</v>
      </c>
      <c r="P726">
        <v>40</v>
      </c>
      <c r="Q726" t="str">
        <f t="shared" si="44"/>
        <v>Weekday</v>
      </c>
      <c r="R726" t="str">
        <f t="shared" si="45"/>
        <v>Low</v>
      </c>
      <c r="S726" s="10" t="str">
        <f t="shared" si="46"/>
        <v>Clear</v>
      </c>
      <c r="T726" s="10" t="str">
        <f t="shared" si="47"/>
        <v>Cold</v>
      </c>
    </row>
    <row r="727" spans="1:20" x14ac:dyDescent="0.3">
      <c r="A727">
        <v>735</v>
      </c>
      <c r="B727" t="s">
        <v>48</v>
      </c>
      <c r="C727">
        <v>1</v>
      </c>
      <c r="D727">
        <v>0</v>
      </c>
      <c r="E727">
        <v>2</v>
      </c>
      <c r="F727">
        <v>23</v>
      </c>
      <c r="G727" t="b">
        <v>0</v>
      </c>
      <c r="H727">
        <v>3</v>
      </c>
      <c r="I727">
        <v>1</v>
      </c>
      <c r="J727">
        <v>0.2</v>
      </c>
      <c r="K727">
        <v>0.16669999999999999</v>
      </c>
      <c r="L727">
        <v>0.44</v>
      </c>
      <c r="M727">
        <v>0.44779999999999998</v>
      </c>
      <c r="N727">
        <v>3</v>
      </c>
      <c r="O727">
        <v>29</v>
      </c>
      <c r="P727">
        <v>32</v>
      </c>
      <c r="Q727" t="str">
        <f t="shared" si="44"/>
        <v>Weekday</v>
      </c>
      <c r="R727" t="str">
        <f t="shared" si="45"/>
        <v>Low</v>
      </c>
      <c r="S727" s="10" t="str">
        <f t="shared" si="46"/>
        <v>Clear</v>
      </c>
      <c r="T727" s="10" t="str">
        <f t="shared" si="47"/>
        <v>Cold</v>
      </c>
    </row>
    <row r="728" spans="1:20" x14ac:dyDescent="0.3">
      <c r="A728">
        <v>736</v>
      </c>
      <c r="B728" t="s">
        <v>49</v>
      </c>
      <c r="C728">
        <v>1</v>
      </c>
      <c r="D728">
        <v>0</v>
      </c>
      <c r="E728">
        <v>2</v>
      </c>
      <c r="F728">
        <v>0</v>
      </c>
      <c r="G728" t="b">
        <v>0</v>
      </c>
      <c r="H728">
        <v>4</v>
      </c>
      <c r="I728">
        <v>1</v>
      </c>
      <c r="J728">
        <v>0.2</v>
      </c>
      <c r="K728">
        <v>0.16669999999999999</v>
      </c>
      <c r="L728">
        <v>0.4</v>
      </c>
      <c r="M728">
        <v>0.44779999999999998</v>
      </c>
      <c r="N728">
        <v>1</v>
      </c>
      <c r="O728">
        <v>11</v>
      </c>
      <c r="P728">
        <v>12</v>
      </c>
      <c r="Q728" t="str">
        <f t="shared" si="44"/>
        <v>Weekday</v>
      </c>
      <c r="R728" t="str">
        <f t="shared" si="45"/>
        <v>Low</v>
      </c>
      <c r="S728" s="10" t="str">
        <f t="shared" si="46"/>
        <v>Clear</v>
      </c>
      <c r="T728" s="10" t="str">
        <f t="shared" si="47"/>
        <v>Cold</v>
      </c>
    </row>
    <row r="729" spans="1:20" x14ac:dyDescent="0.3">
      <c r="A729">
        <v>737</v>
      </c>
      <c r="B729" t="s">
        <v>49</v>
      </c>
      <c r="C729">
        <v>1</v>
      </c>
      <c r="D729">
        <v>0</v>
      </c>
      <c r="E729">
        <v>2</v>
      </c>
      <c r="F729">
        <v>1</v>
      </c>
      <c r="G729" t="b">
        <v>0</v>
      </c>
      <c r="H729">
        <v>4</v>
      </c>
      <c r="I729">
        <v>1</v>
      </c>
      <c r="J729">
        <v>0.2</v>
      </c>
      <c r="K729">
        <v>0.1515</v>
      </c>
      <c r="L729">
        <v>0.44</v>
      </c>
      <c r="M729">
        <v>0.52239999999999998</v>
      </c>
      <c r="N729">
        <v>0</v>
      </c>
      <c r="O729">
        <v>5</v>
      </c>
      <c r="P729">
        <v>5</v>
      </c>
      <c r="Q729" t="str">
        <f t="shared" si="44"/>
        <v>Weekday</v>
      </c>
      <c r="R729" t="str">
        <f t="shared" si="45"/>
        <v>Low</v>
      </c>
      <c r="S729" s="10" t="str">
        <f t="shared" si="46"/>
        <v>Clear</v>
      </c>
      <c r="T729" s="10" t="str">
        <f t="shared" si="47"/>
        <v>Cold</v>
      </c>
    </row>
    <row r="730" spans="1:20" x14ac:dyDescent="0.3">
      <c r="A730">
        <v>738</v>
      </c>
      <c r="B730" t="s">
        <v>49</v>
      </c>
      <c r="C730">
        <v>1</v>
      </c>
      <c r="D730">
        <v>0</v>
      </c>
      <c r="E730">
        <v>2</v>
      </c>
      <c r="F730">
        <v>2</v>
      </c>
      <c r="G730" t="b">
        <v>0</v>
      </c>
      <c r="H730">
        <v>4</v>
      </c>
      <c r="I730">
        <v>1</v>
      </c>
      <c r="J730">
        <v>0.18</v>
      </c>
      <c r="K730">
        <v>0.16669999999999999</v>
      </c>
      <c r="L730">
        <v>0.43</v>
      </c>
      <c r="M730">
        <v>0.25369999999999998</v>
      </c>
      <c r="N730">
        <v>0</v>
      </c>
      <c r="O730">
        <v>2</v>
      </c>
      <c r="P730">
        <v>2</v>
      </c>
      <c r="Q730" t="str">
        <f t="shared" si="44"/>
        <v>Weekday</v>
      </c>
      <c r="R730" t="str">
        <f t="shared" si="45"/>
        <v>Low</v>
      </c>
      <c r="S730" s="10" t="str">
        <f t="shared" si="46"/>
        <v>Clear</v>
      </c>
      <c r="T730" s="10" t="str">
        <f t="shared" si="47"/>
        <v>Cold</v>
      </c>
    </row>
    <row r="731" spans="1:20" x14ac:dyDescent="0.3">
      <c r="A731">
        <v>739</v>
      </c>
      <c r="B731" t="s">
        <v>49</v>
      </c>
      <c r="C731">
        <v>1</v>
      </c>
      <c r="D731">
        <v>0</v>
      </c>
      <c r="E731">
        <v>2</v>
      </c>
      <c r="F731">
        <v>3</v>
      </c>
      <c r="G731" t="b">
        <v>0</v>
      </c>
      <c r="H731">
        <v>4</v>
      </c>
      <c r="I731">
        <v>1</v>
      </c>
      <c r="J731">
        <v>0.18</v>
      </c>
      <c r="K731">
        <v>0.16669999999999999</v>
      </c>
      <c r="L731">
        <v>0.43</v>
      </c>
      <c r="M731">
        <v>0.25369999999999998</v>
      </c>
      <c r="N731">
        <v>0</v>
      </c>
      <c r="O731">
        <v>1</v>
      </c>
      <c r="P731">
        <v>1</v>
      </c>
      <c r="Q731" t="str">
        <f t="shared" si="44"/>
        <v>Weekday</v>
      </c>
      <c r="R731" t="str">
        <f t="shared" si="45"/>
        <v>Low</v>
      </c>
      <c r="S731" s="10" t="str">
        <f t="shared" si="46"/>
        <v>Clear</v>
      </c>
      <c r="T731" s="10" t="str">
        <f t="shared" si="47"/>
        <v>Cold</v>
      </c>
    </row>
    <row r="732" spans="1:20" x14ac:dyDescent="0.3">
      <c r="A732">
        <v>740</v>
      </c>
      <c r="B732" t="s">
        <v>49</v>
      </c>
      <c r="C732">
        <v>1</v>
      </c>
      <c r="D732">
        <v>0</v>
      </c>
      <c r="E732">
        <v>2</v>
      </c>
      <c r="F732">
        <v>5</v>
      </c>
      <c r="G732" t="b">
        <v>0</v>
      </c>
      <c r="H732">
        <v>4</v>
      </c>
      <c r="I732">
        <v>1</v>
      </c>
      <c r="J732">
        <v>0.16</v>
      </c>
      <c r="K732">
        <v>0.13639999999999999</v>
      </c>
      <c r="L732">
        <v>0.5</v>
      </c>
      <c r="M732">
        <v>0.29849999999999999</v>
      </c>
      <c r="N732">
        <v>0</v>
      </c>
      <c r="O732">
        <v>2</v>
      </c>
      <c r="P732">
        <v>2</v>
      </c>
      <c r="Q732" t="str">
        <f t="shared" si="44"/>
        <v>Weekday</v>
      </c>
      <c r="R732" t="str">
        <f t="shared" si="45"/>
        <v>Low</v>
      </c>
      <c r="S732" s="10" t="str">
        <f t="shared" si="46"/>
        <v>Clear</v>
      </c>
      <c r="T732" s="10" t="str">
        <f t="shared" si="47"/>
        <v>Cold</v>
      </c>
    </row>
    <row r="733" spans="1:20" x14ac:dyDescent="0.3">
      <c r="A733">
        <v>741</v>
      </c>
      <c r="B733" t="s">
        <v>49</v>
      </c>
      <c r="C733">
        <v>1</v>
      </c>
      <c r="D733">
        <v>0</v>
      </c>
      <c r="E733">
        <v>2</v>
      </c>
      <c r="F733">
        <v>6</v>
      </c>
      <c r="G733" t="b">
        <v>0</v>
      </c>
      <c r="H733">
        <v>4</v>
      </c>
      <c r="I733">
        <v>1</v>
      </c>
      <c r="J733">
        <v>0.16</v>
      </c>
      <c r="K733">
        <v>0.13639999999999999</v>
      </c>
      <c r="L733">
        <v>0.43</v>
      </c>
      <c r="M733">
        <v>0.35820000000000002</v>
      </c>
      <c r="N733">
        <v>0</v>
      </c>
      <c r="O733">
        <v>39</v>
      </c>
      <c r="P733">
        <v>39</v>
      </c>
      <c r="Q733" t="str">
        <f t="shared" si="44"/>
        <v>Weekday</v>
      </c>
      <c r="R733" t="str">
        <f t="shared" si="45"/>
        <v>Low</v>
      </c>
      <c r="S733" s="10" t="str">
        <f t="shared" si="46"/>
        <v>Clear</v>
      </c>
      <c r="T733" s="10" t="str">
        <f t="shared" si="47"/>
        <v>Cold</v>
      </c>
    </row>
    <row r="734" spans="1:20" x14ac:dyDescent="0.3">
      <c r="A734">
        <v>742</v>
      </c>
      <c r="B734" t="s">
        <v>49</v>
      </c>
      <c r="C734">
        <v>1</v>
      </c>
      <c r="D734">
        <v>0</v>
      </c>
      <c r="E734">
        <v>2</v>
      </c>
      <c r="F734">
        <v>7</v>
      </c>
      <c r="G734" t="b">
        <v>0</v>
      </c>
      <c r="H734">
        <v>4</v>
      </c>
      <c r="I734">
        <v>1</v>
      </c>
      <c r="J734">
        <v>0.14000000000000001</v>
      </c>
      <c r="K734">
        <v>0.1212</v>
      </c>
      <c r="L734">
        <v>0.5</v>
      </c>
      <c r="M734">
        <v>0.32840000000000003</v>
      </c>
      <c r="N734">
        <v>1</v>
      </c>
      <c r="O734">
        <v>86</v>
      </c>
      <c r="P734">
        <v>87</v>
      </c>
      <c r="Q734" t="str">
        <f t="shared" si="44"/>
        <v>Weekday</v>
      </c>
      <c r="R734" t="str">
        <f t="shared" si="45"/>
        <v>Medium</v>
      </c>
      <c r="S734" s="10" t="str">
        <f t="shared" si="46"/>
        <v>Clear</v>
      </c>
      <c r="T734" s="10" t="str">
        <f t="shared" si="47"/>
        <v>Cold</v>
      </c>
    </row>
    <row r="735" spans="1:20" x14ac:dyDescent="0.3">
      <c r="A735">
        <v>743</v>
      </c>
      <c r="B735" t="s">
        <v>49</v>
      </c>
      <c r="C735">
        <v>1</v>
      </c>
      <c r="D735">
        <v>0</v>
      </c>
      <c r="E735">
        <v>2</v>
      </c>
      <c r="F735">
        <v>8</v>
      </c>
      <c r="G735" t="b">
        <v>0</v>
      </c>
      <c r="H735">
        <v>4</v>
      </c>
      <c r="I735">
        <v>1</v>
      </c>
      <c r="J735">
        <v>0.14000000000000001</v>
      </c>
      <c r="K735">
        <v>0.1212</v>
      </c>
      <c r="L735">
        <v>0.5</v>
      </c>
      <c r="M735">
        <v>0.35820000000000002</v>
      </c>
      <c r="N735">
        <v>4</v>
      </c>
      <c r="O735">
        <v>184</v>
      </c>
      <c r="P735">
        <v>188</v>
      </c>
      <c r="Q735" t="str">
        <f t="shared" si="44"/>
        <v>Weekday</v>
      </c>
      <c r="R735" t="str">
        <f t="shared" si="45"/>
        <v>High</v>
      </c>
      <c r="S735" s="10" t="str">
        <f t="shared" si="46"/>
        <v>Clear</v>
      </c>
      <c r="T735" s="10" t="str">
        <f t="shared" si="47"/>
        <v>Cold</v>
      </c>
    </row>
    <row r="736" spans="1:20" x14ac:dyDescent="0.3">
      <c r="A736">
        <v>744</v>
      </c>
      <c r="B736" t="s">
        <v>49</v>
      </c>
      <c r="C736">
        <v>1</v>
      </c>
      <c r="D736">
        <v>0</v>
      </c>
      <c r="E736">
        <v>2</v>
      </c>
      <c r="F736">
        <v>9</v>
      </c>
      <c r="G736" t="b">
        <v>0</v>
      </c>
      <c r="H736">
        <v>4</v>
      </c>
      <c r="I736">
        <v>1</v>
      </c>
      <c r="J736">
        <v>0.16</v>
      </c>
      <c r="K736">
        <v>0.13639999999999999</v>
      </c>
      <c r="L736">
        <v>0.47</v>
      </c>
      <c r="M736">
        <v>0.29849999999999999</v>
      </c>
      <c r="N736">
        <v>6</v>
      </c>
      <c r="O736">
        <v>127</v>
      </c>
      <c r="P736">
        <v>133</v>
      </c>
      <c r="Q736" t="str">
        <f t="shared" si="44"/>
        <v>Weekday</v>
      </c>
      <c r="R736" t="str">
        <f t="shared" si="45"/>
        <v>Medium</v>
      </c>
      <c r="S736" s="10" t="str">
        <f t="shared" si="46"/>
        <v>Clear</v>
      </c>
      <c r="T736" s="10" t="str">
        <f t="shared" si="47"/>
        <v>Cold</v>
      </c>
    </row>
    <row r="737" spans="1:20" x14ac:dyDescent="0.3">
      <c r="A737">
        <v>745</v>
      </c>
      <c r="B737" t="s">
        <v>49</v>
      </c>
      <c r="C737">
        <v>1</v>
      </c>
      <c r="D737">
        <v>0</v>
      </c>
      <c r="E737">
        <v>2</v>
      </c>
      <c r="F737">
        <v>10</v>
      </c>
      <c r="G737" t="b">
        <v>0</v>
      </c>
      <c r="H737">
        <v>4</v>
      </c>
      <c r="I737">
        <v>1</v>
      </c>
      <c r="J737">
        <v>0.18</v>
      </c>
      <c r="K737">
        <v>0.1515</v>
      </c>
      <c r="L737">
        <v>0.43</v>
      </c>
      <c r="M737">
        <v>0.32840000000000003</v>
      </c>
      <c r="N737">
        <v>2</v>
      </c>
      <c r="O737">
        <v>50</v>
      </c>
      <c r="P737">
        <v>52</v>
      </c>
      <c r="Q737" t="str">
        <f t="shared" si="44"/>
        <v>Weekday</v>
      </c>
      <c r="R737" t="str">
        <f t="shared" si="45"/>
        <v>Medium</v>
      </c>
      <c r="S737" s="10" t="str">
        <f t="shared" si="46"/>
        <v>Clear</v>
      </c>
      <c r="T737" s="10" t="str">
        <f t="shared" si="47"/>
        <v>Cold</v>
      </c>
    </row>
    <row r="738" spans="1:20" x14ac:dyDescent="0.3">
      <c r="A738">
        <v>746</v>
      </c>
      <c r="B738" t="s">
        <v>49</v>
      </c>
      <c r="C738">
        <v>1</v>
      </c>
      <c r="D738">
        <v>0</v>
      </c>
      <c r="E738">
        <v>2</v>
      </c>
      <c r="F738">
        <v>11</v>
      </c>
      <c r="G738" t="b">
        <v>0</v>
      </c>
      <c r="H738">
        <v>4</v>
      </c>
      <c r="I738">
        <v>1</v>
      </c>
      <c r="J738">
        <v>0.18</v>
      </c>
      <c r="K738">
        <v>0.13639999999999999</v>
      </c>
      <c r="L738">
        <v>0.43</v>
      </c>
      <c r="M738">
        <v>0.44779999999999998</v>
      </c>
      <c r="N738">
        <v>9</v>
      </c>
      <c r="O738">
        <v>55</v>
      </c>
      <c r="P738">
        <v>64</v>
      </c>
      <c r="Q738" t="str">
        <f t="shared" si="44"/>
        <v>Weekday</v>
      </c>
      <c r="R738" t="str">
        <f t="shared" si="45"/>
        <v>Medium</v>
      </c>
      <c r="S738" s="10" t="str">
        <f t="shared" si="46"/>
        <v>Clear</v>
      </c>
      <c r="T738" s="10" t="str">
        <f t="shared" si="47"/>
        <v>Cold</v>
      </c>
    </row>
    <row r="739" spans="1:20" x14ac:dyDescent="0.3">
      <c r="A739">
        <v>747</v>
      </c>
      <c r="B739" t="s">
        <v>49</v>
      </c>
      <c r="C739">
        <v>1</v>
      </c>
      <c r="D739">
        <v>0</v>
      </c>
      <c r="E739">
        <v>2</v>
      </c>
      <c r="F739">
        <v>12</v>
      </c>
      <c r="G739" t="b">
        <v>0</v>
      </c>
      <c r="H739">
        <v>4</v>
      </c>
      <c r="I739">
        <v>1</v>
      </c>
      <c r="J739">
        <v>0.2</v>
      </c>
      <c r="K739">
        <v>0.18179999999999999</v>
      </c>
      <c r="L739">
        <v>0.4</v>
      </c>
      <c r="M739">
        <v>0.35820000000000002</v>
      </c>
      <c r="N739">
        <v>2</v>
      </c>
      <c r="O739">
        <v>67</v>
      </c>
      <c r="P739">
        <v>69</v>
      </c>
      <c r="Q739" t="str">
        <f t="shared" si="44"/>
        <v>Weekday</v>
      </c>
      <c r="R739" t="str">
        <f t="shared" si="45"/>
        <v>Medium</v>
      </c>
      <c r="S739" s="10" t="str">
        <f t="shared" si="46"/>
        <v>Clear</v>
      </c>
      <c r="T739" s="10" t="str">
        <f t="shared" si="47"/>
        <v>Cold</v>
      </c>
    </row>
    <row r="740" spans="1:20" x14ac:dyDescent="0.3">
      <c r="A740">
        <v>748</v>
      </c>
      <c r="B740" t="s">
        <v>49</v>
      </c>
      <c r="C740">
        <v>1</v>
      </c>
      <c r="D740">
        <v>0</v>
      </c>
      <c r="E740">
        <v>2</v>
      </c>
      <c r="F740">
        <v>13</v>
      </c>
      <c r="G740" t="b">
        <v>0</v>
      </c>
      <c r="H740">
        <v>4</v>
      </c>
      <c r="I740">
        <v>1</v>
      </c>
      <c r="J740">
        <v>0.2</v>
      </c>
      <c r="K740">
        <v>0.16669999999999999</v>
      </c>
      <c r="L740">
        <v>0.4</v>
      </c>
      <c r="M740">
        <v>0.41789999999999999</v>
      </c>
      <c r="N740">
        <v>4</v>
      </c>
      <c r="O740">
        <v>47</v>
      </c>
      <c r="P740">
        <v>51</v>
      </c>
      <c r="Q740" t="str">
        <f t="shared" si="44"/>
        <v>Weekday</v>
      </c>
      <c r="R740" t="str">
        <f t="shared" si="45"/>
        <v>Medium</v>
      </c>
      <c r="S740" s="10" t="str">
        <f t="shared" si="46"/>
        <v>Clear</v>
      </c>
      <c r="T740" s="10" t="str">
        <f t="shared" si="47"/>
        <v>Cold</v>
      </c>
    </row>
    <row r="741" spans="1:20" x14ac:dyDescent="0.3">
      <c r="A741">
        <v>749</v>
      </c>
      <c r="B741" t="s">
        <v>49</v>
      </c>
      <c r="C741">
        <v>1</v>
      </c>
      <c r="D741">
        <v>0</v>
      </c>
      <c r="E741">
        <v>2</v>
      </c>
      <c r="F741">
        <v>14</v>
      </c>
      <c r="G741" t="b">
        <v>0</v>
      </c>
      <c r="H741">
        <v>4</v>
      </c>
      <c r="I741">
        <v>1</v>
      </c>
      <c r="J741">
        <v>0.22</v>
      </c>
      <c r="K741">
        <v>0.19700000000000001</v>
      </c>
      <c r="L741">
        <v>0.37</v>
      </c>
      <c r="M741">
        <v>0.3881</v>
      </c>
      <c r="N741">
        <v>4</v>
      </c>
      <c r="O741">
        <v>43</v>
      </c>
      <c r="P741">
        <v>47</v>
      </c>
      <c r="Q741" t="str">
        <f t="shared" si="44"/>
        <v>Weekday</v>
      </c>
      <c r="R741" t="str">
        <f t="shared" si="45"/>
        <v>Low</v>
      </c>
      <c r="S741" s="10" t="str">
        <f t="shared" si="46"/>
        <v>Clear</v>
      </c>
      <c r="T741" s="10" t="str">
        <f t="shared" si="47"/>
        <v>Cold</v>
      </c>
    </row>
    <row r="742" spans="1:20" x14ac:dyDescent="0.3">
      <c r="A742">
        <v>750</v>
      </c>
      <c r="B742" t="s">
        <v>49</v>
      </c>
      <c r="C742">
        <v>1</v>
      </c>
      <c r="D742">
        <v>0</v>
      </c>
      <c r="E742">
        <v>2</v>
      </c>
      <c r="F742">
        <v>15</v>
      </c>
      <c r="G742" t="b">
        <v>0</v>
      </c>
      <c r="H742">
        <v>4</v>
      </c>
      <c r="I742">
        <v>1</v>
      </c>
      <c r="J742">
        <v>0.22</v>
      </c>
      <c r="K742">
        <v>0.19700000000000001</v>
      </c>
      <c r="L742">
        <v>0.37</v>
      </c>
      <c r="M742">
        <v>0.32840000000000003</v>
      </c>
      <c r="N742">
        <v>4</v>
      </c>
      <c r="O742">
        <v>56</v>
      </c>
      <c r="P742">
        <v>60</v>
      </c>
      <c r="Q742" t="str">
        <f t="shared" si="44"/>
        <v>Weekday</v>
      </c>
      <c r="R742" t="str">
        <f t="shared" si="45"/>
        <v>Medium</v>
      </c>
      <c r="S742" s="10" t="str">
        <f t="shared" si="46"/>
        <v>Clear</v>
      </c>
      <c r="T742" s="10" t="str">
        <f t="shared" si="47"/>
        <v>Cold</v>
      </c>
    </row>
    <row r="743" spans="1:20" x14ac:dyDescent="0.3">
      <c r="A743">
        <v>751</v>
      </c>
      <c r="B743" t="s">
        <v>49</v>
      </c>
      <c r="C743">
        <v>1</v>
      </c>
      <c r="D743">
        <v>0</v>
      </c>
      <c r="E743">
        <v>2</v>
      </c>
      <c r="F743">
        <v>16</v>
      </c>
      <c r="G743" t="b">
        <v>0</v>
      </c>
      <c r="H743">
        <v>4</v>
      </c>
      <c r="I743">
        <v>1</v>
      </c>
      <c r="J743">
        <v>0.22</v>
      </c>
      <c r="K743">
        <v>0.21210000000000001</v>
      </c>
      <c r="L743">
        <v>0.37</v>
      </c>
      <c r="M743">
        <v>0.25369999999999998</v>
      </c>
      <c r="N743">
        <v>5</v>
      </c>
      <c r="O743">
        <v>73</v>
      </c>
      <c r="P743">
        <v>78</v>
      </c>
      <c r="Q743" t="str">
        <f t="shared" si="44"/>
        <v>Weekday</v>
      </c>
      <c r="R743" t="str">
        <f t="shared" si="45"/>
        <v>Medium</v>
      </c>
      <c r="S743" s="10" t="str">
        <f t="shared" si="46"/>
        <v>Clear</v>
      </c>
      <c r="T743" s="10" t="str">
        <f t="shared" si="47"/>
        <v>Cold</v>
      </c>
    </row>
    <row r="744" spans="1:20" x14ac:dyDescent="0.3">
      <c r="A744">
        <v>752</v>
      </c>
      <c r="B744" t="s">
        <v>49</v>
      </c>
      <c r="C744">
        <v>1</v>
      </c>
      <c r="D744">
        <v>0</v>
      </c>
      <c r="E744">
        <v>2</v>
      </c>
      <c r="F744">
        <v>17</v>
      </c>
      <c r="G744" t="b">
        <v>0</v>
      </c>
      <c r="H744">
        <v>4</v>
      </c>
      <c r="I744">
        <v>1</v>
      </c>
      <c r="J744">
        <v>0.2</v>
      </c>
      <c r="K744">
        <v>0.19700000000000001</v>
      </c>
      <c r="L744">
        <v>0.4</v>
      </c>
      <c r="M744">
        <v>0.19400000000000001</v>
      </c>
      <c r="N744">
        <v>5</v>
      </c>
      <c r="O744">
        <v>170</v>
      </c>
      <c r="P744">
        <v>175</v>
      </c>
      <c r="Q744" t="str">
        <f t="shared" si="44"/>
        <v>Weekday</v>
      </c>
      <c r="R744" t="str">
        <f t="shared" si="45"/>
        <v>High</v>
      </c>
      <c r="S744" s="10" t="str">
        <f t="shared" si="46"/>
        <v>Clear</v>
      </c>
      <c r="T744" s="10" t="str">
        <f t="shared" si="47"/>
        <v>Cold</v>
      </c>
    </row>
    <row r="745" spans="1:20" x14ac:dyDescent="0.3">
      <c r="A745">
        <v>753</v>
      </c>
      <c r="B745" t="s">
        <v>49</v>
      </c>
      <c r="C745">
        <v>1</v>
      </c>
      <c r="D745">
        <v>0</v>
      </c>
      <c r="E745">
        <v>2</v>
      </c>
      <c r="F745">
        <v>18</v>
      </c>
      <c r="G745" t="b">
        <v>0</v>
      </c>
      <c r="H745">
        <v>4</v>
      </c>
      <c r="I745">
        <v>1</v>
      </c>
      <c r="J745">
        <v>0.2</v>
      </c>
      <c r="K745">
        <v>0.21210000000000001</v>
      </c>
      <c r="L745">
        <v>0.4</v>
      </c>
      <c r="M745">
        <v>0.16420000000000001</v>
      </c>
      <c r="N745">
        <v>2</v>
      </c>
      <c r="O745">
        <v>145</v>
      </c>
      <c r="P745">
        <v>147</v>
      </c>
      <c r="Q745" t="str">
        <f t="shared" si="44"/>
        <v>Weekday</v>
      </c>
      <c r="R745" t="str">
        <f t="shared" si="45"/>
        <v>Medium</v>
      </c>
      <c r="S745" s="10" t="str">
        <f t="shared" si="46"/>
        <v>Clear</v>
      </c>
      <c r="T745" s="10" t="str">
        <f t="shared" si="47"/>
        <v>Cold</v>
      </c>
    </row>
    <row r="746" spans="1:20" x14ac:dyDescent="0.3">
      <c r="A746">
        <v>754</v>
      </c>
      <c r="B746" t="s">
        <v>49</v>
      </c>
      <c r="C746">
        <v>1</v>
      </c>
      <c r="D746">
        <v>0</v>
      </c>
      <c r="E746">
        <v>2</v>
      </c>
      <c r="F746">
        <v>19</v>
      </c>
      <c r="G746" t="b">
        <v>0</v>
      </c>
      <c r="H746">
        <v>4</v>
      </c>
      <c r="I746">
        <v>1</v>
      </c>
      <c r="J746">
        <v>0.2</v>
      </c>
      <c r="K746">
        <v>0.2576</v>
      </c>
      <c r="L746">
        <v>0.4</v>
      </c>
      <c r="M746">
        <v>0</v>
      </c>
      <c r="N746">
        <v>4</v>
      </c>
      <c r="O746">
        <v>92</v>
      </c>
      <c r="P746">
        <v>96</v>
      </c>
      <c r="Q746" t="str">
        <f t="shared" si="44"/>
        <v>Weekday</v>
      </c>
      <c r="R746" t="str">
        <f t="shared" si="45"/>
        <v>Medium</v>
      </c>
      <c r="S746" s="10" t="str">
        <f t="shared" si="46"/>
        <v>Clear</v>
      </c>
      <c r="T746" s="10" t="str">
        <f t="shared" si="47"/>
        <v>Cold</v>
      </c>
    </row>
    <row r="747" spans="1:20" x14ac:dyDescent="0.3">
      <c r="A747">
        <v>755</v>
      </c>
      <c r="B747" t="s">
        <v>49</v>
      </c>
      <c r="C747">
        <v>1</v>
      </c>
      <c r="D747">
        <v>0</v>
      </c>
      <c r="E747">
        <v>2</v>
      </c>
      <c r="F747">
        <v>20</v>
      </c>
      <c r="G747" t="b">
        <v>0</v>
      </c>
      <c r="H747">
        <v>4</v>
      </c>
      <c r="I747">
        <v>1</v>
      </c>
      <c r="J747">
        <v>0.2</v>
      </c>
      <c r="K747">
        <v>0.2273</v>
      </c>
      <c r="L747">
        <v>0.47</v>
      </c>
      <c r="M747">
        <v>8.9599999999999999E-2</v>
      </c>
      <c r="N747">
        <v>1</v>
      </c>
      <c r="O747">
        <v>108</v>
      </c>
      <c r="P747">
        <v>109</v>
      </c>
      <c r="Q747" t="str">
        <f t="shared" si="44"/>
        <v>Weekday</v>
      </c>
      <c r="R747" t="str">
        <f t="shared" si="45"/>
        <v>Medium</v>
      </c>
      <c r="S747" s="10" t="str">
        <f t="shared" si="46"/>
        <v>Clear</v>
      </c>
      <c r="T747" s="10" t="str">
        <f t="shared" si="47"/>
        <v>Cold</v>
      </c>
    </row>
    <row r="748" spans="1:20" x14ac:dyDescent="0.3">
      <c r="A748">
        <v>756</v>
      </c>
      <c r="B748" t="s">
        <v>49</v>
      </c>
      <c r="C748">
        <v>1</v>
      </c>
      <c r="D748">
        <v>0</v>
      </c>
      <c r="E748">
        <v>2</v>
      </c>
      <c r="F748">
        <v>21</v>
      </c>
      <c r="G748" t="b">
        <v>0</v>
      </c>
      <c r="H748">
        <v>4</v>
      </c>
      <c r="I748">
        <v>1</v>
      </c>
      <c r="J748">
        <v>0.18</v>
      </c>
      <c r="K748">
        <v>0.21210000000000001</v>
      </c>
      <c r="L748">
        <v>0.55000000000000004</v>
      </c>
      <c r="M748">
        <v>0.1045</v>
      </c>
      <c r="N748">
        <v>1</v>
      </c>
      <c r="O748">
        <v>53</v>
      </c>
      <c r="P748">
        <v>54</v>
      </c>
      <c r="Q748" t="str">
        <f t="shared" si="44"/>
        <v>Weekday</v>
      </c>
      <c r="R748" t="str">
        <f t="shared" si="45"/>
        <v>Medium</v>
      </c>
      <c r="S748" s="10" t="str">
        <f t="shared" si="46"/>
        <v>Clear</v>
      </c>
      <c r="T748" s="10" t="str">
        <f t="shared" si="47"/>
        <v>Cold</v>
      </c>
    </row>
    <row r="749" spans="1:20" x14ac:dyDescent="0.3">
      <c r="A749">
        <v>757</v>
      </c>
      <c r="B749" t="s">
        <v>49</v>
      </c>
      <c r="C749">
        <v>1</v>
      </c>
      <c r="D749">
        <v>0</v>
      </c>
      <c r="E749">
        <v>2</v>
      </c>
      <c r="F749">
        <v>22</v>
      </c>
      <c r="G749" t="b">
        <v>0</v>
      </c>
      <c r="H749">
        <v>4</v>
      </c>
      <c r="I749">
        <v>1</v>
      </c>
      <c r="J749">
        <v>0.18</v>
      </c>
      <c r="K749">
        <v>0.21210000000000001</v>
      </c>
      <c r="L749">
        <v>0.51</v>
      </c>
      <c r="M749">
        <v>8.9599999999999999E-2</v>
      </c>
      <c r="N749">
        <v>2</v>
      </c>
      <c r="O749">
        <v>39</v>
      </c>
      <c r="P749">
        <v>41</v>
      </c>
      <c r="Q749" t="str">
        <f t="shared" si="44"/>
        <v>Weekday</v>
      </c>
      <c r="R749" t="str">
        <f t="shared" si="45"/>
        <v>Low</v>
      </c>
      <c r="S749" s="10" t="str">
        <f t="shared" si="46"/>
        <v>Clear</v>
      </c>
      <c r="T749" s="10" t="str">
        <f t="shared" si="47"/>
        <v>Cold</v>
      </c>
    </row>
    <row r="750" spans="1:20" x14ac:dyDescent="0.3">
      <c r="A750">
        <v>758</v>
      </c>
      <c r="B750" t="s">
        <v>49</v>
      </c>
      <c r="C750">
        <v>1</v>
      </c>
      <c r="D750">
        <v>0</v>
      </c>
      <c r="E750">
        <v>2</v>
      </c>
      <c r="F750">
        <v>23</v>
      </c>
      <c r="G750" t="b">
        <v>0</v>
      </c>
      <c r="H750">
        <v>4</v>
      </c>
      <c r="I750">
        <v>1</v>
      </c>
      <c r="J750">
        <v>0.2</v>
      </c>
      <c r="K750">
        <v>0.2273</v>
      </c>
      <c r="L750">
        <v>0.47</v>
      </c>
      <c r="M750">
        <v>0.1045</v>
      </c>
      <c r="N750">
        <v>4</v>
      </c>
      <c r="O750">
        <v>34</v>
      </c>
      <c r="P750">
        <v>38</v>
      </c>
      <c r="Q750" t="str">
        <f t="shared" si="44"/>
        <v>Weekday</v>
      </c>
      <c r="R750" t="str">
        <f t="shared" si="45"/>
        <v>Low</v>
      </c>
      <c r="S750" s="10" t="str">
        <f t="shared" si="46"/>
        <v>Clear</v>
      </c>
      <c r="T750" s="10" t="str">
        <f t="shared" si="47"/>
        <v>Cold</v>
      </c>
    </row>
    <row r="751" spans="1:20" x14ac:dyDescent="0.3">
      <c r="A751">
        <v>759</v>
      </c>
      <c r="B751" t="s">
        <v>50</v>
      </c>
      <c r="C751">
        <v>1</v>
      </c>
      <c r="D751">
        <v>0</v>
      </c>
      <c r="E751">
        <v>2</v>
      </c>
      <c r="F751">
        <v>0</v>
      </c>
      <c r="G751" t="b">
        <v>0</v>
      </c>
      <c r="H751">
        <v>5</v>
      </c>
      <c r="I751">
        <v>2</v>
      </c>
      <c r="J751">
        <v>0.2</v>
      </c>
      <c r="K751">
        <v>0.2576</v>
      </c>
      <c r="L751">
        <v>0.44</v>
      </c>
      <c r="M751">
        <v>0</v>
      </c>
      <c r="N751">
        <v>3</v>
      </c>
      <c r="O751">
        <v>10</v>
      </c>
      <c r="P751">
        <v>13</v>
      </c>
      <c r="Q751" t="str">
        <f t="shared" si="44"/>
        <v>Weekday</v>
      </c>
      <c r="R751" t="str">
        <f t="shared" si="45"/>
        <v>Low</v>
      </c>
      <c r="S751" s="10" t="str">
        <f t="shared" si="46"/>
        <v>Mist/Cloudy</v>
      </c>
      <c r="T751" s="10" t="str">
        <f t="shared" si="47"/>
        <v>Cold</v>
      </c>
    </row>
    <row r="752" spans="1:20" x14ac:dyDescent="0.3">
      <c r="A752">
        <v>760</v>
      </c>
      <c r="B752" t="s">
        <v>50</v>
      </c>
      <c r="C752">
        <v>1</v>
      </c>
      <c r="D752">
        <v>0</v>
      </c>
      <c r="E752">
        <v>2</v>
      </c>
      <c r="F752">
        <v>1</v>
      </c>
      <c r="G752" t="b">
        <v>0</v>
      </c>
      <c r="H752">
        <v>5</v>
      </c>
      <c r="I752">
        <v>2</v>
      </c>
      <c r="J752">
        <v>0.16</v>
      </c>
      <c r="K752">
        <v>0.2273</v>
      </c>
      <c r="L752">
        <v>0.59</v>
      </c>
      <c r="M752">
        <v>0</v>
      </c>
      <c r="N752">
        <v>0</v>
      </c>
      <c r="O752">
        <v>7</v>
      </c>
      <c r="P752">
        <v>7</v>
      </c>
      <c r="Q752" t="str">
        <f t="shared" si="44"/>
        <v>Weekday</v>
      </c>
      <c r="R752" t="str">
        <f t="shared" si="45"/>
        <v>Low</v>
      </c>
      <c r="S752" s="10" t="str">
        <f t="shared" si="46"/>
        <v>Mist/Cloudy</v>
      </c>
      <c r="T752" s="10" t="str">
        <f t="shared" si="47"/>
        <v>Cold</v>
      </c>
    </row>
    <row r="753" spans="1:20" x14ac:dyDescent="0.3">
      <c r="A753">
        <v>761</v>
      </c>
      <c r="B753" t="s">
        <v>50</v>
      </c>
      <c r="C753">
        <v>1</v>
      </c>
      <c r="D753">
        <v>0</v>
      </c>
      <c r="E753">
        <v>2</v>
      </c>
      <c r="F753">
        <v>2</v>
      </c>
      <c r="G753" t="b">
        <v>0</v>
      </c>
      <c r="H753">
        <v>5</v>
      </c>
      <c r="I753">
        <v>2</v>
      </c>
      <c r="J753">
        <v>0.14000000000000001</v>
      </c>
      <c r="K753">
        <v>0.16669999999999999</v>
      </c>
      <c r="L753">
        <v>0.63</v>
      </c>
      <c r="M753">
        <v>0.1045</v>
      </c>
      <c r="N753">
        <v>0</v>
      </c>
      <c r="O753">
        <v>1</v>
      </c>
      <c r="P753">
        <v>1</v>
      </c>
      <c r="Q753" t="str">
        <f t="shared" si="44"/>
        <v>Weekday</v>
      </c>
      <c r="R753" t="str">
        <f t="shared" si="45"/>
        <v>Low</v>
      </c>
      <c r="S753" s="10" t="str">
        <f t="shared" si="46"/>
        <v>Mist/Cloudy</v>
      </c>
      <c r="T753" s="10" t="str">
        <f t="shared" si="47"/>
        <v>Cold</v>
      </c>
    </row>
    <row r="754" spans="1:20" x14ac:dyDescent="0.3">
      <c r="A754">
        <v>762</v>
      </c>
      <c r="B754" t="s">
        <v>50</v>
      </c>
      <c r="C754">
        <v>1</v>
      </c>
      <c r="D754">
        <v>0</v>
      </c>
      <c r="E754">
        <v>2</v>
      </c>
      <c r="F754">
        <v>3</v>
      </c>
      <c r="G754" t="b">
        <v>0</v>
      </c>
      <c r="H754">
        <v>5</v>
      </c>
      <c r="I754">
        <v>2</v>
      </c>
      <c r="J754">
        <v>0.14000000000000001</v>
      </c>
      <c r="K754">
        <v>0.16669999999999999</v>
      </c>
      <c r="L754">
        <v>0.63</v>
      </c>
      <c r="M754">
        <v>0.1045</v>
      </c>
      <c r="N754">
        <v>0</v>
      </c>
      <c r="O754">
        <v>1</v>
      </c>
      <c r="P754">
        <v>1</v>
      </c>
      <c r="Q754" t="str">
        <f t="shared" si="44"/>
        <v>Weekday</v>
      </c>
      <c r="R754" t="str">
        <f t="shared" si="45"/>
        <v>Low</v>
      </c>
      <c r="S754" s="10" t="str">
        <f t="shared" si="46"/>
        <v>Mist/Cloudy</v>
      </c>
      <c r="T754" s="10" t="str">
        <f t="shared" si="47"/>
        <v>Cold</v>
      </c>
    </row>
    <row r="755" spans="1:20" x14ac:dyDescent="0.3">
      <c r="A755">
        <v>763</v>
      </c>
      <c r="B755" t="s">
        <v>50</v>
      </c>
      <c r="C755">
        <v>1</v>
      </c>
      <c r="D755">
        <v>0</v>
      </c>
      <c r="E755">
        <v>2</v>
      </c>
      <c r="F755">
        <v>5</v>
      </c>
      <c r="G755" t="b">
        <v>0</v>
      </c>
      <c r="H755">
        <v>5</v>
      </c>
      <c r="I755">
        <v>2</v>
      </c>
      <c r="J755">
        <v>0.14000000000000001</v>
      </c>
      <c r="K755">
        <v>0.1515</v>
      </c>
      <c r="L755">
        <v>0.63</v>
      </c>
      <c r="M755">
        <v>0.1343</v>
      </c>
      <c r="N755">
        <v>0</v>
      </c>
      <c r="O755">
        <v>7</v>
      </c>
      <c r="P755">
        <v>7</v>
      </c>
      <c r="Q755" t="str">
        <f t="shared" si="44"/>
        <v>Weekday</v>
      </c>
      <c r="R755" t="str">
        <f t="shared" si="45"/>
        <v>Low</v>
      </c>
      <c r="S755" s="10" t="str">
        <f t="shared" si="46"/>
        <v>Mist/Cloudy</v>
      </c>
      <c r="T755" s="10" t="str">
        <f t="shared" si="47"/>
        <v>Cold</v>
      </c>
    </row>
    <row r="756" spans="1:20" x14ac:dyDescent="0.3">
      <c r="A756">
        <v>764</v>
      </c>
      <c r="B756" t="s">
        <v>50</v>
      </c>
      <c r="C756">
        <v>1</v>
      </c>
      <c r="D756">
        <v>0</v>
      </c>
      <c r="E756">
        <v>2</v>
      </c>
      <c r="F756">
        <v>6</v>
      </c>
      <c r="G756" t="b">
        <v>0</v>
      </c>
      <c r="H756">
        <v>5</v>
      </c>
      <c r="I756">
        <v>2</v>
      </c>
      <c r="J756">
        <v>0.16</v>
      </c>
      <c r="K756">
        <v>0.2273</v>
      </c>
      <c r="L756">
        <v>0.55000000000000004</v>
      </c>
      <c r="M756">
        <v>0</v>
      </c>
      <c r="N756">
        <v>2</v>
      </c>
      <c r="O756">
        <v>26</v>
      </c>
      <c r="P756">
        <v>28</v>
      </c>
      <c r="Q756" t="str">
        <f t="shared" si="44"/>
        <v>Weekday</v>
      </c>
      <c r="R756" t="str">
        <f t="shared" si="45"/>
        <v>Low</v>
      </c>
      <c r="S756" s="10" t="str">
        <f t="shared" si="46"/>
        <v>Mist/Cloudy</v>
      </c>
      <c r="T756" s="10" t="str">
        <f t="shared" si="47"/>
        <v>Cold</v>
      </c>
    </row>
    <row r="757" spans="1:20" x14ac:dyDescent="0.3">
      <c r="A757">
        <v>765</v>
      </c>
      <c r="B757" t="s">
        <v>50</v>
      </c>
      <c r="C757">
        <v>1</v>
      </c>
      <c r="D757">
        <v>0</v>
      </c>
      <c r="E757">
        <v>2</v>
      </c>
      <c r="F757">
        <v>7</v>
      </c>
      <c r="G757" t="b">
        <v>0</v>
      </c>
      <c r="H757">
        <v>5</v>
      </c>
      <c r="I757">
        <v>1</v>
      </c>
      <c r="J757">
        <v>0.14000000000000001</v>
      </c>
      <c r="K757">
        <v>0.21210000000000001</v>
      </c>
      <c r="L757">
        <v>0.59</v>
      </c>
      <c r="M757">
        <v>0</v>
      </c>
      <c r="N757">
        <v>0</v>
      </c>
      <c r="O757">
        <v>87</v>
      </c>
      <c r="P757">
        <v>87</v>
      </c>
      <c r="Q757" t="str">
        <f t="shared" si="44"/>
        <v>Weekday</v>
      </c>
      <c r="R757" t="str">
        <f t="shared" si="45"/>
        <v>Medium</v>
      </c>
      <c r="S757" s="10" t="str">
        <f t="shared" si="46"/>
        <v>Clear</v>
      </c>
      <c r="T757" s="10" t="str">
        <f t="shared" si="47"/>
        <v>Cold</v>
      </c>
    </row>
    <row r="758" spans="1:20" x14ac:dyDescent="0.3">
      <c r="A758">
        <v>766</v>
      </c>
      <c r="B758" t="s">
        <v>50</v>
      </c>
      <c r="C758">
        <v>1</v>
      </c>
      <c r="D758">
        <v>0</v>
      </c>
      <c r="E758">
        <v>2</v>
      </c>
      <c r="F758">
        <v>8</v>
      </c>
      <c r="G758" t="b">
        <v>0</v>
      </c>
      <c r="H758">
        <v>5</v>
      </c>
      <c r="I758">
        <v>1</v>
      </c>
      <c r="J758">
        <v>0.14000000000000001</v>
      </c>
      <c r="K758">
        <v>0.1515</v>
      </c>
      <c r="L758">
        <v>0.74</v>
      </c>
      <c r="M758">
        <v>0.1343</v>
      </c>
      <c r="N758">
        <v>3</v>
      </c>
      <c r="O758">
        <v>217</v>
      </c>
      <c r="P758">
        <v>220</v>
      </c>
      <c r="Q758" t="str">
        <f t="shared" si="44"/>
        <v>Weekday</v>
      </c>
      <c r="R758" t="str">
        <f t="shared" si="45"/>
        <v>High</v>
      </c>
      <c r="S758" s="10" t="str">
        <f t="shared" si="46"/>
        <v>Clear</v>
      </c>
      <c r="T758" s="10" t="str">
        <f t="shared" si="47"/>
        <v>Cold</v>
      </c>
    </row>
    <row r="759" spans="1:20" x14ac:dyDescent="0.3">
      <c r="A759">
        <v>767</v>
      </c>
      <c r="B759" t="s">
        <v>50</v>
      </c>
      <c r="C759">
        <v>1</v>
      </c>
      <c r="D759">
        <v>0</v>
      </c>
      <c r="E759">
        <v>2</v>
      </c>
      <c r="F759">
        <v>9</v>
      </c>
      <c r="G759" t="b">
        <v>0</v>
      </c>
      <c r="H759">
        <v>5</v>
      </c>
      <c r="I759">
        <v>2</v>
      </c>
      <c r="J759">
        <v>0.16</v>
      </c>
      <c r="K759">
        <v>0.18179999999999999</v>
      </c>
      <c r="L759">
        <v>0.8</v>
      </c>
      <c r="M759">
        <v>0.1343</v>
      </c>
      <c r="N759">
        <v>3</v>
      </c>
      <c r="O759">
        <v>124</v>
      </c>
      <c r="P759">
        <v>127</v>
      </c>
      <c r="Q759" t="str">
        <f t="shared" si="44"/>
        <v>Weekday</v>
      </c>
      <c r="R759" t="str">
        <f t="shared" si="45"/>
        <v>Medium</v>
      </c>
      <c r="S759" s="10" t="str">
        <f t="shared" si="46"/>
        <v>Mist/Cloudy</v>
      </c>
      <c r="T759" s="10" t="str">
        <f t="shared" si="47"/>
        <v>Cold</v>
      </c>
    </row>
    <row r="760" spans="1:20" x14ac:dyDescent="0.3">
      <c r="A760">
        <v>768</v>
      </c>
      <c r="B760" t="s">
        <v>50</v>
      </c>
      <c r="C760">
        <v>1</v>
      </c>
      <c r="D760">
        <v>0</v>
      </c>
      <c r="E760">
        <v>2</v>
      </c>
      <c r="F760">
        <v>10</v>
      </c>
      <c r="G760" t="b">
        <v>0</v>
      </c>
      <c r="H760">
        <v>5</v>
      </c>
      <c r="I760">
        <v>2</v>
      </c>
      <c r="J760">
        <v>0.2</v>
      </c>
      <c r="K760">
        <v>0.21210000000000001</v>
      </c>
      <c r="L760">
        <v>0.51</v>
      </c>
      <c r="M760">
        <v>0.1343</v>
      </c>
      <c r="N760">
        <v>5</v>
      </c>
      <c r="O760">
        <v>46</v>
      </c>
      <c r="P760">
        <v>51</v>
      </c>
      <c r="Q760" t="str">
        <f t="shared" si="44"/>
        <v>Weekday</v>
      </c>
      <c r="R760" t="str">
        <f t="shared" si="45"/>
        <v>Medium</v>
      </c>
      <c r="S760" s="10" t="str">
        <f t="shared" si="46"/>
        <v>Mist/Cloudy</v>
      </c>
      <c r="T760" s="10" t="str">
        <f t="shared" si="47"/>
        <v>Cold</v>
      </c>
    </row>
    <row r="761" spans="1:20" x14ac:dyDescent="0.3">
      <c r="A761">
        <v>769</v>
      </c>
      <c r="B761" t="s">
        <v>50</v>
      </c>
      <c r="C761">
        <v>1</v>
      </c>
      <c r="D761">
        <v>0</v>
      </c>
      <c r="E761">
        <v>2</v>
      </c>
      <c r="F761">
        <v>11</v>
      </c>
      <c r="G761" t="b">
        <v>0</v>
      </c>
      <c r="H761">
        <v>5</v>
      </c>
      <c r="I761">
        <v>1</v>
      </c>
      <c r="J761">
        <v>0.22</v>
      </c>
      <c r="K761">
        <v>0.2273</v>
      </c>
      <c r="L761">
        <v>0.51</v>
      </c>
      <c r="M761">
        <v>0.16420000000000001</v>
      </c>
      <c r="N761">
        <v>3</v>
      </c>
      <c r="O761">
        <v>61</v>
      </c>
      <c r="P761">
        <v>64</v>
      </c>
      <c r="Q761" t="str">
        <f t="shared" si="44"/>
        <v>Weekday</v>
      </c>
      <c r="R761" t="str">
        <f t="shared" si="45"/>
        <v>Medium</v>
      </c>
      <c r="S761" s="10" t="str">
        <f t="shared" si="46"/>
        <v>Clear</v>
      </c>
      <c r="T761" s="10" t="str">
        <f t="shared" si="47"/>
        <v>Cold</v>
      </c>
    </row>
    <row r="762" spans="1:20" x14ac:dyDescent="0.3">
      <c r="A762">
        <v>770</v>
      </c>
      <c r="B762" t="s">
        <v>50</v>
      </c>
      <c r="C762">
        <v>1</v>
      </c>
      <c r="D762">
        <v>0</v>
      </c>
      <c r="E762">
        <v>2</v>
      </c>
      <c r="F762">
        <v>12</v>
      </c>
      <c r="G762" t="b">
        <v>0</v>
      </c>
      <c r="H762">
        <v>5</v>
      </c>
      <c r="I762">
        <v>2</v>
      </c>
      <c r="J762">
        <v>0.24</v>
      </c>
      <c r="K762">
        <v>0.2424</v>
      </c>
      <c r="L762">
        <v>0.48</v>
      </c>
      <c r="M762">
        <v>0.16420000000000001</v>
      </c>
      <c r="N762">
        <v>8</v>
      </c>
      <c r="O762">
        <v>78</v>
      </c>
      <c r="P762">
        <v>86</v>
      </c>
      <c r="Q762" t="str">
        <f t="shared" si="44"/>
        <v>Weekday</v>
      </c>
      <c r="R762" t="str">
        <f t="shared" si="45"/>
        <v>Medium</v>
      </c>
      <c r="S762" s="10" t="str">
        <f t="shared" si="46"/>
        <v>Mist/Cloudy</v>
      </c>
      <c r="T762" s="10" t="str">
        <f t="shared" si="47"/>
        <v>Cold</v>
      </c>
    </row>
    <row r="763" spans="1:20" x14ac:dyDescent="0.3">
      <c r="A763">
        <v>771</v>
      </c>
      <c r="B763" t="s">
        <v>50</v>
      </c>
      <c r="C763">
        <v>1</v>
      </c>
      <c r="D763">
        <v>0</v>
      </c>
      <c r="E763">
        <v>2</v>
      </c>
      <c r="F763">
        <v>13</v>
      </c>
      <c r="G763" t="b">
        <v>0</v>
      </c>
      <c r="H763">
        <v>5</v>
      </c>
      <c r="I763">
        <v>2</v>
      </c>
      <c r="J763">
        <v>0.26</v>
      </c>
      <c r="K763">
        <v>0.2576</v>
      </c>
      <c r="L763">
        <v>0.5</v>
      </c>
      <c r="M763">
        <v>0.22389999999999999</v>
      </c>
      <c r="N763">
        <v>9</v>
      </c>
      <c r="O763">
        <v>73</v>
      </c>
      <c r="P763">
        <v>82</v>
      </c>
      <c r="Q763" t="str">
        <f t="shared" si="44"/>
        <v>Weekday</v>
      </c>
      <c r="R763" t="str">
        <f t="shared" si="45"/>
        <v>Medium</v>
      </c>
      <c r="S763" s="10" t="str">
        <f t="shared" si="46"/>
        <v>Mist/Cloudy</v>
      </c>
      <c r="T763" s="10" t="str">
        <f t="shared" si="47"/>
        <v>Cold</v>
      </c>
    </row>
    <row r="764" spans="1:20" x14ac:dyDescent="0.3">
      <c r="A764">
        <v>772</v>
      </c>
      <c r="B764" t="s">
        <v>50</v>
      </c>
      <c r="C764">
        <v>1</v>
      </c>
      <c r="D764">
        <v>0</v>
      </c>
      <c r="E764">
        <v>2</v>
      </c>
      <c r="F764">
        <v>14</v>
      </c>
      <c r="G764" t="b">
        <v>0</v>
      </c>
      <c r="H764">
        <v>5</v>
      </c>
      <c r="I764">
        <v>2</v>
      </c>
      <c r="J764">
        <v>0.28000000000000003</v>
      </c>
      <c r="K764">
        <v>0.2727</v>
      </c>
      <c r="L764">
        <v>0.45</v>
      </c>
      <c r="M764">
        <v>0.16420000000000001</v>
      </c>
      <c r="N764">
        <v>15</v>
      </c>
      <c r="O764">
        <v>76</v>
      </c>
      <c r="P764">
        <v>91</v>
      </c>
      <c r="Q764" t="str">
        <f t="shared" si="44"/>
        <v>Weekday</v>
      </c>
      <c r="R764" t="str">
        <f t="shared" si="45"/>
        <v>Medium</v>
      </c>
      <c r="S764" s="10" t="str">
        <f t="shared" si="46"/>
        <v>Mist/Cloudy</v>
      </c>
      <c r="T764" s="10" t="str">
        <f t="shared" si="47"/>
        <v>Cold</v>
      </c>
    </row>
    <row r="765" spans="1:20" x14ac:dyDescent="0.3">
      <c r="A765">
        <v>773</v>
      </c>
      <c r="B765" t="s">
        <v>50</v>
      </c>
      <c r="C765">
        <v>1</v>
      </c>
      <c r="D765">
        <v>0</v>
      </c>
      <c r="E765">
        <v>2</v>
      </c>
      <c r="F765">
        <v>15</v>
      </c>
      <c r="G765" t="b">
        <v>0</v>
      </c>
      <c r="H765">
        <v>5</v>
      </c>
      <c r="I765">
        <v>2</v>
      </c>
      <c r="J765">
        <v>0.28000000000000003</v>
      </c>
      <c r="K765">
        <v>0.2727</v>
      </c>
      <c r="L765">
        <v>0.48</v>
      </c>
      <c r="M765">
        <v>0.25369999999999998</v>
      </c>
      <c r="N765">
        <v>9</v>
      </c>
      <c r="O765">
        <v>81</v>
      </c>
      <c r="P765">
        <v>90</v>
      </c>
      <c r="Q765" t="str">
        <f t="shared" si="44"/>
        <v>Weekday</v>
      </c>
      <c r="R765" t="str">
        <f t="shared" si="45"/>
        <v>Medium</v>
      </c>
      <c r="S765" s="10" t="str">
        <f t="shared" si="46"/>
        <v>Mist/Cloudy</v>
      </c>
      <c r="T765" s="10" t="str">
        <f t="shared" si="47"/>
        <v>Cold</v>
      </c>
    </row>
    <row r="766" spans="1:20" x14ac:dyDescent="0.3">
      <c r="A766">
        <v>774</v>
      </c>
      <c r="B766" t="s">
        <v>50</v>
      </c>
      <c r="C766">
        <v>1</v>
      </c>
      <c r="D766">
        <v>0</v>
      </c>
      <c r="E766">
        <v>2</v>
      </c>
      <c r="F766">
        <v>16</v>
      </c>
      <c r="G766" t="b">
        <v>0</v>
      </c>
      <c r="H766">
        <v>5</v>
      </c>
      <c r="I766">
        <v>2</v>
      </c>
      <c r="J766">
        <v>0.3</v>
      </c>
      <c r="K766">
        <v>0.28789999999999999</v>
      </c>
      <c r="L766">
        <v>0.42</v>
      </c>
      <c r="M766">
        <v>0.22389999999999999</v>
      </c>
      <c r="N766">
        <v>8</v>
      </c>
      <c r="O766">
        <v>91</v>
      </c>
      <c r="P766">
        <v>99</v>
      </c>
      <c r="Q766" t="str">
        <f t="shared" si="44"/>
        <v>Weekday</v>
      </c>
      <c r="R766" t="str">
        <f t="shared" si="45"/>
        <v>Medium</v>
      </c>
      <c r="S766" s="10" t="str">
        <f t="shared" si="46"/>
        <v>Mist/Cloudy</v>
      </c>
      <c r="T766" s="10" t="str">
        <f t="shared" si="47"/>
        <v>Warm</v>
      </c>
    </row>
    <row r="767" spans="1:20" x14ac:dyDescent="0.3">
      <c r="A767">
        <v>775</v>
      </c>
      <c r="B767" t="s">
        <v>50</v>
      </c>
      <c r="C767">
        <v>1</v>
      </c>
      <c r="D767">
        <v>0</v>
      </c>
      <c r="E767">
        <v>2</v>
      </c>
      <c r="F767">
        <v>17</v>
      </c>
      <c r="G767" t="b">
        <v>0</v>
      </c>
      <c r="H767">
        <v>5</v>
      </c>
      <c r="I767">
        <v>2</v>
      </c>
      <c r="J767">
        <v>0.26</v>
      </c>
      <c r="K767">
        <v>0.2727</v>
      </c>
      <c r="L767">
        <v>0.56000000000000005</v>
      </c>
      <c r="M767">
        <v>0.1343</v>
      </c>
      <c r="N767">
        <v>10</v>
      </c>
      <c r="O767">
        <v>195</v>
      </c>
      <c r="P767">
        <v>205</v>
      </c>
      <c r="Q767" t="str">
        <f t="shared" si="44"/>
        <v>Weekday</v>
      </c>
      <c r="R767" t="str">
        <f t="shared" si="45"/>
        <v>High</v>
      </c>
      <c r="S767" s="10" t="str">
        <f t="shared" si="46"/>
        <v>Mist/Cloudy</v>
      </c>
      <c r="T767" s="10" t="str">
        <f t="shared" si="47"/>
        <v>Cold</v>
      </c>
    </row>
    <row r="768" spans="1:20" x14ac:dyDescent="0.3">
      <c r="A768">
        <v>776</v>
      </c>
      <c r="B768" t="s">
        <v>50</v>
      </c>
      <c r="C768">
        <v>1</v>
      </c>
      <c r="D768">
        <v>0</v>
      </c>
      <c r="E768">
        <v>2</v>
      </c>
      <c r="F768">
        <v>18</v>
      </c>
      <c r="G768" t="b">
        <v>0</v>
      </c>
      <c r="H768">
        <v>5</v>
      </c>
      <c r="I768">
        <v>2</v>
      </c>
      <c r="J768">
        <v>0.24</v>
      </c>
      <c r="K768">
        <v>0.2576</v>
      </c>
      <c r="L768">
        <v>0.6</v>
      </c>
      <c r="M768">
        <v>0.1045</v>
      </c>
      <c r="N768">
        <v>3</v>
      </c>
      <c r="O768">
        <v>152</v>
      </c>
      <c r="P768">
        <v>155</v>
      </c>
      <c r="Q768" t="str">
        <f t="shared" si="44"/>
        <v>Weekday</v>
      </c>
      <c r="R768" t="str">
        <f t="shared" si="45"/>
        <v>High</v>
      </c>
      <c r="S768" s="10" t="str">
        <f t="shared" si="46"/>
        <v>Mist/Cloudy</v>
      </c>
      <c r="T768" s="10" t="str">
        <f t="shared" si="47"/>
        <v>Cold</v>
      </c>
    </row>
    <row r="769" spans="1:20" x14ac:dyDescent="0.3">
      <c r="A769">
        <v>777</v>
      </c>
      <c r="B769" t="s">
        <v>50</v>
      </c>
      <c r="C769">
        <v>1</v>
      </c>
      <c r="D769">
        <v>0</v>
      </c>
      <c r="E769">
        <v>2</v>
      </c>
      <c r="F769">
        <v>19</v>
      </c>
      <c r="G769" t="b">
        <v>0</v>
      </c>
      <c r="H769">
        <v>5</v>
      </c>
      <c r="I769">
        <v>2</v>
      </c>
      <c r="J769">
        <v>0.24</v>
      </c>
      <c r="K769">
        <v>0.2424</v>
      </c>
      <c r="L769">
        <v>0.65</v>
      </c>
      <c r="M769">
        <v>0.1343</v>
      </c>
      <c r="N769">
        <v>1</v>
      </c>
      <c r="O769">
        <v>102</v>
      </c>
      <c r="P769">
        <v>103</v>
      </c>
      <c r="Q769" t="str">
        <f t="shared" si="44"/>
        <v>Weekday</v>
      </c>
      <c r="R769" t="str">
        <f t="shared" si="45"/>
        <v>Medium</v>
      </c>
      <c r="S769" s="10" t="str">
        <f t="shared" si="46"/>
        <v>Mist/Cloudy</v>
      </c>
      <c r="T769" s="10" t="str">
        <f t="shared" si="47"/>
        <v>Cold</v>
      </c>
    </row>
    <row r="770" spans="1:20" x14ac:dyDescent="0.3">
      <c r="A770">
        <v>778</v>
      </c>
      <c r="B770" t="s">
        <v>50</v>
      </c>
      <c r="C770">
        <v>1</v>
      </c>
      <c r="D770">
        <v>0</v>
      </c>
      <c r="E770">
        <v>2</v>
      </c>
      <c r="F770">
        <v>20</v>
      </c>
      <c r="G770" t="b">
        <v>0</v>
      </c>
      <c r="H770">
        <v>5</v>
      </c>
      <c r="I770">
        <v>2</v>
      </c>
      <c r="J770">
        <v>0.24</v>
      </c>
      <c r="K770">
        <v>0.2424</v>
      </c>
      <c r="L770">
        <v>0.65</v>
      </c>
      <c r="M770">
        <v>0.16420000000000001</v>
      </c>
      <c r="N770">
        <v>2</v>
      </c>
      <c r="O770">
        <v>69</v>
      </c>
      <c r="P770">
        <v>71</v>
      </c>
      <c r="Q770" t="str">
        <f t="shared" ref="Q770:Q833" si="48">IF(G770=TRUE,"Holiday",IF(H770=0,"Weekend","Weekday"))</f>
        <v>Weekday</v>
      </c>
      <c r="R770" t="str">
        <f t="shared" ref="R770:R833" si="49">IF(P770&lt;50,"Low",IF(P770&lt;150,"Medium","High"))</f>
        <v>Medium</v>
      </c>
      <c r="S770" s="10" t="str">
        <f t="shared" si="46"/>
        <v>Mist/Cloudy</v>
      </c>
      <c r="T770" s="10" t="str">
        <f t="shared" si="47"/>
        <v>Cold</v>
      </c>
    </row>
    <row r="771" spans="1:20" x14ac:dyDescent="0.3">
      <c r="A771">
        <v>779</v>
      </c>
      <c r="B771" t="s">
        <v>50</v>
      </c>
      <c r="C771">
        <v>1</v>
      </c>
      <c r="D771">
        <v>0</v>
      </c>
      <c r="E771">
        <v>2</v>
      </c>
      <c r="F771">
        <v>21</v>
      </c>
      <c r="G771" t="b">
        <v>0</v>
      </c>
      <c r="H771">
        <v>5</v>
      </c>
      <c r="I771">
        <v>2</v>
      </c>
      <c r="J771">
        <v>0.24</v>
      </c>
      <c r="K771">
        <v>0.2424</v>
      </c>
      <c r="L771">
        <v>0.7</v>
      </c>
      <c r="M771">
        <v>0.16420000000000001</v>
      </c>
      <c r="N771">
        <v>2</v>
      </c>
      <c r="O771">
        <v>41</v>
      </c>
      <c r="P771">
        <v>43</v>
      </c>
      <c r="Q771" t="str">
        <f t="shared" si="48"/>
        <v>Weekday</v>
      </c>
      <c r="R771" t="str">
        <f t="shared" si="49"/>
        <v>Low</v>
      </c>
      <c r="S771" s="10" t="str">
        <f t="shared" ref="S771:S834" si="50">IF(I771=1,"Clear",IF(I771=2,"Mist/Cloudy",IF(I771=3,"Light Rain/Snow","Heavy Rain/Ice")))</f>
        <v>Mist/Cloudy</v>
      </c>
      <c r="T771" s="10" t="str">
        <f t="shared" ref="T771:T834" si="51">IF(J771&lt;0.3,"Cold","Warm")</f>
        <v>Cold</v>
      </c>
    </row>
    <row r="772" spans="1:20" x14ac:dyDescent="0.3">
      <c r="A772">
        <v>780</v>
      </c>
      <c r="B772" t="s">
        <v>50</v>
      </c>
      <c r="C772">
        <v>1</v>
      </c>
      <c r="D772">
        <v>0</v>
      </c>
      <c r="E772">
        <v>2</v>
      </c>
      <c r="F772">
        <v>22</v>
      </c>
      <c r="G772" t="b">
        <v>0</v>
      </c>
      <c r="H772">
        <v>5</v>
      </c>
      <c r="I772">
        <v>2</v>
      </c>
      <c r="J772">
        <v>0.24</v>
      </c>
      <c r="K772">
        <v>0.2424</v>
      </c>
      <c r="L772">
        <v>0.65</v>
      </c>
      <c r="M772">
        <v>0.16420000000000001</v>
      </c>
      <c r="N772">
        <v>1</v>
      </c>
      <c r="O772">
        <v>45</v>
      </c>
      <c r="P772">
        <v>46</v>
      </c>
      <c r="Q772" t="str">
        <f t="shared" si="48"/>
        <v>Weekday</v>
      </c>
      <c r="R772" t="str">
        <f t="shared" si="49"/>
        <v>Low</v>
      </c>
      <c r="S772" s="10" t="str">
        <f t="shared" si="50"/>
        <v>Mist/Cloudy</v>
      </c>
      <c r="T772" s="10" t="str">
        <f t="shared" si="51"/>
        <v>Cold</v>
      </c>
    </row>
    <row r="773" spans="1:20" x14ac:dyDescent="0.3">
      <c r="A773">
        <v>781</v>
      </c>
      <c r="B773" t="s">
        <v>50</v>
      </c>
      <c r="C773">
        <v>1</v>
      </c>
      <c r="D773">
        <v>0</v>
      </c>
      <c r="E773">
        <v>2</v>
      </c>
      <c r="F773">
        <v>23</v>
      </c>
      <c r="G773" t="b">
        <v>0</v>
      </c>
      <c r="H773">
        <v>5</v>
      </c>
      <c r="I773">
        <v>2</v>
      </c>
      <c r="J773">
        <v>0.24</v>
      </c>
      <c r="K773">
        <v>0.2424</v>
      </c>
      <c r="L773">
        <v>0.7</v>
      </c>
      <c r="M773">
        <v>0.1343</v>
      </c>
      <c r="N773">
        <v>1</v>
      </c>
      <c r="O773">
        <v>30</v>
      </c>
      <c r="P773">
        <v>31</v>
      </c>
      <c r="Q773" t="str">
        <f t="shared" si="48"/>
        <v>Weekday</v>
      </c>
      <c r="R773" t="str">
        <f t="shared" si="49"/>
        <v>Low</v>
      </c>
      <c r="S773" s="10" t="str">
        <f t="shared" si="50"/>
        <v>Mist/Cloudy</v>
      </c>
      <c r="T773" s="10" t="str">
        <f t="shared" si="51"/>
        <v>Cold</v>
      </c>
    </row>
    <row r="774" spans="1:20" x14ac:dyDescent="0.3">
      <c r="A774">
        <v>782</v>
      </c>
      <c r="B774" t="s">
        <v>51</v>
      </c>
      <c r="C774">
        <v>1</v>
      </c>
      <c r="D774">
        <v>0</v>
      </c>
      <c r="E774">
        <v>2</v>
      </c>
      <c r="F774">
        <v>0</v>
      </c>
      <c r="G774" t="b">
        <v>0</v>
      </c>
      <c r="H774">
        <v>6</v>
      </c>
      <c r="I774">
        <v>2</v>
      </c>
      <c r="J774">
        <v>0.24</v>
      </c>
      <c r="K774">
        <v>0.2424</v>
      </c>
      <c r="L774">
        <v>0.7</v>
      </c>
      <c r="M774">
        <v>0.16420000000000001</v>
      </c>
      <c r="N774">
        <v>3</v>
      </c>
      <c r="O774">
        <v>36</v>
      </c>
      <c r="P774">
        <v>39</v>
      </c>
      <c r="Q774" t="str">
        <f t="shared" si="48"/>
        <v>Weekday</v>
      </c>
      <c r="R774" t="str">
        <f t="shared" si="49"/>
        <v>Low</v>
      </c>
      <c r="S774" s="10" t="str">
        <f t="shared" si="50"/>
        <v>Mist/Cloudy</v>
      </c>
      <c r="T774" s="10" t="str">
        <f t="shared" si="51"/>
        <v>Cold</v>
      </c>
    </row>
    <row r="775" spans="1:20" x14ac:dyDescent="0.3">
      <c r="A775">
        <v>783</v>
      </c>
      <c r="B775" t="s">
        <v>51</v>
      </c>
      <c r="C775">
        <v>1</v>
      </c>
      <c r="D775">
        <v>0</v>
      </c>
      <c r="E775">
        <v>2</v>
      </c>
      <c r="F775">
        <v>1</v>
      </c>
      <c r="G775" t="b">
        <v>0</v>
      </c>
      <c r="H775">
        <v>6</v>
      </c>
      <c r="I775">
        <v>2</v>
      </c>
      <c r="J775">
        <v>0.24</v>
      </c>
      <c r="K775">
        <v>0.2424</v>
      </c>
      <c r="L775">
        <v>0.65</v>
      </c>
      <c r="M775">
        <v>0.16420000000000001</v>
      </c>
      <c r="N775">
        <v>1</v>
      </c>
      <c r="O775">
        <v>17</v>
      </c>
      <c r="P775">
        <v>18</v>
      </c>
      <c r="Q775" t="str">
        <f t="shared" si="48"/>
        <v>Weekday</v>
      </c>
      <c r="R775" t="str">
        <f t="shared" si="49"/>
        <v>Low</v>
      </c>
      <c r="S775" s="10" t="str">
        <f t="shared" si="50"/>
        <v>Mist/Cloudy</v>
      </c>
      <c r="T775" s="10" t="str">
        <f t="shared" si="51"/>
        <v>Cold</v>
      </c>
    </row>
    <row r="776" spans="1:20" x14ac:dyDescent="0.3">
      <c r="A776">
        <v>784</v>
      </c>
      <c r="B776" t="s">
        <v>51</v>
      </c>
      <c r="C776">
        <v>1</v>
      </c>
      <c r="D776">
        <v>0</v>
      </c>
      <c r="E776">
        <v>2</v>
      </c>
      <c r="F776">
        <v>2</v>
      </c>
      <c r="G776" t="b">
        <v>0</v>
      </c>
      <c r="H776">
        <v>6</v>
      </c>
      <c r="I776">
        <v>2</v>
      </c>
      <c r="J776">
        <v>0.24</v>
      </c>
      <c r="K776">
        <v>0.2424</v>
      </c>
      <c r="L776">
        <v>0.75</v>
      </c>
      <c r="M776">
        <v>0.16420000000000001</v>
      </c>
      <c r="N776">
        <v>5</v>
      </c>
      <c r="O776">
        <v>12</v>
      </c>
      <c r="P776">
        <v>17</v>
      </c>
      <c r="Q776" t="str">
        <f t="shared" si="48"/>
        <v>Weekday</v>
      </c>
      <c r="R776" t="str">
        <f t="shared" si="49"/>
        <v>Low</v>
      </c>
      <c r="S776" s="10" t="str">
        <f t="shared" si="50"/>
        <v>Mist/Cloudy</v>
      </c>
      <c r="T776" s="10" t="str">
        <f t="shared" si="51"/>
        <v>Cold</v>
      </c>
    </row>
    <row r="777" spans="1:20" x14ac:dyDescent="0.3">
      <c r="A777">
        <v>785</v>
      </c>
      <c r="B777" t="s">
        <v>51</v>
      </c>
      <c r="C777">
        <v>1</v>
      </c>
      <c r="D777">
        <v>0</v>
      </c>
      <c r="E777">
        <v>2</v>
      </c>
      <c r="F777">
        <v>3</v>
      </c>
      <c r="G777" t="b">
        <v>0</v>
      </c>
      <c r="H777">
        <v>6</v>
      </c>
      <c r="I777">
        <v>2</v>
      </c>
      <c r="J777">
        <v>0.24</v>
      </c>
      <c r="K777">
        <v>0.2424</v>
      </c>
      <c r="L777">
        <v>0.75</v>
      </c>
      <c r="M777">
        <v>0.16420000000000001</v>
      </c>
      <c r="N777">
        <v>1</v>
      </c>
      <c r="O777">
        <v>10</v>
      </c>
      <c r="P777">
        <v>11</v>
      </c>
      <c r="Q777" t="str">
        <f t="shared" si="48"/>
        <v>Weekday</v>
      </c>
      <c r="R777" t="str">
        <f t="shared" si="49"/>
        <v>Low</v>
      </c>
      <c r="S777" s="10" t="str">
        <f t="shared" si="50"/>
        <v>Mist/Cloudy</v>
      </c>
      <c r="T777" s="10" t="str">
        <f t="shared" si="51"/>
        <v>Cold</v>
      </c>
    </row>
    <row r="778" spans="1:20" x14ac:dyDescent="0.3">
      <c r="A778">
        <v>786</v>
      </c>
      <c r="B778" t="s">
        <v>51</v>
      </c>
      <c r="C778">
        <v>1</v>
      </c>
      <c r="D778">
        <v>0</v>
      </c>
      <c r="E778">
        <v>2</v>
      </c>
      <c r="F778">
        <v>4</v>
      </c>
      <c r="G778" t="b">
        <v>0</v>
      </c>
      <c r="H778">
        <v>6</v>
      </c>
      <c r="I778">
        <v>3</v>
      </c>
      <c r="J778">
        <v>0.22</v>
      </c>
      <c r="K778">
        <v>0.2273</v>
      </c>
      <c r="L778">
        <v>0.93</v>
      </c>
      <c r="M778">
        <v>0.1343</v>
      </c>
      <c r="N778">
        <v>0</v>
      </c>
      <c r="O778">
        <v>8</v>
      </c>
      <c r="P778">
        <v>8</v>
      </c>
      <c r="Q778" t="str">
        <f t="shared" si="48"/>
        <v>Weekday</v>
      </c>
      <c r="R778" t="str">
        <f t="shared" si="49"/>
        <v>Low</v>
      </c>
      <c r="S778" s="10" t="str">
        <f t="shared" si="50"/>
        <v>Light Rain/Snow</v>
      </c>
      <c r="T778" s="10" t="str">
        <f t="shared" si="51"/>
        <v>Cold</v>
      </c>
    </row>
    <row r="779" spans="1:20" x14ac:dyDescent="0.3">
      <c r="A779">
        <v>787</v>
      </c>
      <c r="B779" t="s">
        <v>51</v>
      </c>
      <c r="C779">
        <v>1</v>
      </c>
      <c r="D779">
        <v>0</v>
      </c>
      <c r="E779">
        <v>2</v>
      </c>
      <c r="F779">
        <v>5</v>
      </c>
      <c r="G779" t="b">
        <v>0</v>
      </c>
      <c r="H779">
        <v>6</v>
      </c>
      <c r="I779">
        <v>3</v>
      </c>
      <c r="J779">
        <v>0.2</v>
      </c>
      <c r="K779">
        <v>0.2273</v>
      </c>
      <c r="L779">
        <v>1</v>
      </c>
      <c r="M779">
        <v>8.9599999999999999E-2</v>
      </c>
      <c r="N779">
        <v>0</v>
      </c>
      <c r="O779">
        <v>9</v>
      </c>
      <c r="P779">
        <v>9</v>
      </c>
      <c r="Q779" t="str">
        <f t="shared" si="48"/>
        <v>Weekday</v>
      </c>
      <c r="R779" t="str">
        <f t="shared" si="49"/>
        <v>Low</v>
      </c>
      <c r="S779" s="10" t="str">
        <f t="shared" si="50"/>
        <v>Light Rain/Snow</v>
      </c>
      <c r="T779" s="10" t="str">
        <f t="shared" si="51"/>
        <v>Cold</v>
      </c>
    </row>
    <row r="780" spans="1:20" x14ac:dyDescent="0.3">
      <c r="A780">
        <v>788</v>
      </c>
      <c r="B780" t="s">
        <v>51</v>
      </c>
      <c r="C780">
        <v>1</v>
      </c>
      <c r="D780">
        <v>0</v>
      </c>
      <c r="E780">
        <v>2</v>
      </c>
      <c r="F780">
        <v>6</v>
      </c>
      <c r="G780" t="b">
        <v>0</v>
      </c>
      <c r="H780">
        <v>6</v>
      </c>
      <c r="I780">
        <v>3</v>
      </c>
      <c r="J780">
        <v>0.2</v>
      </c>
      <c r="K780">
        <v>0.2576</v>
      </c>
      <c r="L780">
        <v>1</v>
      </c>
      <c r="M780">
        <v>0</v>
      </c>
      <c r="N780">
        <v>0</v>
      </c>
      <c r="O780">
        <v>4</v>
      </c>
      <c r="P780">
        <v>4</v>
      </c>
      <c r="Q780" t="str">
        <f t="shared" si="48"/>
        <v>Weekday</v>
      </c>
      <c r="R780" t="str">
        <f t="shared" si="49"/>
        <v>Low</v>
      </c>
      <c r="S780" s="10" t="str">
        <f t="shared" si="50"/>
        <v>Light Rain/Snow</v>
      </c>
      <c r="T780" s="10" t="str">
        <f t="shared" si="51"/>
        <v>Cold</v>
      </c>
    </row>
    <row r="781" spans="1:20" x14ac:dyDescent="0.3">
      <c r="A781">
        <v>789</v>
      </c>
      <c r="B781" t="s">
        <v>51</v>
      </c>
      <c r="C781">
        <v>1</v>
      </c>
      <c r="D781">
        <v>0</v>
      </c>
      <c r="E781">
        <v>2</v>
      </c>
      <c r="F781">
        <v>7</v>
      </c>
      <c r="G781" t="b">
        <v>0</v>
      </c>
      <c r="H781">
        <v>6</v>
      </c>
      <c r="I781">
        <v>3</v>
      </c>
      <c r="J781">
        <v>0.22</v>
      </c>
      <c r="K781">
        <v>0.2576</v>
      </c>
      <c r="L781">
        <v>0.93</v>
      </c>
      <c r="M781">
        <v>8.9599999999999999E-2</v>
      </c>
      <c r="N781">
        <v>0</v>
      </c>
      <c r="O781">
        <v>4</v>
      </c>
      <c r="P781">
        <v>4</v>
      </c>
      <c r="Q781" t="str">
        <f t="shared" si="48"/>
        <v>Weekday</v>
      </c>
      <c r="R781" t="str">
        <f t="shared" si="49"/>
        <v>Low</v>
      </c>
      <c r="S781" s="10" t="str">
        <f t="shared" si="50"/>
        <v>Light Rain/Snow</v>
      </c>
      <c r="T781" s="10" t="str">
        <f t="shared" si="51"/>
        <v>Cold</v>
      </c>
    </row>
    <row r="782" spans="1:20" x14ac:dyDescent="0.3">
      <c r="A782">
        <v>790</v>
      </c>
      <c r="B782" t="s">
        <v>51</v>
      </c>
      <c r="C782">
        <v>1</v>
      </c>
      <c r="D782">
        <v>0</v>
      </c>
      <c r="E782">
        <v>2</v>
      </c>
      <c r="F782">
        <v>8</v>
      </c>
      <c r="G782" t="b">
        <v>0</v>
      </c>
      <c r="H782">
        <v>6</v>
      </c>
      <c r="I782">
        <v>3</v>
      </c>
      <c r="J782">
        <v>0.2</v>
      </c>
      <c r="K782">
        <v>0.2273</v>
      </c>
      <c r="L782">
        <v>1</v>
      </c>
      <c r="M782">
        <v>8.9599999999999999E-2</v>
      </c>
      <c r="N782">
        <v>0</v>
      </c>
      <c r="O782">
        <v>10</v>
      </c>
      <c r="P782">
        <v>10</v>
      </c>
      <c r="Q782" t="str">
        <f t="shared" si="48"/>
        <v>Weekday</v>
      </c>
      <c r="R782" t="str">
        <f t="shared" si="49"/>
        <v>Low</v>
      </c>
      <c r="S782" s="10" t="str">
        <f t="shared" si="50"/>
        <v>Light Rain/Snow</v>
      </c>
      <c r="T782" s="10" t="str">
        <f t="shared" si="51"/>
        <v>Cold</v>
      </c>
    </row>
    <row r="783" spans="1:20" x14ac:dyDescent="0.3">
      <c r="A783">
        <v>791</v>
      </c>
      <c r="B783" t="s">
        <v>51</v>
      </c>
      <c r="C783">
        <v>1</v>
      </c>
      <c r="D783">
        <v>0</v>
      </c>
      <c r="E783">
        <v>2</v>
      </c>
      <c r="F783">
        <v>9</v>
      </c>
      <c r="G783" t="b">
        <v>0</v>
      </c>
      <c r="H783">
        <v>6</v>
      </c>
      <c r="I783">
        <v>3</v>
      </c>
      <c r="J783">
        <v>0.2</v>
      </c>
      <c r="K783">
        <v>0.2273</v>
      </c>
      <c r="L783">
        <v>1</v>
      </c>
      <c r="M783">
        <v>8.9599999999999999E-2</v>
      </c>
      <c r="N783">
        <v>3</v>
      </c>
      <c r="O783">
        <v>17</v>
      </c>
      <c r="P783">
        <v>20</v>
      </c>
      <c r="Q783" t="str">
        <f t="shared" si="48"/>
        <v>Weekday</v>
      </c>
      <c r="R783" t="str">
        <f t="shared" si="49"/>
        <v>Low</v>
      </c>
      <c r="S783" s="10" t="str">
        <f t="shared" si="50"/>
        <v>Light Rain/Snow</v>
      </c>
      <c r="T783" s="10" t="str">
        <f t="shared" si="51"/>
        <v>Cold</v>
      </c>
    </row>
    <row r="784" spans="1:20" x14ac:dyDescent="0.3">
      <c r="A784">
        <v>792</v>
      </c>
      <c r="B784" t="s">
        <v>51</v>
      </c>
      <c r="C784">
        <v>1</v>
      </c>
      <c r="D784">
        <v>0</v>
      </c>
      <c r="E784">
        <v>2</v>
      </c>
      <c r="F784">
        <v>10</v>
      </c>
      <c r="G784" t="b">
        <v>0</v>
      </c>
      <c r="H784">
        <v>6</v>
      </c>
      <c r="I784">
        <v>3</v>
      </c>
      <c r="J784">
        <v>0.2</v>
      </c>
      <c r="K784">
        <v>0.21210000000000001</v>
      </c>
      <c r="L784">
        <v>1</v>
      </c>
      <c r="M784">
        <v>0.1343</v>
      </c>
      <c r="N784">
        <v>3</v>
      </c>
      <c r="O784">
        <v>31</v>
      </c>
      <c r="P784">
        <v>34</v>
      </c>
      <c r="Q784" t="str">
        <f t="shared" si="48"/>
        <v>Weekday</v>
      </c>
      <c r="R784" t="str">
        <f t="shared" si="49"/>
        <v>Low</v>
      </c>
      <c r="S784" s="10" t="str">
        <f t="shared" si="50"/>
        <v>Light Rain/Snow</v>
      </c>
      <c r="T784" s="10" t="str">
        <f t="shared" si="51"/>
        <v>Cold</v>
      </c>
    </row>
    <row r="785" spans="1:20" x14ac:dyDescent="0.3">
      <c r="A785">
        <v>793</v>
      </c>
      <c r="B785" t="s">
        <v>51</v>
      </c>
      <c r="C785">
        <v>1</v>
      </c>
      <c r="D785">
        <v>0</v>
      </c>
      <c r="E785">
        <v>2</v>
      </c>
      <c r="F785">
        <v>11</v>
      </c>
      <c r="G785" t="b">
        <v>0</v>
      </c>
      <c r="H785">
        <v>6</v>
      </c>
      <c r="I785">
        <v>3</v>
      </c>
      <c r="J785">
        <v>0.22</v>
      </c>
      <c r="K785">
        <v>0.2273</v>
      </c>
      <c r="L785">
        <v>1</v>
      </c>
      <c r="M785">
        <v>0.1343</v>
      </c>
      <c r="N785">
        <v>1</v>
      </c>
      <c r="O785">
        <v>46</v>
      </c>
      <c r="P785">
        <v>47</v>
      </c>
      <c r="Q785" t="str">
        <f t="shared" si="48"/>
        <v>Weekday</v>
      </c>
      <c r="R785" t="str">
        <f t="shared" si="49"/>
        <v>Low</v>
      </c>
      <c r="S785" s="10" t="str">
        <f t="shared" si="50"/>
        <v>Light Rain/Snow</v>
      </c>
      <c r="T785" s="10" t="str">
        <f t="shared" si="51"/>
        <v>Cold</v>
      </c>
    </row>
    <row r="786" spans="1:20" x14ac:dyDescent="0.3">
      <c r="A786">
        <v>794</v>
      </c>
      <c r="B786" t="s">
        <v>51</v>
      </c>
      <c r="C786">
        <v>1</v>
      </c>
      <c r="D786">
        <v>0</v>
      </c>
      <c r="E786">
        <v>2</v>
      </c>
      <c r="F786">
        <v>12</v>
      </c>
      <c r="G786" t="b">
        <v>0</v>
      </c>
      <c r="H786">
        <v>6</v>
      </c>
      <c r="I786">
        <v>3</v>
      </c>
      <c r="J786">
        <v>0.22</v>
      </c>
      <c r="K786">
        <v>0.2273</v>
      </c>
      <c r="L786">
        <v>1</v>
      </c>
      <c r="M786">
        <v>0.16420000000000001</v>
      </c>
      <c r="N786">
        <v>10</v>
      </c>
      <c r="O786">
        <v>42</v>
      </c>
      <c r="P786">
        <v>52</v>
      </c>
      <c r="Q786" t="str">
        <f t="shared" si="48"/>
        <v>Weekday</v>
      </c>
      <c r="R786" t="str">
        <f t="shared" si="49"/>
        <v>Medium</v>
      </c>
      <c r="S786" s="10" t="str">
        <f t="shared" si="50"/>
        <v>Light Rain/Snow</v>
      </c>
      <c r="T786" s="10" t="str">
        <f t="shared" si="51"/>
        <v>Cold</v>
      </c>
    </row>
    <row r="787" spans="1:20" x14ac:dyDescent="0.3">
      <c r="A787">
        <v>795</v>
      </c>
      <c r="B787" t="s">
        <v>51</v>
      </c>
      <c r="C787">
        <v>1</v>
      </c>
      <c r="D787">
        <v>0</v>
      </c>
      <c r="E787">
        <v>2</v>
      </c>
      <c r="F787">
        <v>13</v>
      </c>
      <c r="G787" t="b">
        <v>0</v>
      </c>
      <c r="H787">
        <v>6</v>
      </c>
      <c r="I787">
        <v>3</v>
      </c>
      <c r="J787">
        <v>0.22</v>
      </c>
      <c r="K787">
        <v>0.2273</v>
      </c>
      <c r="L787">
        <v>1</v>
      </c>
      <c r="M787">
        <v>0.16420000000000001</v>
      </c>
      <c r="N787">
        <v>10</v>
      </c>
      <c r="O787">
        <v>62</v>
      </c>
      <c r="P787">
        <v>72</v>
      </c>
      <c r="Q787" t="str">
        <f t="shared" si="48"/>
        <v>Weekday</v>
      </c>
      <c r="R787" t="str">
        <f t="shared" si="49"/>
        <v>Medium</v>
      </c>
      <c r="S787" s="10" t="str">
        <f t="shared" si="50"/>
        <v>Light Rain/Snow</v>
      </c>
      <c r="T787" s="10" t="str">
        <f t="shared" si="51"/>
        <v>Cold</v>
      </c>
    </row>
    <row r="788" spans="1:20" x14ac:dyDescent="0.3">
      <c r="A788">
        <v>796</v>
      </c>
      <c r="B788" t="s">
        <v>51</v>
      </c>
      <c r="C788">
        <v>1</v>
      </c>
      <c r="D788">
        <v>0</v>
      </c>
      <c r="E788">
        <v>2</v>
      </c>
      <c r="F788">
        <v>14</v>
      </c>
      <c r="G788" t="b">
        <v>0</v>
      </c>
      <c r="H788">
        <v>6</v>
      </c>
      <c r="I788">
        <v>3</v>
      </c>
      <c r="J788">
        <v>0.22</v>
      </c>
      <c r="K788">
        <v>0.2727</v>
      </c>
      <c r="L788">
        <v>1</v>
      </c>
      <c r="M788">
        <v>0</v>
      </c>
      <c r="N788">
        <v>5</v>
      </c>
      <c r="O788">
        <v>50</v>
      </c>
      <c r="P788">
        <v>55</v>
      </c>
      <c r="Q788" t="str">
        <f t="shared" si="48"/>
        <v>Weekday</v>
      </c>
      <c r="R788" t="str">
        <f t="shared" si="49"/>
        <v>Medium</v>
      </c>
      <c r="S788" s="10" t="str">
        <f t="shared" si="50"/>
        <v>Light Rain/Snow</v>
      </c>
      <c r="T788" s="10" t="str">
        <f t="shared" si="51"/>
        <v>Cold</v>
      </c>
    </row>
    <row r="789" spans="1:20" x14ac:dyDescent="0.3">
      <c r="A789">
        <v>797</v>
      </c>
      <c r="B789" t="s">
        <v>51</v>
      </c>
      <c r="C789">
        <v>1</v>
      </c>
      <c r="D789">
        <v>0</v>
      </c>
      <c r="E789">
        <v>2</v>
      </c>
      <c r="F789">
        <v>15</v>
      </c>
      <c r="G789" t="b">
        <v>0</v>
      </c>
      <c r="H789">
        <v>6</v>
      </c>
      <c r="I789">
        <v>3</v>
      </c>
      <c r="J789">
        <v>0.22</v>
      </c>
      <c r="K789">
        <v>0.2727</v>
      </c>
      <c r="L789">
        <v>1</v>
      </c>
      <c r="M789">
        <v>0</v>
      </c>
      <c r="N789">
        <v>11</v>
      </c>
      <c r="O789">
        <v>49</v>
      </c>
      <c r="P789">
        <v>60</v>
      </c>
      <c r="Q789" t="str">
        <f t="shared" si="48"/>
        <v>Weekday</v>
      </c>
      <c r="R789" t="str">
        <f t="shared" si="49"/>
        <v>Medium</v>
      </c>
      <c r="S789" s="10" t="str">
        <f t="shared" si="50"/>
        <v>Light Rain/Snow</v>
      </c>
      <c r="T789" s="10" t="str">
        <f t="shared" si="51"/>
        <v>Cold</v>
      </c>
    </row>
    <row r="790" spans="1:20" x14ac:dyDescent="0.3">
      <c r="A790">
        <v>798</v>
      </c>
      <c r="B790" t="s">
        <v>51</v>
      </c>
      <c r="C790">
        <v>1</v>
      </c>
      <c r="D790">
        <v>0</v>
      </c>
      <c r="E790">
        <v>2</v>
      </c>
      <c r="F790">
        <v>16</v>
      </c>
      <c r="G790" t="b">
        <v>0</v>
      </c>
      <c r="H790">
        <v>6</v>
      </c>
      <c r="I790">
        <v>3</v>
      </c>
      <c r="J790">
        <v>0.22</v>
      </c>
      <c r="K790">
        <v>0.2273</v>
      </c>
      <c r="L790">
        <v>1</v>
      </c>
      <c r="M790">
        <v>0.1343</v>
      </c>
      <c r="N790">
        <v>8</v>
      </c>
      <c r="O790">
        <v>63</v>
      </c>
      <c r="P790">
        <v>71</v>
      </c>
      <c r="Q790" t="str">
        <f t="shared" si="48"/>
        <v>Weekday</v>
      </c>
      <c r="R790" t="str">
        <f t="shared" si="49"/>
        <v>Medium</v>
      </c>
      <c r="S790" s="10" t="str">
        <f t="shared" si="50"/>
        <v>Light Rain/Snow</v>
      </c>
      <c r="T790" s="10" t="str">
        <f t="shared" si="51"/>
        <v>Cold</v>
      </c>
    </row>
    <row r="791" spans="1:20" x14ac:dyDescent="0.3">
      <c r="A791">
        <v>799</v>
      </c>
      <c r="B791" t="s">
        <v>51</v>
      </c>
      <c r="C791">
        <v>1</v>
      </c>
      <c r="D791">
        <v>0</v>
      </c>
      <c r="E791">
        <v>2</v>
      </c>
      <c r="F791">
        <v>17</v>
      </c>
      <c r="G791" t="b">
        <v>0</v>
      </c>
      <c r="H791">
        <v>6</v>
      </c>
      <c r="I791">
        <v>2</v>
      </c>
      <c r="J791">
        <v>0.24</v>
      </c>
      <c r="K791">
        <v>0.21210000000000001</v>
      </c>
      <c r="L791">
        <v>1</v>
      </c>
      <c r="M791">
        <v>0.28360000000000002</v>
      </c>
      <c r="N791">
        <v>14</v>
      </c>
      <c r="O791">
        <v>64</v>
      </c>
      <c r="P791">
        <v>78</v>
      </c>
      <c r="Q791" t="str">
        <f t="shared" si="48"/>
        <v>Weekday</v>
      </c>
      <c r="R791" t="str">
        <f t="shared" si="49"/>
        <v>Medium</v>
      </c>
      <c r="S791" s="10" t="str">
        <f t="shared" si="50"/>
        <v>Mist/Cloudy</v>
      </c>
      <c r="T791" s="10" t="str">
        <f t="shared" si="51"/>
        <v>Cold</v>
      </c>
    </row>
    <row r="792" spans="1:20" x14ac:dyDescent="0.3">
      <c r="A792">
        <v>800</v>
      </c>
      <c r="B792" t="s">
        <v>51</v>
      </c>
      <c r="C792">
        <v>1</v>
      </c>
      <c r="D792">
        <v>0</v>
      </c>
      <c r="E792">
        <v>2</v>
      </c>
      <c r="F792">
        <v>18</v>
      </c>
      <c r="G792" t="b">
        <v>0</v>
      </c>
      <c r="H792">
        <v>6</v>
      </c>
      <c r="I792">
        <v>2</v>
      </c>
      <c r="J792">
        <v>0.28000000000000003</v>
      </c>
      <c r="K792">
        <v>0.2424</v>
      </c>
      <c r="L792">
        <v>0.93</v>
      </c>
      <c r="M792">
        <v>0.44779999999999998</v>
      </c>
      <c r="N792">
        <v>2</v>
      </c>
      <c r="O792">
        <v>81</v>
      </c>
      <c r="P792">
        <v>83</v>
      </c>
      <c r="Q792" t="str">
        <f t="shared" si="48"/>
        <v>Weekday</v>
      </c>
      <c r="R792" t="str">
        <f t="shared" si="49"/>
        <v>Medium</v>
      </c>
      <c r="S792" s="10" t="str">
        <f t="shared" si="50"/>
        <v>Mist/Cloudy</v>
      </c>
      <c r="T792" s="10" t="str">
        <f t="shared" si="51"/>
        <v>Cold</v>
      </c>
    </row>
    <row r="793" spans="1:20" x14ac:dyDescent="0.3">
      <c r="A793">
        <v>801</v>
      </c>
      <c r="B793" t="s">
        <v>51</v>
      </c>
      <c r="C793">
        <v>1</v>
      </c>
      <c r="D793">
        <v>0</v>
      </c>
      <c r="E793">
        <v>2</v>
      </c>
      <c r="F793">
        <v>19</v>
      </c>
      <c r="G793" t="b">
        <v>0</v>
      </c>
      <c r="H793">
        <v>6</v>
      </c>
      <c r="I793">
        <v>2</v>
      </c>
      <c r="J793">
        <v>0.28000000000000003</v>
      </c>
      <c r="K793">
        <v>0.2424</v>
      </c>
      <c r="L793">
        <v>0.93</v>
      </c>
      <c r="M793">
        <v>0.44779999999999998</v>
      </c>
      <c r="N793">
        <v>6</v>
      </c>
      <c r="O793">
        <v>78</v>
      </c>
      <c r="P793">
        <v>84</v>
      </c>
      <c r="Q793" t="str">
        <f t="shared" si="48"/>
        <v>Weekday</v>
      </c>
      <c r="R793" t="str">
        <f t="shared" si="49"/>
        <v>Medium</v>
      </c>
      <c r="S793" s="10" t="str">
        <f t="shared" si="50"/>
        <v>Mist/Cloudy</v>
      </c>
      <c r="T793" s="10" t="str">
        <f t="shared" si="51"/>
        <v>Cold</v>
      </c>
    </row>
    <row r="794" spans="1:20" x14ac:dyDescent="0.3">
      <c r="A794">
        <v>802</v>
      </c>
      <c r="B794" t="s">
        <v>51</v>
      </c>
      <c r="C794">
        <v>1</v>
      </c>
      <c r="D794">
        <v>0</v>
      </c>
      <c r="E794">
        <v>2</v>
      </c>
      <c r="F794">
        <v>20</v>
      </c>
      <c r="G794" t="b">
        <v>0</v>
      </c>
      <c r="H794">
        <v>6</v>
      </c>
      <c r="I794">
        <v>1</v>
      </c>
      <c r="J794">
        <v>0.3</v>
      </c>
      <c r="K794">
        <v>0.28789999999999999</v>
      </c>
      <c r="L794">
        <v>0.87</v>
      </c>
      <c r="M794">
        <v>0.25369999999999998</v>
      </c>
      <c r="N794">
        <v>5</v>
      </c>
      <c r="O794">
        <v>64</v>
      </c>
      <c r="P794">
        <v>69</v>
      </c>
      <c r="Q794" t="str">
        <f t="shared" si="48"/>
        <v>Weekday</v>
      </c>
      <c r="R794" t="str">
        <f t="shared" si="49"/>
        <v>Medium</v>
      </c>
      <c r="S794" s="10" t="str">
        <f t="shared" si="50"/>
        <v>Clear</v>
      </c>
      <c r="T794" s="10" t="str">
        <f t="shared" si="51"/>
        <v>Warm</v>
      </c>
    </row>
    <row r="795" spans="1:20" x14ac:dyDescent="0.3">
      <c r="A795">
        <v>803</v>
      </c>
      <c r="B795" t="s">
        <v>51</v>
      </c>
      <c r="C795">
        <v>1</v>
      </c>
      <c r="D795">
        <v>0</v>
      </c>
      <c r="E795">
        <v>2</v>
      </c>
      <c r="F795">
        <v>21</v>
      </c>
      <c r="G795" t="b">
        <v>0</v>
      </c>
      <c r="H795">
        <v>6</v>
      </c>
      <c r="I795">
        <v>1</v>
      </c>
      <c r="J795">
        <v>0.26</v>
      </c>
      <c r="K795">
        <v>0.2576</v>
      </c>
      <c r="L795">
        <v>1</v>
      </c>
      <c r="M795">
        <v>0.19400000000000001</v>
      </c>
      <c r="N795">
        <v>3</v>
      </c>
      <c r="O795">
        <v>53</v>
      </c>
      <c r="P795">
        <v>56</v>
      </c>
      <c r="Q795" t="str">
        <f t="shared" si="48"/>
        <v>Weekday</v>
      </c>
      <c r="R795" t="str">
        <f t="shared" si="49"/>
        <v>Medium</v>
      </c>
      <c r="S795" s="10" t="str">
        <f t="shared" si="50"/>
        <v>Clear</v>
      </c>
      <c r="T795" s="10" t="str">
        <f t="shared" si="51"/>
        <v>Cold</v>
      </c>
    </row>
    <row r="796" spans="1:20" x14ac:dyDescent="0.3">
      <c r="A796">
        <v>804</v>
      </c>
      <c r="B796" t="s">
        <v>51</v>
      </c>
      <c r="C796">
        <v>1</v>
      </c>
      <c r="D796">
        <v>0</v>
      </c>
      <c r="E796">
        <v>2</v>
      </c>
      <c r="F796">
        <v>22</v>
      </c>
      <c r="G796" t="b">
        <v>0</v>
      </c>
      <c r="H796">
        <v>6</v>
      </c>
      <c r="I796">
        <v>1</v>
      </c>
      <c r="J796">
        <v>0.26</v>
      </c>
      <c r="K796">
        <v>0.2727</v>
      </c>
      <c r="L796">
        <v>0.93</v>
      </c>
      <c r="M796">
        <v>0.1343</v>
      </c>
      <c r="N796">
        <v>2</v>
      </c>
      <c r="O796">
        <v>43</v>
      </c>
      <c r="P796">
        <v>45</v>
      </c>
      <c r="Q796" t="str">
        <f t="shared" si="48"/>
        <v>Weekday</v>
      </c>
      <c r="R796" t="str">
        <f t="shared" si="49"/>
        <v>Low</v>
      </c>
      <c r="S796" s="10" t="str">
        <f t="shared" si="50"/>
        <v>Clear</v>
      </c>
      <c r="T796" s="10" t="str">
        <f t="shared" si="51"/>
        <v>Cold</v>
      </c>
    </row>
    <row r="797" spans="1:20" x14ac:dyDescent="0.3">
      <c r="A797">
        <v>805</v>
      </c>
      <c r="B797" t="s">
        <v>51</v>
      </c>
      <c r="C797">
        <v>1</v>
      </c>
      <c r="D797">
        <v>0</v>
      </c>
      <c r="E797">
        <v>2</v>
      </c>
      <c r="F797">
        <v>23</v>
      </c>
      <c r="G797" t="b">
        <v>0</v>
      </c>
      <c r="H797">
        <v>6</v>
      </c>
      <c r="I797">
        <v>1</v>
      </c>
      <c r="J797">
        <v>0.26</v>
      </c>
      <c r="K797">
        <v>0.2576</v>
      </c>
      <c r="L797">
        <v>0.93</v>
      </c>
      <c r="M797">
        <v>0.22389999999999999</v>
      </c>
      <c r="N797">
        <v>7</v>
      </c>
      <c r="O797">
        <v>52</v>
      </c>
      <c r="P797">
        <v>59</v>
      </c>
      <c r="Q797" t="str">
        <f t="shared" si="48"/>
        <v>Weekday</v>
      </c>
      <c r="R797" t="str">
        <f t="shared" si="49"/>
        <v>Medium</v>
      </c>
      <c r="S797" s="10" t="str">
        <f t="shared" si="50"/>
        <v>Clear</v>
      </c>
      <c r="T797" s="10" t="str">
        <f t="shared" si="51"/>
        <v>Cold</v>
      </c>
    </row>
    <row r="798" spans="1:20" x14ac:dyDescent="0.3">
      <c r="A798">
        <v>806</v>
      </c>
      <c r="B798" t="s">
        <v>52</v>
      </c>
      <c r="C798">
        <v>1</v>
      </c>
      <c r="D798">
        <v>0</v>
      </c>
      <c r="E798">
        <v>2</v>
      </c>
      <c r="F798">
        <v>0</v>
      </c>
      <c r="G798" t="b">
        <v>0</v>
      </c>
      <c r="H798">
        <v>0</v>
      </c>
      <c r="I798">
        <v>1</v>
      </c>
      <c r="J798">
        <v>0.26</v>
      </c>
      <c r="K798">
        <v>0.2576</v>
      </c>
      <c r="L798">
        <v>0.7</v>
      </c>
      <c r="M798">
        <v>0.19400000000000001</v>
      </c>
      <c r="N798">
        <v>2</v>
      </c>
      <c r="O798">
        <v>37</v>
      </c>
      <c r="P798">
        <v>39</v>
      </c>
      <c r="Q798" t="str">
        <f t="shared" si="48"/>
        <v>Weekend</v>
      </c>
      <c r="R798" t="str">
        <f t="shared" si="49"/>
        <v>Low</v>
      </c>
      <c r="S798" s="10" t="str">
        <f t="shared" si="50"/>
        <v>Clear</v>
      </c>
      <c r="T798" s="10" t="str">
        <f t="shared" si="51"/>
        <v>Cold</v>
      </c>
    </row>
    <row r="799" spans="1:20" x14ac:dyDescent="0.3">
      <c r="A799">
        <v>807</v>
      </c>
      <c r="B799" t="s">
        <v>52</v>
      </c>
      <c r="C799">
        <v>1</v>
      </c>
      <c r="D799">
        <v>0</v>
      </c>
      <c r="E799">
        <v>2</v>
      </c>
      <c r="F799">
        <v>1</v>
      </c>
      <c r="G799" t="b">
        <v>0</v>
      </c>
      <c r="H799">
        <v>0</v>
      </c>
      <c r="I799">
        <v>1</v>
      </c>
      <c r="J799">
        <v>0.26</v>
      </c>
      <c r="K799">
        <v>0.2273</v>
      </c>
      <c r="L799">
        <v>0.65</v>
      </c>
      <c r="M799">
        <v>0.41789999999999999</v>
      </c>
      <c r="N799">
        <v>4</v>
      </c>
      <c r="O799">
        <v>40</v>
      </c>
      <c r="P799">
        <v>44</v>
      </c>
      <c r="Q799" t="str">
        <f t="shared" si="48"/>
        <v>Weekend</v>
      </c>
      <c r="R799" t="str">
        <f t="shared" si="49"/>
        <v>Low</v>
      </c>
      <c r="S799" s="10" t="str">
        <f t="shared" si="50"/>
        <v>Clear</v>
      </c>
      <c r="T799" s="10" t="str">
        <f t="shared" si="51"/>
        <v>Cold</v>
      </c>
    </row>
    <row r="800" spans="1:20" x14ac:dyDescent="0.3">
      <c r="A800">
        <v>808</v>
      </c>
      <c r="B800" t="s">
        <v>52</v>
      </c>
      <c r="C800">
        <v>1</v>
      </c>
      <c r="D800">
        <v>0</v>
      </c>
      <c r="E800">
        <v>2</v>
      </c>
      <c r="F800">
        <v>2</v>
      </c>
      <c r="G800" t="b">
        <v>0</v>
      </c>
      <c r="H800">
        <v>0</v>
      </c>
      <c r="I800">
        <v>1</v>
      </c>
      <c r="J800">
        <v>0.26</v>
      </c>
      <c r="K800">
        <v>0.2273</v>
      </c>
      <c r="L800">
        <v>0.6</v>
      </c>
      <c r="M800">
        <v>0.32840000000000003</v>
      </c>
      <c r="N800">
        <v>0</v>
      </c>
      <c r="O800">
        <v>20</v>
      </c>
      <c r="P800">
        <v>20</v>
      </c>
      <c r="Q800" t="str">
        <f t="shared" si="48"/>
        <v>Weekend</v>
      </c>
      <c r="R800" t="str">
        <f t="shared" si="49"/>
        <v>Low</v>
      </c>
      <c r="S800" s="10" t="str">
        <f t="shared" si="50"/>
        <v>Clear</v>
      </c>
      <c r="T800" s="10" t="str">
        <f t="shared" si="51"/>
        <v>Cold</v>
      </c>
    </row>
    <row r="801" spans="1:20" x14ac:dyDescent="0.3">
      <c r="A801">
        <v>809</v>
      </c>
      <c r="B801" t="s">
        <v>52</v>
      </c>
      <c r="C801">
        <v>1</v>
      </c>
      <c r="D801">
        <v>0</v>
      </c>
      <c r="E801">
        <v>2</v>
      </c>
      <c r="F801">
        <v>3</v>
      </c>
      <c r="G801" t="b">
        <v>0</v>
      </c>
      <c r="H801">
        <v>0</v>
      </c>
      <c r="I801">
        <v>1</v>
      </c>
      <c r="J801">
        <v>0.26</v>
      </c>
      <c r="K801">
        <v>0.28789999999999999</v>
      </c>
      <c r="L801">
        <v>0.6</v>
      </c>
      <c r="M801">
        <v>8.9599999999999999E-2</v>
      </c>
      <c r="N801">
        <v>3</v>
      </c>
      <c r="O801">
        <v>10</v>
      </c>
      <c r="P801">
        <v>13</v>
      </c>
      <c r="Q801" t="str">
        <f t="shared" si="48"/>
        <v>Weekend</v>
      </c>
      <c r="R801" t="str">
        <f t="shared" si="49"/>
        <v>Low</v>
      </c>
      <c r="S801" s="10" t="str">
        <f t="shared" si="50"/>
        <v>Clear</v>
      </c>
      <c r="T801" s="10" t="str">
        <f t="shared" si="51"/>
        <v>Cold</v>
      </c>
    </row>
    <row r="802" spans="1:20" x14ac:dyDescent="0.3">
      <c r="A802">
        <v>810</v>
      </c>
      <c r="B802" t="s">
        <v>52</v>
      </c>
      <c r="C802">
        <v>1</v>
      </c>
      <c r="D802">
        <v>0</v>
      </c>
      <c r="E802">
        <v>2</v>
      </c>
      <c r="F802">
        <v>4</v>
      </c>
      <c r="G802" t="b">
        <v>0</v>
      </c>
      <c r="H802">
        <v>0</v>
      </c>
      <c r="I802">
        <v>1</v>
      </c>
      <c r="J802">
        <v>0.26</v>
      </c>
      <c r="K802">
        <v>0.2273</v>
      </c>
      <c r="L802">
        <v>0.6</v>
      </c>
      <c r="M802">
        <v>0.35820000000000002</v>
      </c>
      <c r="N802">
        <v>0</v>
      </c>
      <c r="O802">
        <v>2</v>
      </c>
      <c r="P802">
        <v>2</v>
      </c>
      <c r="Q802" t="str">
        <f t="shared" si="48"/>
        <v>Weekend</v>
      </c>
      <c r="R802" t="str">
        <f t="shared" si="49"/>
        <v>Low</v>
      </c>
      <c r="S802" s="10" t="str">
        <f t="shared" si="50"/>
        <v>Clear</v>
      </c>
      <c r="T802" s="10" t="str">
        <f t="shared" si="51"/>
        <v>Cold</v>
      </c>
    </row>
    <row r="803" spans="1:20" x14ac:dyDescent="0.3">
      <c r="A803">
        <v>811</v>
      </c>
      <c r="B803" t="s">
        <v>52</v>
      </c>
      <c r="C803">
        <v>1</v>
      </c>
      <c r="D803">
        <v>0</v>
      </c>
      <c r="E803">
        <v>2</v>
      </c>
      <c r="F803">
        <v>5</v>
      </c>
      <c r="G803" t="b">
        <v>0</v>
      </c>
      <c r="H803">
        <v>0</v>
      </c>
      <c r="I803">
        <v>1</v>
      </c>
      <c r="J803">
        <v>0.26</v>
      </c>
      <c r="K803">
        <v>0.2576</v>
      </c>
      <c r="L803">
        <v>0.6</v>
      </c>
      <c r="M803">
        <v>0.22389999999999999</v>
      </c>
      <c r="N803">
        <v>0</v>
      </c>
      <c r="O803">
        <v>1</v>
      </c>
      <c r="P803">
        <v>1</v>
      </c>
      <c r="Q803" t="str">
        <f t="shared" si="48"/>
        <v>Weekend</v>
      </c>
      <c r="R803" t="str">
        <f t="shared" si="49"/>
        <v>Low</v>
      </c>
      <c r="S803" s="10" t="str">
        <f t="shared" si="50"/>
        <v>Clear</v>
      </c>
      <c r="T803" s="10" t="str">
        <f t="shared" si="51"/>
        <v>Cold</v>
      </c>
    </row>
    <row r="804" spans="1:20" x14ac:dyDescent="0.3">
      <c r="A804">
        <v>812</v>
      </c>
      <c r="B804" t="s">
        <v>52</v>
      </c>
      <c r="C804">
        <v>1</v>
      </c>
      <c r="D804">
        <v>0</v>
      </c>
      <c r="E804">
        <v>2</v>
      </c>
      <c r="F804">
        <v>6</v>
      </c>
      <c r="G804" t="b">
        <v>0</v>
      </c>
      <c r="H804">
        <v>0</v>
      </c>
      <c r="I804">
        <v>1</v>
      </c>
      <c r="J804">
        <v>0.26</v>
      </c>
      <c r="K804">
        <v>0.2576</v>
      </c>
      <c r="L804">
        <v>0.6</v>
      </c>
      <c r="M804">
        <v>0.22389999999999999</v>
      </c>
      <c r="N804">
        <v>0</v>
      </c>
      <c r="O804">
        <v>1</v>
      </c>
      <c r="P804">
        <v>1</v>
      </c>
      <c r="Q804" t="str">
        <f t="shared" si="48"/>
        <v>Weekend</v>
      </c>
      <c r="R804" t="str">
        <f t="shared" si="49"/>
        <v>Low</v>
      </c>
      <c r="S804" s="10" t="str">
        <f t="shared" si="50"/>
        <v>Clear</v>
      </c>
      <c r="T804" s="10" t="str">
        <f t="shared" si="51"/>
        <v>Cold</v>
      </c>
    </row>
    <row r="805" spans="1:20" x14ac:dyDescent="0.3">
      <c r="A805">
        <v>813</v>
      </c>
      <c r="B805" t="s">
        <v>52</v>
      </c>
      <c r="C805">
        <v>1</v>
      </c>
      <c r="D805">
        <v>0</v>
      </c>
      <c r="E805">
        <v>2</v>
      </c>
      <c r="F805">
        <v>7</v>
      </c>
      <c r="G805" t="b">
        <v>0</v>
      </c>
      <c r="H805">
        <v>0</v>
      </c>
      <c r="I805">
        <v>1</v>
      </c>
      <c r="J805">
        <v>0.24</v>
      </c>
      <c r="K805">
        <v>0.2424</v>
      </c>
      <c r="L805">
        <v>0.65</v>
      </c>
      <c r="M805">
        <v>0.16420000000000001</v>
      </c>
      <c r="N805">
        <v>0</v>
      </c>
      <c r="O805">
        <v>8</v>
      </c>
      <c r="P805">
        <v>8</v>
      </c>
      <c r="Q805" t="str">
        <f t="shared" si="48"/>
        <v>Weekend</v>
      </c>
      <c r="R805" t="str">
        <f t="shared" si="49"/>
        <v>Low</v>
      </c>
      <c r="S805" s="10" t="str">
        <f t="shared" si="50"/>
        <v>Clear</v>
      </c>
      <c r="T805" s="10" t="str">
        <f t="shared" si="51"/>
        <v>Cold</v>
      </c>
    </row>
    <row r="806" spans="1:20" x14ac:dyDescent="0.3">
      <c r="A806">
        <v>814</v>
      </c>
      <c r="B806" t="s">
        <v>52</v>
      </c>
      <c r="C806">
        <v>1</v>
      </c>
      <c r="D806">
        <v>0</v>
      </c>
      <c r="E806">
        <v>2</v>
      </c>
      <c r="F806">
        <v>8</v>
      </c>
      <c r="G806" t="b">
        <v>0</v>
      </c>
      <c r="H806">
        <v>0</v>
      </c>
      <c r="I806">
        <v>1</v>
      </c>
      <c r="J806">
        <v>0.24</v>
      </c>
      <c r="K806">
        <v>0.2576</v>
      </c>
      <c r="L806">
        <v>0.65</v>
      </c>
      <c r="M806">
        <v>0.1045</v>
      </c>
      <c r="N806">
        <v>2</v>
      </c>
      <c r="O806">
        <v>21</v>
      </c>
      <c r="P806">
        <v>23</v>
      </c>
      <c r="Q806" t="str">
        <f t="shared" si="48"/>
        <v>Weekend</v>
      </c>
      <c r="R806" t="str">
        <f t="shared" si="49"/>
        <v>Low</v>
      </c>
      <c r="S806" s="10" t="str">
        <f t="shared" si="50"/>
        <v>Clear</v>
      </c>
      <c r="T806" s="10" t="str">
        <f t="shared" si="51"/>
        <v>Cold</v>
      </c>
    </row>
    <row r="807" spans="1:20" x14ac:dyDescent="0.3">
      <c r="A807">
        <v>815</v>
      </c>
      <c r="B807" t="s">
        <v>52</v>
      </c>
      <c r="C807">
        <v>1</v>
      </c>
      <c r="D807">
        <v>0</v>
      </c>
      <c r="E807">
        <v>2</v>
      </c>
      <c r="F807">
        <v>9</v>
      </c>
      <c r="G807" t="b">
        <v>0</v>
      </c>
      <c r="H807">
        <v>0</v>
      </c>
      <c r="I807">
        <v>1</v>
      </c>
      <c r="J807">
        <v>0.28000000000000003</v>
      </c>
      <c r="K807">
        <v>0.28789999999999999</v>
      </c>
      <c r="L807">
        <v>0.56000000000000005</v>
      </c>
      <c r="M807">
        <v>0.1045</v>
      </c>
      <c r="N807">
        <v>7</v>
      </c>
      <c r="O807">
        <v>38</v>
      </c>
      <c r="P807">
        <v>45</v>
      </c>
      <c r="Q807" t="str">
        <f t="shared" si="48"/>
        <v>Weekend</v>
      </c>
      <c r="R807" t="str">
        <f t="shared" si="49"/>
        <v>Low</v>
      </c>
      <c r="S807" s="10" t="str">
        <f t="shared" si="50"/>
        <v>Clear</v>
      </c>
      <c r="T807" s="10" t="str">
        <f t="shared" si="51"/>
        <v>Cold</v>
      </c>
    </row>
    <row r="808" spans="1:20" x14ac:dyDescent="0.3">
      <c r="A808">
        <v>816</v>
      </c>
      <c r="B808" t="s">
        <v>52</v>
      </c>
      <c r="C808">
        <v>1</v>
      </c>
      <c r="D808">
        <v>0</v>
      </c>
      <c r="E808">
        <v>2</v>
      </c>
      <c r="F808">
        <v>10</v>
      </c>
      <c r="G808" t="b">
        <v>0</v>
      </c>
      <c r="H808">
        <v>0</v>
      </c>
      <c r="I808">
        <v>1</v>
      </c>
      <c r="J808">
        <v>0.3</v>
      </c>
      <c r="K808">
        <v>0.28789999999999999</v>
      </c>
      <c r="L808">
        <v>0.52</v>
      </c>
      <c r="M808">
        <v>0.25369999999999998</v>
      </c>
      <c r="N808">
        <v>15</v>
      </c>
      <c r="O808">
        <v>74</v>
      </c>
      <c r="P808">
        <v>89</v>
      </c>
      <c r="Q808" t="str">
        <f t="shared" si="48"/>
        <v>Weekend</v>
      </c>
      <c r="R808" t="str">
        <f t="shared" si="49"/>
        <v>Medium</v>
      </c>
      <c r="S808" s="10" t="str">
        <f t="shared" si="50"/>
        <v>Clear</v>
      </c>
      <c r="T808" s="10" t="str">
        <f t="shared" si="51"/>
        <v>Warm</v>
      </c>
    </row>
    <row r="809" spans="1:20" x14ac:dyDescent="0.3">
      <c r="A809">
        <v>817</v>
      </c>
      <c r="B809" t="s">
        <v>52</v>
      </c>
      <c r="C809">
        <v>1</v>
      </c>
      <c r="D809">
        <v>0</v>
      </c>
      <c r="E809">
        <v>2</v>
      </c>
      <c r="F809">
        <v>11</v>
      </c>
      <c r="G809" t="b">
        <v>0</v>
      </c>
      <c r="H809">
        <v>0</v>
      </c>
      <c r="I809">
        <v>1</v>
      </c>
      <c r="J809">
        <v>0.32</v>
      </c>
      <c r="K809">
        <v>0.30299999999999999</v>
      </c>
      <c r="L809">
        <v>0.49</v>
      </c>
      <c r="M809">
        <v>0.25369999999999998</v>
      </c>
      <c r="N809">
        <v>28</v>
      </c>
      <c r="O809">
        <v>89</v>
      </c>
      <c r="P809">
        <v>117</v>
      </c>
      <c r="Q809" t="str">
        <f t="shared" si="48"/>
        <v>Weekend</v>
      </c>
      <c r="R809" t="str">
        <f t="shared" si="49"/>
        <v>Medium</v>
      </c>
      <c r="S809" s="10" t="str">
        <f t="shared" si="50"/>
        <v>Clear</v>
      </c>
      <c r="T809" s="10" t="str">
        <f t="shared" si="51"/>
        <v>Warm</v>
      </c>
    </row>
    <row r="810" spans="1:20" x14ac:dyDescent="0.3">
      <c r="A810">
        <v>818</v>
      </c>
      <c r="B810" t="s">
        <v>52</v>
      </c>
      <c r="C810">
        <v>1</v>
      </c>
      <c r="D810">
        <v>0</v>
      </c>
      <c r="E810">
        <v>2</v>
      </c>
      <c r="F810">
        <v>12</v>
      </c>
      <c r="G810" t="b">
        <v>0</v>
      </c>
      <c r="H810">
        <v>0</v>
      </c>
      <c r="I810">
        <v>1</v>
      </c>
      <c r="J810">
        <v>0.34</v>
      </c>
      <c r="K810">
        <v>0.33329999999999999</v>
      </c>
      <c r="L810">
        <v>0.46</v>
      </c>
      <c r="M810">
        <v>0</v>
      </c>
      <c r="N810">
        <v>48</v>
      </c>
      <c r="O810">
        <v>126</v>
      </c>
      <c r="P810">
        <v>174</v>
      </c>
      <c r="Q810" t="str">
        <f t="shared" si="48"/>
        <v>Weekend</v>
      </c>
      <c r="R810" t="str">
        <f t="shared" si="49"/>
        <v>High</v>
      </c>
      <c r="S810" s="10" t="str">
        <f t="shared" si="50"/>
        <v>Clear</v>
      </c>
      <c r="T810" s="10" t="str">
        <f t="shared" si="51"/>
        <v>Warm</v>
      </c>
    </row>
    <row r="811" spans="1:20" x14ac:dyDescent="0.3">
      <c r="A811">
        <v>819</v>
      </c>
      <c r="B811" t="s">
        <v>52</v>
      </c>
      <c r="C811">
        <v>1</v>
      </c>
      <c r="D811">
        <v>0</v>
      </c>
      <c r="E811">
        <v>2</v>
      </c>
      <c r="F811">
        <v>13</v>
      </c>
      <c r="G811" t="b">
        <v>0</v>
      </c>
      <c r="H811">
        <v>0</v>
      </c>
      <c r="I811">
        <v>1</v>
      </c>
      <c r="J811">
        <v>0.34</v>
      </c>
      <c r="K811">
        <v>0.36359999999999998</v>
      </c>
      <c r="L811">
        <v>0.46</v>
      </c>
      <c r="M811">
        <v>0</v>
      </c>
      <c r="N811">
        <v>47</v>
      </c>
      <c r="O811">
        <v>135</v>
      </c>
      <c r="P811">
        <v>182</v>
      </c>
      <c r="Q811" t="str">
        <f t="shared" si="48"/>
        <v>Weekend</v>
      </c>
      <c r="R811" t="str">
        <f t="shared" si="49"/>
        <v>High</v>
      </c>
      <c r="S811" s="10" t="str">
        <f t="shared" si="50"/>
        <v>Clear</v>
      </c>
      <c r="T811" s="10" t="str">
        <f t="shared" si="51"/>
        <v>Warm</v>
      </c>
    </row>
    <row r="812" spans="1:20" x14ac:dyDescent="0.3">
      <c r="A812">
        <v>820</v>
      </c>
      <c r="B812" t="s">
        <v>52</v>
      </c>
      <c r="C812">
        <v>1</v>
      </c>
      <c r="D812">
        <v>0</v>
      </c>
      <c r="E812">
        <v>2</v>
      </c>
      <c r="F812">
        <v>14</v>
      </c>
      <c r="G812" t="b">
        <v>0</v>
      </c>
      <c r="H812">
        <v>0</v>
      </c>
      <c r="I812">
        <v>1</v>
      </c>
      <c r="J812">
        <v>0.34</v>
      </c>
      <c r="K812">
        <v>0.34849999999999998</v>
      </c>
      <c r="L812">
        <v>0.46</v>
      </c>
      <c r="M812">
        <v>8.9599999999999999E-2</v>
      </c>
      <c r="N812">
        <v>47</v>
      </c>
      <c r="O812">
        <v>114</v>
      </c>
      <c r="P812">
        <v>161</v>
      </c>
      <c r="Q812" t="str">
        <f t="shared" si="48"/>
        <v>Weekend</v>
      </c>
      <c r="R812" t="str">
        <f t="shared" si="49"/>
        <v>High</v>
      </c>
      <c r="S812" s="10" t="str">
        <f t="shared" si="50"/>
        <v>Clear</v>
      </c>
      <c r="T812" s="10" t="str">
        <f t="shared" si="51"/>
        <v>Warm</v>
      </c>
    </row>
    <row r="813" spans="1:20" x14ac:dyDescent="0.3">
      <c r="A813">
        <v>821</v>
      </c>
      <c r="B813" t="s">
        <v>52</v>
      </c>
      <c r="C813">
        <v>1</v>
      </c>
      <c r="D813">
        <v>0</v>
      </c>
      <c r="E813">
        <v>2</v>
      </c>
      <c r="F813">
        <v>15</v>
      </c>
      <c r="G813" t="b">
        <v>0</v>
      </c>
      <c r="H813">
        <v>0</v>
      </c>
      <c r="I813">
        <v>1</v>
      </c>
      <c r="J813">
        <v>0.34</v>
      </c>
      <c r="K813">
        <v>0.34849999999999998</v>
      </c>
      <c r="L813">
        <v>0.46</v>
      </c>
      <c r="M813">
        <v>8.9599999999999999E-2</v>
      </c>
      <c r="N813">
        <v>52</v>
      </c>
      <c r="O813">
        <v>130</v>
      </c>
      <c r="P813">
        <v>182</v>
      </c>
      <c r="Q813" t="str">
        <f t="shared" si="48"/>
        <v>Weekend</v>
      </c>
      <c r="R813" t="str">
        <f t="shared" si="49"/>
        <v>High</v>
      </c>
      <c r="S813" s="10" t="str">
        <f t="shared" si="50"/>
        <v>Clear</v>
      </c>
      <c r="T813" s="10" t="str">
        <f t="shared" si="51"/>
        <v>Warm</v>
      </c>
    </row>
    <row r="814" spans="1:20" x14ac:dyDescent="0.3">
      <c r="A814">
        <v>822</v>
      </c>
      <c r="B814" t="s">
        <v>52</v>
      </c>
      <c r="C814">
        <v>1</v>
      </c>
      <c r="D814">
        <v>0</v>
      </c>
      <c r="E814">
        <v>2</v>
      </c>
      <c r="F814">
        <v>16</v>
      </c>
      <c r="G814" t="b">
        <v>0</v>
      </c>
      <c r="H814">
        <v>0</v>
      </c>
      <c r="I814">
        <v>1</v>
      </c>
      <c r="J814">
        <v>0.34</v>
      </c>
      <c r="K814">
        <v>0.34849999999999998</v>
      </c>
      <c r="L814">
        <v>0.49</v>
      </c>
      <c r="M814">
        <v>0.1045</v>
      </c>
      <c r="N814">
        <v>42</v>
      </c>
      <c r="O814">
        <v>115</v>
      </c>
      <c r="P814">
        <v>157</v>
      </c>
      <c r="Q814" t="str">
        <f t="shared" si="48"/>
        <v>Weekend</v>
      </c>
      <c r="R814" t="str">
        <f t="shared" si="49"/>
        <v>High</v>
      </c>
      <c r="S814" s="10" t="str">
        <f t="shared" si="50"/>
        <v>Clear</v>
      </c>
      <c r="T814" s="10" t="str">
        <f t="shared" si="51"/>
        <v>Warm</v>
      </c>
    </row>
    <row r="815" spans="1:20" x14ac:dyDescent="0.3">
      <c r="A815">
        <v>823</v>
      </c>
      <c r="B815" t="s">
        <v>52</v>
      </c>
      <c r="C815">
        <v>1</v>
      </c>
      <c r="D815">
        <v>0</v>
      </c>
      <c r="E815">
        <v>2</v>
      </c>
      <c r="F815">
        <v>17</v>
      </c>
      <c r="G815" t="b">
        <v>0</v>
      </c>
      <c r="H815">
        <v>0</v>
      </c>
      <c r="I815">
        <v>1</v>
      </c>
      <c r="J815">
        <v>0.34</v>
      </c>
      <c r="K815">
        <v>0.36359999999999998</v>
      </c>
      <c r="L815">
        <v>0.46</v>
      </c>
      <c r="M815">
        <v>0</v>
      </c>
      <c r="N815">
        <v>24</v>
      </c>
      <c r="O815">
        <v>97</v>
      </c>
      <c r="P815">
        <v>121</v>
      </c>
      <c r="Q815" t="str">
        <f t="shared" si="48"/>
        <v>Weekend</v>
      </c>
      <c r="R815" t="str">
        <f t="shared" si="49"/>
        <v>Medium</v>
      </c>
      <c r="S815" s="10" t="str">
        <f t="shared" si="50"/>
        <v>Clear</v>
      </c>
      <c r="T815" s="10" t="str">
        <f t="shared" si="51"/>
        <v>Warm</v>
      </c>
    </row>
    <row r="816" spans="1:20" x14ac:dyDescent="0.3">
      <c r="A816">
        <v>824</v>
      </c>
      <c r="B816" t="s">
        <v>52</v>
      </c>
      <c r="C816">
        <v>1</v>
      </c>
      <c r="D816">
        <v>0</v>
      </c>
      <c r="E816">
        <v>2</v>
      </c>
      <c r="F816">
        <v>18</v>
      </c>
      <c r="G816" t="b">
        <v>0</v>
      </c>
      <c r="H816">
        <v>0</v>
      </c>
      <c r="I816">
        <v>1</v>
      </c>
      <c r="J816">
        <v>0.3</v>
      </c>
      <c r="K816">
        <v>0.30299999999999999</v>
      </c>
      <c r="L816">
        <v>0.56000000000000005</v>
      </c>
      <c r="M816">
        <v>0.16420000000000001</v>
      </c>
      <c r="N816">
        <v>13</v>
      </c>
      <c r="O816">
        <v>65</v>
      </c>
      <c r="P816">
        <v>78</v>
      </c>
      <c r="Q816" t="str">
        <f t="shared" si="48"/>
        <v>Weekend</v>
      </c>
      <c r="R816" t="str">
        <f t="shared" si="49"/>
        <v>Medium</v>
      </c>
      <c r="S816" s="10" t="str">
        <f t="shared" si="50"/>
        <v>Clear</v>
      </c>
      <c r="T816" s="10" t="str">
        <f t="shared" si="51"/>
        <v>Warm</v>
      </c>
    </row>
    <row r="817" spans="1:20" x14ac:dyDescent="0.3">
      <c r="A817">
        <v>825</v>
      </c>
      <c r="B817" t="s">
        <v>52</v>
      </c>
      <c r="C817">
        <v>1</v>
      </c>
      <c r="D817">
        <v>0</v>
      </c>
      <c r="E817">
        <v>2</v>
      </c>
      <c r="F817">
        <v>19</v>
      </c>
      <c r="G817" t="b">
        <v>0</v>
      </c>
      <c r="H817">
        <v>0</v>
      </c>
      <c r="I817">
        <v>1</v>
      </c>
      <c r="J817">
        <v>0.28000000000000003</v>
      </c>
      <c r="K817">
        <v>0.28789999999999999</v>
      </c>
      <c r="L817">
        <v>0.61</v>
      </c>
      <c r="M817">
        <v>0.1343</v>
      </c>
      <c r="N817">
        <v>1</v>
      </c>
      <c r="O817">
        <v>20</v>
      </c>
      <c r="P817">
        <v>21</v>
      </c>
      <c r="Q817" t="str">
        <f t="shared" si="48"/>
        <v>Weekend</v>
      </c>
      <c r="R817" t="str">
        <f t="shared" si="49"/>
        <v>Low</v>
      </c>
      <c r="S817" s="10" t="str">
        <f t="shared" si="50"/>
        <v>Clear</v>
      </c>
      <c r="T817" s="10" t="str">
        <f t="shared" si="51"/>
        <v>Cold</v>
      </c>
    </row>
    <row r="818" spans="1:20" x14ac:dyDescent="0.3">
      <c r="A818">
        <v>826</v>
      </c>
      <c r="B818" t="s">
        <v>52</v>
      </c>
      <c r="C818">
        <v>1</v>
      </c>
      <c r="D818">
        <v>0</v>
      </c>
      <c r="E818">
        <v>2</v>
      </c>
      <c r="F818">
        <v>20</v>
      </c>
      <c r="G818" t="b">
        <v>0</v>
      </c>
      <c r="H818">
        <v>0</v>
      </c>
      <c r="I818">
        <v>1</v>
      </c>
      <c r="J818">
        <v>0.28000000000000003</v>
      </c>
      <c r="K818">
        <v>0.28789999999999999</v>
      </c>
      <c r="L818">
        <v>0.61</v>
      </c>
      <c r="M818">
        <v>0.1045</v>
      </c>
      <c r="N818">
        <v>5</v>
      </c>
      <c r="O818">
        <v>21</v>
      </c>
      <c r="P818">
        <v>26</v>
      </c>
      <c r="Q818" t="str">
        <f t="shared" si="48"/>
        <v>Weekend</v>
      </c>
      <c r="R818" t="str">
        <f t="shared" si="49"/>
        <v>Low</v>
      </c>
      <c r="S818" s="10" t="str">
        <f t="shared" si="50"/>
        <v>Clear</v>
      </c>
      <c r="T818" s="10" t="str">
        <f t="shared" si="51"/>
        <v>Cold</v>
      </c>
    </row>
    <row r="819" spans="1:20" x14ac:dyDescent="0.3">
      <c r="A819">
        <v>827</v>
      </c>
      <c r="B819" t="s">
        <v>52</v>
      </c>
      <c r="C819">
        <v>1</v>
      </c>
      <c r="D819">
        <v>0</v>
      </c>
      <c r="E819">
        <v>2</v>
      </c>
      <c r="F819">
        <v>21</v>
      </c>
      <c r="G819" t="b">
        <v>0</v>
      </c>
      <c r="H819">
        <v>0</v>
      </c>
      <c r="I819">
        <v>1</v>
      </c>
      <c r="J819">
        <v>0.26</v>
      </c>
      <c r="K819">
        <v>0.30299999999999999</v>
      </c>
      <c r="L819">
        <v>0.6</v>
      </c>
      <c r="M819">
        <v>0</v>
      </c>
      <c r="N819">
        <v>5</v>
      </c>
      <c r="O819">
        <v>22</v>
      </c>
      <c r="P819">
        <v>27</v>
      </c>
      <c r="Q819" t="str">
        <f t="shared" si="48"/>
        <v>Weekend</v>
      </c>
      <c r="R819" t="str">
        <f t="shared" si="49"/>
        <v>Low</v>
      </c>
      <c r="S819" s="10" t="str">
        <f t="shared" si="50"/>
        <v>Clear</v>
      </c>
      <c r="T819" s="10" t="str">
        <f t="shared" si="51"/>
        <v>Cold</v>
      </c>
    </row>
    <row r="820" spans="1:20" x14ac:dyDescent="0.3">
      <c r="A820">
        <v>828</v>
      </c>
      <c r="B820" t="s">
        <v>52</v>
      </c>
      <c r="C820">
        <v>1</v>
      </c>
      <c r="D820">
        <v>0</v>
      </c>
      <c r="E820">
        <v>2</v>
      </c>
      <c r="F820">
        <v>22</v>
      </c>
      <c r="G820" t="b">
        <v>0</v>
      </c>
      <c r="H820">
        <v>0</v>
      </c>
      <c r="I820">
        <v>1</v>
      </c>
      <c r="J820">
        <v>0.26</v>
      </c>
      <c r="K820">
        <v>0.30299999999999999</v>
      </c>
      <c r="L820">
        <v>0.6</v>
      </c>
      <c r="M820">
        <v>0</v>
      </c>
      <c r="N820">
        <v>5</v>
      </c>
      <c r="O820">
        <v>57</v>
      </c>
      <c r="P820">
        <v>62</v>
      </c>
      <c r="Q820" t="str">
        <f t="shared" si="48"/>
        <v>Weekend</v>
      </c>
      <c r="R820" t="str">
        <f t="shared" si="49"/>
        <v>Medium</v>
      </c>
      <c r="S820" s="10" t="str">
        <f t="shared" si="50"/>
        <v>Clear</v>
      </c>
      <c r="T820" s="10" t="str">
        <f t="shared" si="51"/>
        <v>Cold</v>
      </c>
    </row>
    <row r="821" spans="1:20" x14ac:dyDescent="0.3">
      <c r="A821">
        <v>829</v>
      </c>
      <c r="B821" t="s">
        <v>52</v>
      </c>
      <c r="C821">
        <v>1</v>
      </c>
      <c r="D821">
        <v>0</v>
      </c>
      <c r="E821">
        <v>2</v>
      </c>
      <c r="F821">
        <v>23</v>
      </c>
      <c r="G821" t="b">
        <v>0</v>
      </c>
      <c r="H821">
        <v>0</v>
      </c>
      <c r="I821">
        <v>1</v>
      </c>
      <c r="J821">
        <v>0.24</v>
      </c>
      <c r="K821">
        <v>0.28789999999999999</v>
      </c>
      <c r="L821">
        <v>0.65</v>
      </c>
      <c r="M821">
        <v>0</v>
      </c>
      <c r="N821">
        <v>4</v>
      </c>
      <c r="O821">
        <v>26</v>
      </c>
      <c r="P821">
        <v>30</v>
      </c>
      <c r="Q821" t="str">
        <f t="shared" si="48"/>
        <v>Weekend</v>
      </c>
      <c r="R821" t="str">
        <f t="shared" si="49"/>
        <v>Low</v>
      </c>
      <c r="S821" s="10" t="str">
        <f t="shared" si="50"/>
        <v>Clear</v>
      </c>
      <c r="T821" s="10" t="str">
        <f t="shared" si="51"/>
        <v>Cold</v>
      </c>
    </row>
    <row r="822" spans="1:20" x14ac:dyDescent="0.3">
      <c r="A822">
        <v>830</v>
      </c>
      <c r="B822" t="s">
        <v>53</v>
      </c>
      <c r="C822">
        <v>1</v>
      </c>
      <c r="D822">
        <v>0</v>
      </c>
      <c r="E822">
        <v>2</v>
      </c>
      <c r="F822">
        <v>0</v>
      </c>
      <c r="G822" t="b">
        <v>0</v>
      </c>
      <c r="H822">
        <v>1</v>
      </c>
      <c r="I822">
        <v>1</v>
      </c>
      <c r="J822">
        <v>0.24</v>
      </c>
      <c r="K822">
        <v>0.28789999999999999</v>
      </c>
      <c r="L822">
        <v>0.65</v>
      </c>
      <c r="M822">
        <v>0</v>
      </c>
      <c r="N822">
        <v>1</v>
      </c>
      <c r="O822">
        <v>14</v>
      </c>
      <c r="P822">
        <v>15</v>
      </c>
      <c r="Q822" t="str">
        <f t="shared" si="48"/>
        <v>Weekday</v>
      </c>
      <c r="R822" t="str">
        <f t="shared" si="49"/>
        <v>Low</v>
      </c>
      <c r="S822" s="10" t="str">
        <f t="shared" si="50"/>
        <v>Clear</v>
      </c>
      <c r="T822" s="10" t="str">
        <f t="shared" si="51"/>
        <v>Cold</v>
      </c>
    </row>
    <row r="823" spans="1:20" x14ac:dyDescent="0.3">
      <c r="A823">
        <v>831</v>
      </c>
      <c r="B823" t="s">
        <v>53</v>
      </c>
      <c r="C823">
        <v>1</v>
      </c>
      <c r="D823">
        <v>0</v>
      </c>
      <c r="E823">
        <v>2</v>
      </c>
      <c r="F823">
        <v>1</v>
      </c>
      <c r="G823" t="b">
        <v>0</v>
      </c>
      <c r="H823">
        <v>1</v>
      </c>
      <c r="I823">
        <v>1</v>
      </c>
      <c r="J823">
        <v>0.22</v>
      </c>
      <c r="K823">
        <v>0.2727</v>
      </c>
      <c r="L823">
        <v>0.75</v>
      </c>
      <c r="M823">
        <v>0</v>
      </c>
      <c r="N823">
        <v>1</v>
      </c>
      <c r="O823">
        <v>4</v>
      </c>
      <c r="P823">
        <v>5</v>
      </c>
      <c r="Q823" t="str">
        <f t="shared" si="48"/>
        <v>Weekday</v>
      </c>
      <c r="R823" t="str">
        <f t="shared" si="49"/>
        <v>Low</v>
      </c>
      <c r="S823" s="10" t="str">
        <f t="shared" si="50"/>
        <v>Clear</v>
      </c>
      <c r="T823" s="10" t="str">
        <f t="shared" si="51"/>
        <v>Cold</v>
      </c>
    </row>
    <row r="824" spans="1:20" x14ac:dyDescent="0.3">
      <c r="A824">
        <v>832</v>
      </c>
      <c r="B824" t="s">
        <v>53</v>
      </c>
      <c r="C824">
        <v>1</v>
      </c>
      <c r="D824">
        <v>0</v>
      </c>
      <c r="E824">
        <v>2</v>
      </c>
      <c r="F824">
        <v>2</v>
      </c>
      <c r="G824" t="b">
        <v>0</v>
      </c>
      <c r="H824">
        <v>1</v>
      </c>
      <c r="I824">
        <v>1</v>
      </c>
      <c r="J824">
        <v>0.2</v>
      </c>
      <c r="K824">
        <v>0.2576</v>
      </c>
      <c r="L824">
        <v>0.8</v>
      </c>
      <c r="M824">
        <v>0</v>
      </c>
      <c r="N824">
        <v>0</v>
      </c>
      <c r="O824">
        <v>3</v>
      </c>
      <c r="P824">
        <v>3</v>
      </c>
      <c r="Q824" t="str">
        <f t="shared" si="48"/>
        <v>Weekday</v>
      </c>
      <c r="R824" t="str">
        <f t="shared" si="49"/>
        <v>Low</v>
      </c>
      <c r="S824" s="10" t="str">
        <f t="shared" si="50"/>
        <v>Clear</v>
      </c>
      <c r="T824" s="10" t="str">
        <f t="shared" si="51"/>
        <v>Cold</v>
      </c>
    </row>
    <row r="825" spans="1:20" x14ac:dyDescent="0.3">
      <c r="A825">
        <v>833</v>
      </c>
      <c r="B825" t="s">
        <v>53</v>
      </c>
      <c r="C825">
        <v>1</v>
      </c>
      <c r="D825">
        <v>0</v>
      </c>
      <c r="E825">
        <v>2</v>
      </c>
      <c r="F825">
        <v>3</v>
      </c>
      <c r="G825" t="b">
        <v>0</v>
      </c>
      <c r="H825">
        <v>1</v>
      </c>
      <c r="I825">
        <v>1</v>
      </c>
      <c r="J825">
        <v>0.2</v>
      </c>
      <c r="K825">
        <v>0.2576</v>
      </c>
      <c r="L825">
        <v>0.86</v>
      </c>
      <c r="M825">
        <v>0</v>
      </c>
      <c r="N825">
        <v>0</v>
      </c>
      <c r="O825">
        <v>1</v>
      </c>
      <c r="P825">
        <v>1</v>
      </c>
      <c r="Q825" t="str">
        <f t="shared" si="48"/>
        <v>Weekday</v>
      </c>
      <c r="R825" t="str">
        <f t="shared" si="49"/>
        <v>Low</v>
      </c>
      <c r="S825" s="10" t="str">
        <f t="shared" si="50"/>
        <v>Clear</v>
      </c>
      <c r="T825" s="10" t="str">
        <f t="shared" si="51"/>
        <v>Cold</v>
      </c>
    </row>
    <row r="826" spans="1:20" x14ac:dyDescent="0.3">
      <c r="A826">
        <v>834</v>
      </c>
      <c r="B826" t="s">
        <v>53</v>
      </c>
      <c r="C826">
        <v>1</v>
      </c>
      <c r="D826">
        <v>0</v>
      </c>
      <c r="E826">
        <v>2</v>
      </c>
      <c r="F826">
        <v>4</v>
      </c>
      <c r="G826" t="b">
        <v>0</v>
      </c>
      <c r="H826">
        <v>1</v>
      </c>
      <c r="I826">
        <v>1</v>
      </c>
      <c r="J826">
        <v>0.2</v>
      </c>
      <c r="K826">
        <v>0.2576</v>
      </c>
      <c r="L826">
        <v>0.86</v>
      </c>
      <c r="M826">
        <v>0</v>
      </c>
      <c r="N826">
        <v>1</v>
      </c>
      <c r="O826">
        <v>1</v>
      </c>
      <c r="P826">
        <v>2</v>
      </c>
      <c r="Q826" t="str">
        <f t="shared" si="48"/>
        <v>Weekday</v>
      </c>
      <c r="R826" t="str">
        <f t="shared" si="49"/>
        <v>Low</v>
      </c>
      <c r="S826" s="10" t="str">
        <f t="shared" si="50"/>
        <v>Clear</v>
      </c>
      <c r="T826" s="10" t="str">
        <f t="shared" si="51"/>
        <v>Cold</v>
      </c>
    </row>
    <row r="827" spans="1:20" x14ac:dyDescent="0.3">
      <c r="A827">
        <v>835</v>
      </c>
      <c r="B827" t="s">
        <v>53</v>
      </c>
      <c r="C827">
        <v>1</v>
      </c>
      <c r="D827">
        <v>0</v>
      </c>
      <c r="E827">
        <v>2</v>
      </c>
      <c r="F827">
        <v>5</v>
      </c>
      <c r="G827" t="b">
        <v>0</v>
      </c>
      <c r="H827">
        <v>1</v>
      </c>
      <c r="I827">
        <v>1</v>
      </c>
      <c r="J827">
        <v>0.2</v>
      </c>
      <c r="K827">
        <v>0.2576</v>
      </c>
      <c r="L827">
        <v>0.86</v>
      </c>
      <c r="M827">
        <v>0</v>
      </c>
      <c r="N827">
        <v>1</v>
      </c>
      <c r="O827">
        <v>9</v>
      </c>
      <c r="P827">
        <v>10</v>
      </c>
      <c r="Q827" t="str">
        <f t="shared" si="48"/>
        <v>Weekday</v>
      </c>
      <c r="R827" t="str">
        <f t="shared" si="49"/>
        <v>Low</v>
      </c>
      <c r="S827" s="10" t="str">
        <f t="shared" si="50"/>
        <v>Clear</v>
      </c>
      <c r="T827" s="10" t="str">
        <f t="shared" si="51"/>
        <v>Cold</v>
      </c>
    </row>
    <row r="828" spans="1:20" x14ac:dyDescent="0.3">
      <c r="A828">
        <v>836</v>
      </c>
      <c r="B828" t="s">
        <v>53</v>
      </c>
      <c r="C828">
        <v>1</v>
      </c>
      <c r="D828">
        <v>0</v>
      </c>
      <c r="E828">
        <v>2</v>
      </c>
      <c r="F828">
        <v>6</v>
      </c>
      <c r="G828" t="b">
        <v>0</v>
      </c>
      <c r="H828">
        <v>1</v>
      </c>
      <c r="I828">
        <v>1</v>
      </c>
      <c r="J828">
        <v>0.18</v>
      </c>
      <c r="K828">
        <v>0.2424</v>
      </c>
      <c r="L828">
        <v>0.93</v>
      </c>
      <c r="M828">
        <v>0</v>
      </c>
      <c r="N828">
        <v>1</v>
      </c>
      <c r="O828">
        <v>29</v>
      </c>
      <c r="P828">
        <v>30</v>
      </c>
      <c r="Q828" t="str">
        <f t="shared" si="48"/>
        <v>Weekday</v>
      </c>
      <c r="R828" t="str">
        <f t="shared" si="49"/>
        <v>Low</v>
      </c>
      <c r="S828" s="10" t="str">
        <f t="shared" si="50"/>
        <v>Clear</v>
      </c>
      <c r="T828" s="10" t="str">
        <f t="shared" si="51"/>
        <v>Cold</v>
      </c>
    </row>
    <row r="829" spans="1:20" x14ac:dyDescent="0.3">
      <c r="A829">
        <v>837</v>
      </c>
      <c r="B829" t="s">
        <v>53</v>
      </c>
      <c r="C829">
        <v>1</v>
      </c>
      <c r="D829">
        <v>0</v>
      </c>
      <c r="E829">
        <v>2</v>
      </c>
      <c r="F829">
        <v>7</v>
      </c>
      <c r="G829" t="b">
        <v>0</v>
      </c>
      <c r="H829">
        <v>1</v>
      </c>
      <c r="I829">
        <v>1</v>
      </c>
      <c r="J829">
        <v>0.18</v>
      </c>
      <c r="K829">
        <v>0.2424</v>
      </c>
      <c r="L829">
        <v>0.86</v>
      </c>
      <c r="M829">
        <v>0</v>
      </c>
      <c r="N829">
        <v>6</v>
      </c>
      <c r="O829">
        <v>89</v>
      </c>
      <c r="P829">
        <v>95</v>
      </c>
      <c r="Q829" t="str">
        <f t="shared" si="48"/>
        <v>Weekday</v>
      </c>
      <c r="R829" t="str">
        <f t="shared" si="49"/>
        <v>Medium</v>
      </c>
      <c r="S829" s="10" t="str">
        <f t="shared" si="50"/>
        <v>Clear</v>
      </c>
      <c r="T829" s="10" t="str">
        <f t="shared" si="51"/>
        <v>Cold</v>
      </c>
    </row>
    <row r="830" spans="1:20" x14ac:dyDescent="0.3">
      <c r="A830">
        <v>838</v>
      </c>
      <c r="B830" t="s">
        <v>53</v>
      </c>
      <c r="C830">
        <v>1</v>
      </c>
      <c r="D830">
        <v>0</v>
      </c>
      <c r="E830">
        <v>2</v>
      </c>
      <c r="F830">
        <v>8</v>
      </c>
      <c r="G830" t="b">
        <v>0</v>
      </c>
      <c r="H830">
        <v>1</v>
      </c>
      <c r="I830">
        <v>2</v>
      </c>
      <c r="J830">
        <v>0.16</v>
      </c>
      <c r="K830">
        <v>0.2273</v>
      </c>
      <c r="L830">
        <v>1</v>
      </c>
      <c r="M830">
        <v>0</v>
      </c>
      <c r="N830">
        <v>7</v>
      </c>
      <c r="O830">
        <v>223</v>
      </c>
      <c r="P830">
        <v>230</v>
      </c>
      <c r="Q830" t="str">
        <f t="shared" si="48"/>
        <v>Weekday</v>
      </c>
      <c r="R830" t="str">
        <f t="shared" si="49"/>
        <v>High</v>
      </c>
      <c r="S830" s="10" t="str">
        <f t="shared" si="50"/>
        <v>Mist/Cloudy</v>
      </c>
      <c r="T830" s="10" t="str">
        <f t="shared" si="51"/>
        <v>Cold</v>
      </c>
    </row>
    <row r="831" spans="1:20" x14ac:dyDescent="0.3">
      <c r="A831">
        <v>839</v>
      </c>
      <c r="B831" t="s">
        <v>53</v>
      </c>
      <c r="C831">
        <v>1</v>
      </c>
      <c r="D831">
        <v>0</v>
      </c>
      <c r="E831">
        <v>2</v>
      </c>
      <c r="F831">
        <v>9</v>
      </c>
      <c r="G831" t="b">
        <v>0</v>
      </c>
      <c r="H831">
        <v>1</v>
      </c>
      <c r="I831">
        <v>1</v>
      </c>
      <c r="J831">
        <v>0.22</v>
      </c>
      <c r="K831">
        <v>0.2727</v>
      </c>
      <c r="L831">
        <v>0.8</v>
      </c>
      <c r="M831">
        <v>0</v>
      </c>
      <c r="N831">
        <v>3</v>
      </c>
      <c r="O831">
        <v>115</v>
      </c>
      <c r="P831">
        <v>118</v>
      </c>
      <c r="Q831" t="str">
        <f t="shared" si="48"/>
        <v>Weekday</v>
      </c>
      <c r="R831" t="str">
        <f t="shared" si="49"/>
        <v>Medium</v>
      </c>
      <c r="S831" s="10" t="str">
        <f t="shared" si="50"/>
        <v>Clear</v>
      </c>
      <c r="T831" s="10" t="str">
        <f t="shared" si="51"/>
        <v>Cold</v>
      </c>
    </row>
    <row r="832" spans="1:20" x14ac:dyDescent="0.3">
      <c r="A832">
        <v>840</v>
      </c>
      <c r="B832" t="s">
        <v>53</v>
      </c>
      <c r="C832">
        <v>1</v>
      </c>
      <c r="D832">
        <v>0</v>
      </c>
      <c r="E832">
        <v>2</v>
      </c>
      <c r="F832">
        <v>10</v>
      </c>
      <c r="G832" t="b">
        <v>0</v>
      </c>
      <c r="H832">
        <v>1</v>
      </c>
      <c r="I832">
        <v>1</v>
      </c>
      <c r="J832">
        <v>0.24</v>
      </c>
      <c r="K832">
        <v>0.2576</v>
      </c>
      <c r="L832">
        <v>0.75</v>
      </c>
      <c r="M832">
        <v>0.1045</v>
      </c>
      <c r="N832">
        <v>6</v>
      </c>
      <c r="O832">
        <v>49</v>
      </c>
      <c r="P832">
        <v>55</v>
      </c>
      <c r="Q832" t="str">
        <f t="shared" si="48"/>
        <v>Weekday</v>
      </c>
      <c r="R832" t="str">
        <f t="shared" si="49"/>
        <v>Medium</v>
      </c>
      <c r="S832" s="10" t="str">
        <f t="shared" si="50"/>
        <v>Clear</v>
      </c>
      <c r="T832" s="10" t="str">
        <f t="shared" si="51"/>
        <v>Cold</v>
      </c>
    </row>
    <row r="833" spans="1:20" x14ac:dyDescent="0.3">
      <c r="A833">
        <v>841</v>
      </c>
      <c r="B833" t="s">
        <v>53</v>
      </c>
      <c r="C833">
        <v>1</v>
      </c>
      <c r="D833">
        <v>0</v>
      </c>
      <c r="E833">
        <v>2</v>
      </c>
      <c r="F833">
        <v>11</v>
      </c>
      <c r="G833" t="b">
        <v>0</v>
      </c>
      <c r="H833">
        <v>1</v>
      </c>
      <c r="I833">
        <v>1</v>
      </c>
      <c r="J833">
        <v>0.3</v>
      </c>
      <c r="K833">
        <v>0.31819999999999998</v>
      </c>
      <c r="L833">
        <v>0.65</v>
      </c>
      <c r="M833">
        <v>8.9599999999999999E-2</v>
      </c>
      <c r="N833">
        <v>11</v>
      </c>
      <c r="O833">
        <v>36</v>
      </c>
      <c r="P833">
        <v>47</v>
      </c>
      <c r="Q833" t="str">
        <f t="shared" si="48"/>
        <v>Weekday</v>
      </c>
      <c r="R833" t="str">
        <f t="shared" si="49"/>
        <v>Low</v>
      </c>
      <c r="S833" s="10" t="str">
        <f t="shared" si="50"/>
        <v>Clear</v>
      </c>
      <c r="T833" s="10" t="str">
        <f t="shared" si="51"/>
        <v>Warm</v>
      </c>
    </row>
    <row r="834" spans="1:20" x14ac:dyDescent="0.3">
      <c r="A834">
        <v>842</v>
      </c>
      <c r="B834" t="s">
        <v>53</v>
      </c>
      <c r="C834">
        <v>1</v>
      </c>
      <c r="D834">
        <v>0</v>
      </c>
      <c r="E834">
        <v>2</v>
      </c>
      <c r="F834">
        <v>12</v>
      </c>
      <c r="G834" t="b">
        <v>0</v>
      </c>
      <c r="H834">
        <v>1</v>
      </c>
      <c r="I834">
        <v>2</v>
      </c>
      <c r="J834">
        <v>0.32</v>
      </c>
      <c r="K834">
        <v>0.34849999999999998</v>
      </c>
      <c r="L834">
        <v>0.62</v>
      </c>
      <c r="M834">
        <v>0</v>
      </c>
      <c r="N834">
        <v>7</v>
      </c>
      <c r="O834">
        <v>59</v>
      </c>
      <c r="P834">
        <v>66</v>
      </c>
      <c r="Q834" t="str">
        <f t="shared" ref="Q834:Q897" si="52">IF(G834=TRUE,"Holiday",IF(H834=0,"Weekend","Weekday"))</f>
        <v>Weekday</v>
      </c>
      <c r="R834" t="str">
        <f t="shared" ref="R834:R897" si="53">IF(P834&lt;50,"Low",IF(P834&lt;150,"Medium","High"))</f>
        <v>Medium</v>
      </c>
      <c r="S834" s="10" t="str">
        <f t="shared" si="50"/>
        <v>Mist/Cloudy</v>
      </c>
      <c r="T834" s="10" t="str">
        <f t="shared" si="51"/>
        <v>Warm</v>
      </c>
    </row>
    <row r="835" spans="1:20" x14ac:dyDescent="0.3">
      <c r="A835">
        <v>843</v>
      </c>
      <c r="B835" t="s">
        <v>53</v>
      </c>
      <c r="C835">
        <v>1</v>
      </c>
      <c r="D835">
        <v>0</v>
      </c>
      <c r="E835">
        <v>2</v>
      </c>
      <c r="F835">
        <v>13</v>
      </c>
      <c r="G835" t="b">
        <v>0</v>
      </c>
      <c r="H835">
        <v>1</v>
      </c>
      <c r="I835">
        <v>2</v>
      </c>
      <c r="J835">
        <v>0.36</v>
      </c>
      <c r="K835">
        <v>0.36359999999999998</v>
      </c>
      <c r="L835">
        <v>0.56999999999999995</v>
      </c>
      <c r="M835">
        <v>8.9599999999999999E-2</v>
      </c>
      <c r="N835">
        <v>10</v>
      </c>
      <c r="O835">
        <v>54</v>
      </c>
      <c r="P835">
        <v>64</v>
      </c>
      <c r="Q835" t="str">
        <f t="shared" si="52"/>
        <v>Weekday</v>
      </c>
      <c r="R835" t="str">
        <f t="shared" si="53"/>
        <v>Medium</v>
      </c>
      <c r="S835" s="10" t="str">
        <f t="shared" ref="S835:S898" si="54">IF(I835=1,"Clear",IF(I835=2,"Mist/Cloudy",IF(I835=3,"Light Rain/Snow","Heavy Rain/Ice")))</f>
        <v>Mist/Cloudy</v>
      </c>
      <c r="T835" s="10" t="str">
        <f t="shared" ref="T835:T898" si="55">IF(J835&lt;0.3,"Cold","Warm")</f>
        <v>Warm</v>
      </c>
    </row>
    <row r="836" spans="1:20" x14ac:dyDescent="0.3">
      <c r="A836">
        <v>844</v>
      </c>
      <c r="B836" t="s">
        <v>53</v>
      </c>
      <c r="C836">
        <v>1</v>
      </c>
      <c r="D836">
        <v>0</v>
      </c>
      <c r="E836">
        <v>2</v>
      </c>
      <c r="F836">
        <v>14</v>
      </c>
      <c r="G836" t="b">
        <v>0</v>
      </c>
      <c r="H836">
        <v>1</v>
      </c>
      <c r="I836">
        <v>2</v>
      </c>
      <c r="J836">
        <v>0.36</v>
      </c>
      <c r="K836">
        <v>0.36359999999999998</v>
      </c>
      <c r="L836">
        <v>0.56999999999999995</v>
      </c>
      <c r="M836">
        <v>8.9599999999999999E-2</v>
      </c>
      <c r="N836">
        <v>8</v>
      </c>
      <c r="O836">
        <v>52</v>
      </c>
      <c r="P836">
        <v>60</v>
      </c>
      <c r="Q836" t="str">
        <f t="shared" si="52"/>
        <v>Weekday</v>
      </c>
      <c r="R836" t="str">
        <f t="shared" si="53"/>
        <v>Medium</v>
      </c>
      <c r="S836" s="10" t="str">
        <f t="shared" si="54"/>
        <v>Mist/Cloudy</v>
      </c>
      <c r="T836" s="10" t="str">
        <f t="shared" si="55"/>
        <v>Warm</v>
      </c>
    </row>
    <row r="837" spans="1:20" x14ac:dyDescent="0.3">
      <c r="A837">
        <v>845</v>
      </c>
      <c r="B837" t="s">
        <v>53</v>
      </c>
      <c r="C837">
        <v>1</v>
      </c>
      <c r="D837">
        <v>0</v>
      </c>
      <c r="E837">
        <v>2</v>
      </c>
      <c r="F837">
        <v>15</v>
      </c>
      <c r="G837" t="b">
        <v>0</v>
      </c>
      <c r="H837">
        <v>1</v>
      </c>
      <c r="I837">
        <v>2</v>
      </c>
      <c r="J837">
        <v>0.38</v>
      </c>
      <c r="K837">
        <v>0.39389999999999997</v>
      </c>
      <c r="L837">
        <v>0.54</v>
      </c>
      <c r="M837">
        <v>8.9599999999999999E-2</v>
      </c>
      <c r="N837">
        <v>4</v>
      </c>
      <c r="O837">
        <v>46</v>
      </c>
      <c r="P837">
        <v>50</v>
      </c>
      <c r="Q837" t="str">
        <f t="shared" si="52"/>
        <v>Weekday</v>
      </c>
      <c r="R837" t="str">
        <f t="shared" si="53"/>
        <v>Medium</v>
      </c>
      <c r="S837" s="10" t="str">
        <f t="shared" si="54"/>
        <v>Mist/Cloudy</v>
      </c>
      <c r="T837" s="10" t="str">
        <f t="shared" si="55"/>
        <v>Warm</v>
      </c>
    </row>
    <row r="838" spans="1:20" x14ac:dyDescent="0.3">
      <c r="A838">
        <v>846</v>
      </c>
      <c r="B838" t="s">
        <v>53</v>
      </c>
      <c r="C838">
        <v>1</v>
      </c>
      <c r="D838">
        <v>0</v>
      </c>
      <c r="E838">
        <v>2</v>
      </c>
      <c r="F838">
        <v>16</v>
      </c>
      <c r="G838" t="b">
        <v>0</v>
      </c>
      <c r="H838">
        <v>1</v>
      </c>
      <c r="I838">
        <v>2</v>
      </c>
      <c r="J838">
        <v>0.36</v>
      </c>
      <c r="K838">
        <v>0.34849999999999998</v>
      </c>
      <c r="L838">
        <v>0.56999999999999995</v>
      </c>
      <c r="M838">
        <v>0.1343</v>
      </c>
      <c r="N838">
        <v>16</v>
      </c>
      <c r="O838">
        <v>98</v>
      </c>
      <c r="P838">
        <v>114</v>
      </c>
      <c r="Q838" t="str">
        <f t="shared" si="52"/>
        <v>Weekday</v>
      </c>
      <c r="R838" t="str">
        <f t="shared" si="53"/>
        <v>Medium</v>
      </c>
      <c r="S838" s="10" t="str">
        <f t="shared" si="54"/>
        <v>Mist/Cloudy</v>
      </c>
      <c r="T838" s="10" t="str">
        <f t="shared" si="55"/>
        <v>Warm</v>
      </c>
    </row>
    <row r="839" spans="1:20" x14ac:dyDescent="0.3">
      <c r="A839">
        <v>847</v>
      </c>
      <c r="B839" t="s">
        <v>53</v>
      </c>
      <c r="C839">
        <v>1</v>
      </c>
      <c r="D839">
        <v>0</v>
      </c>
      <c r="E839">
        <v>2</v>
      </c>
      <c r="F839">
        <v>17</v>
      </c>
      <c r="G839" t="b">
        <v>0</v>
      </c>
      <c r="H839">
        <v>1</v>
      </c>
      <c r="I839">
        <v>2</v>
      </c>
      <c r="J839">
        <v>0.32</v>
      </c>
      <c r="K839">
        <v>0.31819999999999998</v>
      </c>
      <c r="L839">
        <v>0.7</v>
      </c>
      <c r="M839">
        <v>0.16420000000000001</v>
      </c>
      <c r="N839">
        <v>9</v>
      </c>
      <c r="O839">
        <v>207</v>
      </c>
      <c r="P839">
        <v>216</v>
      </c>
      <c r="Q839" t="str">
        <f t="shared" si="52"/>
        <v>Weekday</v>
      </c>
      <c r="R839" t="str">
        <f t="shared" si="53"/>
        <v>High</v>
      </c>
      <c r="S839" s="10" t="str">
        <f t="shared" si="54"/>
        <v>Mist/Cloudy</v>
      </c>
      <c r="T839" s="10" t="str">
        <f t="shared" si="55"/>
        <v>Warm</v>
      </c>
    </row>
    <row r="840" spans="1:20" x14ac:dyDescent="0.3">
      <c r="A840">
        <v>848</v>
      </c>
      <c r="B840" t="s">
        <v>53</v>
      </c>
      <c r="C840">
        <v>1</v>
      </c>
      <c r="D840">
        <v>0</v>
      </c>
      <c r="E840">
        <v>2</v>
      </c>
      <c r="F840">
        <v>18</v>
      </c>
      <c r="G840" t="b">
        <v>0</v>
      </c>
      <c r="H840">
        <v>1</v>
      </c>
      <c r="I840">
        <v>2</v>
      </c>
      <c r="J840">
        <v>0.34</v>
      </c>
      <c r="K840">
        <v>0.33329999999999999</v>
      </c>
      <c r="L840">
        <v>0.66</v>
      </c>
      <c r="M840">
        <v>0.1343</v>
      </c>
      <c r="N840">
        <v>5</v>
      </c>
      <c r="O840">
        <v>170</v>
      </c>
      <c r="P840">
        <v>175</v>
      </c>
      <c r="Q840" t="str">
        <f t="shared" si="52"/>
        <v>Weekday</v>
      </c>
      <c r="R840" t="str">
        <f t="shared" si="53"/>
        <v>High</v>
      </c>
      <c r="S840" s="10" t="str">
        <f t="shared" si="54"/>
        <v>Mist/Cloudy</v>
      </c>
      <c r="T840" s="10" t="str">
        <f t="shared" si="55"/>
        <v>Warm</v>
      </c>
    </row>
    <row r="841" spans="1:20" x14ac:dyDescent="0.3">
      <c r="A841">
        <v>849</v>
      </c>
      <c r="B841" t="s">
        <v>53</v>
      </c>
      <c r="C841">
        <v>1</v>
      </c>
      <c r="D841">
        <v>0</v>
      </c>
      <c r="E841">
        <v>2</v>
      </c>
      <c r="F841">
        <v>19</v>
      </c>
      <c r="G841" t="b">
        <v>0</v>
      </c>
      <c r="H841">
        <v>1</v>
      </c>
      <c r="I841">
        <v>2</v>
      </c>
      <c r="J841">
        <v>0.32</v>
      </c>
      <c r="K841">
        <v>0.34849999999999998</v>
      </c>
      <c r="L841">
        <v>0.7</v>
      </c>
      <c r="M841">
        <v>0</v>
      </c>
      <c r="N841">
        <v>5</v>
      </c>
      <c r="O841">
        <v>123</v>
      </c>
      <c r="P841">
        <v>128</v>
      </c>
      <c r="Q841" t="str">
        <f t="shared" si="52"/>
        <v>Weekday</v>
      </c>
      <c r="R841" t="str">
        <f t="shared" si="53"/>
        <v>Medium</v>
      </c>
      <c r="S841" s="10" t="str">
        <f t="shared" si="54"/>
        <v>Mist/Cloudy</v>
      </c>
      <c r="T841" s="10" t="str">
        <f t="shared" si="55"/>
        <v>Warm</v>
      </c>
    </row>
    <row r="842" spans="1:20" x14ac:dyDescent="0.3">
      <c r="A842">
        <v>850</v>
      </c>
      <c r="B842" t="s">
        <v>53</v>
      </c>
      <c r="C842">
        <v>1</v>
      </c>
      <c r="D842">
        <v>0</v>
      </c>
      <c r="E842">
        <v>2</v>
      </c>
      <c r="F842">
        <v>20</v>
      </c>
      <c r="G842" t="b">
        <v>0</v>
      </c>
      <c r="H842">
        <v>1</v>
      </c>
      <c r="I842">
        <v>2</v>
      </c>
      <c r="J842">
        <v>0.32</v>
      </c>
      <c r="K842">
        <v>0.33329999999999999</v>
      </c>
      <c r="L842">
        <v>0.7</v>
      </c>
      <c r="M842">
        <v>0.1045</v>
      </c>
      <c r="N842">
        <v>6</v>
      </c>
      <c r="O842">
        <v>82</v>
      </c>
      <c r="P842">
        <v>88</v>
      </c>
      <c r="Q842" t="str">
        <f t="shared" si="52"/>
        <v>Weekday</v>
      </c>
      <c r="R842" t="str">
        <f t="shared" si="53"/>
        <v>Medium</v>
      </c>
      <c r="S842" s="10" t="str">
        <f t="shared" si="54"/>
        <v>Mist/Cloudy</v>
      </c>
      <c r="T842" s="10" t="str">
        <f t="shared" si="55"/>
        <v>Warm</v>
      </c>
    </row>
    <row r="843" spans="1:20" x14ac:dyDescent="0.3">
      <c r="A843">
        <v>851</v>
      </c>
      <c r="B843" t="s">
        <v>53</v>
      </c>
      <c r="C843">
        <v>1</v>
      </c>
      <c r="D843">
        <v>0</v>
      </c>
      <c r="E843">
        <v>2</v>
      </c>
      <c r="F843">
        <v>21</v>
      </c>
      <c r="G843" t="b">
        <v>0</v>
      </c>
      <c r="H843">
        <v>1</v>
      </c>
      <c r="I843">
        <v>1</v>
      </c>
      <c r="J843">
        <v>0.32</v>
      </c>
      <c r="K843">
        <v>0.34849999999999998</v>
      </c>
      <c r="L843">
        <v>0.7</v>
      </c>
      <c r="M843">
        <v>0</v>
      </c>
      <c r="N843">
        <v>3</v>
      </c>
      <c r="O843">
        <v>75</v>
      </c>
      <c r="P843">
        <v>78</v>
      </c>
      <c r="Q843" t="str">
        <f t="shared" si="52"/>
        <v>Weekday</v>
      </c>
      <c r="R843" t="str">
        <f t="shared" si="53"/>
        <v>Medium</v>
      </c>
      <c r="S843" s="10" t="str">
        <f t="shared" si="54"/>
        <v>Clear</v>
      </c>
      <c r="T843" s="10" t="str">
        <f t="shared" si="55"/>
        <v>Warm</v>
      </c>
    </row>
    <row r="844" spans="1:20" x14ac:dyDescent="0.3">
      <c r="A844">
        <v>852</v>
      </c>
      <c r="B844" t="s">
        <v>53</v>
      </c>
      <c r="C844">
        <v>1</v>
      </c>
      <c r="D844">
        <v>0</v>
      </c>
      <c r="E844">
        <v>2</v>
      </c>
      <c r="F844">
        <v>22</v>
      </c>
      <c r="G844" t="b">
        <v>0</v>
      </c>
      <c r="H844">
        <v>1</v>
      </c>
      <c r="I844">
        <v>1</v>
      </c>
      <c r="J844">
        <v>0.28000000000000003</v>
      </c>
      <c r="K844">
        <v>0.30299999999999999</v>
      </c>
      <c r="L844">
        <v>0.81</v>
      </c>
      <c r="M844">
        <v>8.9599999999999999E-2</v>
      </c>
      <c r="N844">
        <v>3</v>
      </c>
      <c r="O844">
        <v>34</v>
      </c>
      <c r="P844">
        <v>37</v>
      </c>
      <c r="Q844" t="str">
        <f t="shared" si="52"/>
        <v>Weekday</v>
      </c>
      <c r="R844" t="str">
        <f t="shared" si="53"/>
        <v>Low</v>
      </c>
      <c r="S844" s="10" t="str">
        <f t="shared" si="54"/>
        <v>Clear</v>
      </c>
      <c r="T844" s="10" t="str">
        <f t="shared" si="55"/>
        <v>Cold</v>
      </c>
    </row>
    <row r="845" spans="1:20" x14ac:dyDescent="0.3">
      <c r="A845">
        <v>853</v>
      </c>
      <c r="B845" t="s">
        <v>53</v>
      </c>
      <c r="C845">
        <v>1</v>
      </c>
      <c r="D845">
        <v>0</v>
      </c>
      <c r="E845">
        <v>2</v>
      </c>
      <c r="F845">
        <v>23</v>
      </c>
      <c r="G845" t="b">
        <v>0</v>
      </c>
      <c r="H845">
        <v>1</v>
      </c>
      <c r="I845">
        <v>2</v>
      </c>
      <c r="J845">
        <v>0.3</v>
      </c>
      <c r="K845">
        <v>0.33329999999999999</v>
      </c>
      <c r="L845">
        <v>0.81</v>
      </c>
      <c r="M845">
        <v>0</v>
      </c>
      <c r="N845">
        <v>6</v>
      </c>
      <c r="O845">
        <v>19</v>
      </c>
      <c r="P845">
        <v>25</v>
      </c>
      <c r="Q845" t="str">
        <f t="shared" si="52"/>
        <v>Weekday</v>
      </c>
      <c r="R845" t="str">
        <f t="shared" si="53"/>
        <v>Low</v>
      </c>
      <c r="S845" s="10" t="str">
        <f t="shared" si="54"/>
        <v>Mist/Cloudy</v>
      </c>
      <c r="T845" s="10" t="str">
        <f t="shared" si="55"/>
        <v>Warm</v>
      </c>
    </row>
    <row r="846" spans="1:20" x14ac:dyDescent="0.3">
      <c r="A846">
        <v>854</v>
      </c>
      <c r="B846" t="s">
        <v>54</v>
      </c>
      <c r="C846">
        <v>1</v>
      </c>
      <c r="D846">
        <v>0</v>
      </c>
      <c r="E846">
        <v>2</v>
      </c>
      <c r="F846">
        <v>0</v>
      </c>
      <c r="G846" t="b">
        <v>0</v>
      </c>
      <c r="H846">
        <v>2</v>
      </c>
      <c r="I846">
        <v>2</v>
      </c>
      <c r="J846">
        <v>0.28000000000000003</v>
      </c>
      <c r="K846">
        <v>0.31819999999999998</v>
      </c>
      <c r="L846">
        <v>0.87</v>
      </c>
      <c r="M846">
        <v>0</v>
      </c>
      <c r="N846">
        <v>4</v>
      </c>
      <c r="O846">
        <v>6</v>
      </c>
      <c r="P846">
        <v>10</v>
      </c>
      <c r="Q846" t="str">
        <f t="shared" si="52"/>
        <v>Weekday</v>
      </c>
      <c r="R846" t="str">
        <f t="shared" si="53"/>
        <v>Low</v>
      </c>
      <c r="S846" s="10" t="str">
        <f t="shared" si="54"/>
        <v>Mist/Cloudy</v>
      </c>
      <c r="T846" s="10" t="str">
        <f t="shared" si="55"/>
        <v>Cold</v>
      </c>
    </row>
    <row r="847" spans="1:20" x14ac:dyDescent="0.3">
      <c r="A847">
        <v>855</v>
      </c>
      <c r="B847" t="s">
        <v>54</v>
      </c>
      <c r="C847">
        <v>1</v>
      </c>
      <c r="D847">
        <v>0</v>
      </c>
      <c r="E847">
        <v>2</v>
      </c>
      <c r="F847">
        <v>1</v>
      </c>
      <c r="G847" t="b">
        <v>0</v>
      </c>
      <c r="H847">
        <v>2</v>
      </c>
      <c r="I847">
        <v>2</v>
      </c>
      <c r="J847">
        <v>0.28000000000000003</v>
      </c>
      <c r="K847">
        <v>0.31819999999999998</v>
      </c>
      <c r="L847">
        <v>0.87</v>
      </c>
      <c r="M847">
        <v>0</v>
      </c>
      <c r="N847">
        <v>0</v>
      </c>
      <c r="O847">
        <v>4</v>
      </c>
      <c r="P847">
        <v>4</v>
      </c>
      <c r="Q847" t="str">
        <f t="shared" si="52"/>
        <v>Weekday</v>
      </c>
      <c r="R847" t="str">
        <f t="shared" si="53"/>
        <v>Low</v>
      </c>
      <c r="S847" s="10" t="str">
        <f t="shared" si="54"/>
        <v>Mist/Cloudy</v>
      </c>
      <c r="T847" s="10" t="str">
        <f t="shared" si="55"/>
        <v>Cold</v>
      </c>
    </row>
    <row r="848" spans="1:20" x14ac:dyDescent="0.3">
      <c r="A848">
        <v>856</v>
      </c>
      <c r="B848" t="s">
        <v>54</v>
      </c>
      <c r="C848">
        <v>1</v>
      </c>
      <c r="D848">
        <v>0</v>
      </c>
      <c r="E848">
        <v>2</v>
      </c>
      <c r="F848">
        <v>2</v>
      </c>
      <c r="G848" t="b">
        <v>0</v>
      </c>
      <c r="H848">
        <v>2</v>
      </c>
      <c r="I848">
        <v>2</v>
      </c>
      <c r="J848">
        <v>0.26</v>
      </c>
      <c r="K848">
        <v>0.2727</v>
      </c>
      <c r="L848">
        <v>0.93</v>
      </c>
      <c r="M848">
        <v>0.1045</v>
      </c>
      <c r="N848">
        <v>1</v>
      </c>
      <c r="O848">
        <v>1</v>
      </c>
      <c r="P848">
        <v>2</v>
      </c>
      <c r="Q848" t="str">
        <f t="shared" si="52"/>
        <v>Weekday</v>
      </c>
      <c r="R848" t="str">
        <f t="shared" si="53"/>
        <v>Low</v>
      </c>
      <c r="S848" s="10" t="str">
        <f t="shared" si="54"/>
        <v>Mist/Cloudy</v>
      </c>
      <c r="T848" s="10" t="str">
        <f t="shared" si="55"/>
        <v>Cold</v>
      </c>
    </row>
    <row r="849" spans="1:20" x14ac:dyDescent="0.3">
      <c r="A849">
        <v>857</v>
      </c>
      <c r="B849" t="s">
        <v>54</v>
      </c>
      <c r="C849">
        <v>1</v>
      </c>
      <c r="D849">
        <v>0</v>
      </c>
      <c r="E849">
        <v>2</v>
      </c>
      <c r="F849">
        <v>3</v>
      </c>
      <c r="G849" t="b">
        <v>0</v>
      </c>
      <c r="H849">
        <v>2</v>
      </c>
      <c r="I849">
        <v>3</v>
      </c>
      <c r="J849">
        <v>0.28000000000000003</v>
      </c>
      <c r="K849">
        <v>0.2727</v>
      </c>
      <c r="L849">
        <v>0.93</v>
      </c>
      <c r="M849">
        <v>0.16420000000000001</v>
      </c>
      <c r="N849">
        <v>0</v>
      </c>
      <c r="O849">
        <v>1</v>
      </c>
      <c r="P849">
        <v>1</v>
      </c>
      <c r="Q849" t="str">
        <f t="shared" si="52"/>
        <v>Weekday</v>
      </c>
      <c r="R849" t="str">
        <f t="shared" si="53"/>
        <v>Low</v>
      </c>
      <c r="S849" s="10" t="str">
        <f t="shared" si="54"/>
        <v>Light Rain/Snow</v>
      </c>
      <c r="T849" s="10" t="str">
        <f t="shared" si="55"/>
        <v>Cold</v>
      </c>
    </row>
    <row r="850" spans="1:20" x14ac:dyDescent="0.3">
      <c r="A850">
        <v>858</v>
      </c>
      <c r="B850" t="s">
        <v>54</v>
      </c>
      <c r="C850">
        <v>1</v>
      </c>
      <c r="D850">
        <v>0</v>
      </c>
      <c r="E850">
        <v>2</v>
      </c>
      <c r="F850">
        <v>4</v>
      </c>
      <c r="G850" t="b">
        <v>0</v>
      </c>
      <c r="H850">
        <v>2</v>
      </c>
      <c r="I850">
        <v>1</v>
      </c>
      <c r="J850">
        <v>0.26</v>
      </c>
      <c r="K850">
        <v>0.2576</v>
      </c>
      <c r="L850">
        <v>0.93</v>
      </c>
      <c r="M850">
        <v>0.16420000000000001</v>
      </c>
      <c r="N850">
        <v>0</v>
      </c>
      <c r="O850">
        <v>3</v>
      </c>
      <c r="P850">
        <v>3</v>
      </c>
      <c r="Q850" t="str">
        <f t="shared" si="52"/>
        <v>Weekday</v>
      </c>
      <c r="R850" t="str">
        <f t="shared" si="53"/>
        <v>Low</v>
      </c>
      <c r="S850" s="10" t="str">
        <f t="shared" si="54"/>
        <v>Clear</v>
      </c>
      <c r="T850" s="10" t="str">
        <f t="shared" si="55"/>
        <v>Cold</v>
      </c>
    </row>
    <row r="851" spans="1:20" x14ac:dyDescent="0.3">
      <c r="A851">
        <v>859</v>
      </c>
      <c r="B851" t="s">
        <v>54</v>
      </c>
      <c r="C851">
        <v>1</v>
      </c>
      <c r="D851">
        <v>0</v>
      </c>
      <c r="E851">
        <v>2</v>
      </c>
      <c r="F851">
        <v>5</v>
      </c>
      <c r="G851" t="b">
        <v>0</v>
      </c>
      <c r="H851">
        <v>2</v>
      </c>
      <c r="I851">
        <v>1</v>
      </c>
      <c r="J851">
        <v>0.26</v>
      </c>
      <c r="K851">
        <v>0.2273</v>
      </c>
      <c r="L851">
        <v>0.81</v>
      </c>
      <c r="M851">
        <v>0.32840000000000003</v>
      </c>
      <c r="N851">
        <v>0</v>
      </c>
      <c r="O851">
        <v>2</v>
      </c>
      <c r="P851">
        <v>2</v>
      </c>
      <c r="Q851" t="str">
        <f t="shared" si="52"/>
        <v>Weekday</v>
      </c>
      <c r="R851" t="str">
        <f t="shared" si="53"/>
        <v>Low</v>
      </c>
      <c r="S851" s="10" t="str">
        <f t="shared" si="54"/>
        <v>Clear</v>
      </c>
      <c r="T851" s="10" t="str">
        <f t="shared" si="55"/>
        <v>Cold</v>
      </c>
    </row>
    <row r="852" spans="1:20" x14ac:dyDescent="0.3">
      <c r="A852">
        <v>860</v>
      </c>
      <c r="B852" t="s">
        <v>54</v>
      </c>
      <c r="C852">
        <v>1</v>
      </c>
      <c r="D852">
        <v>0</v>
      </c>
      <c r="E852">
        <v>2</v>
      </c>
      <c r="F852">
        <v>6</v>
      </c>
      <c r="G852" t="b">
        <v>0</v>
      </c>
      <c r="H852">
        <v>2</v>
      </c>
      <c r="I852">
        <v>1</v>
      </c>
      <c r="J852">
        <v>0.26</v>
      </c>
      <c r="K852">
        <v>0.2273</v>
      </c>
      <c r="L852">
        <v>0.7</v>
      </c>
      <c r="M852">
        <v>0.32840000000000003</v>
      </c>
      <c r="N852">
        <v>0</v>
      </c>
      <c r="O852">
        <v>39</v>
      </c>
      <c r="P852">
        <v>39</v>
      </c>
      <c r="Q852" t="str">
        <f t="shared" si="52"/>
        <v>Weekday</v>
      </c>
      <c r="R852" t="str">
        <f t="shared" si="53"/>
        <v>Low</v>
      </c>
      <c r="S852" s="10" t="str">
        <f t="shared" si="54"/>
        <v>Clear</v>
      </c>
      <c r="T852" s="10" t="str">
        <f t="shared" si="55"/>
        <v>Cold</v>
      </c>
    </row>
    <row r="853" spans="1:20" x14ac:dyDescent="0.3">
      <c r="A853">
        <v>861</v>
      </c>
      <c r="B853" t="s">
        <v>54</v>
      </c>
      <c r="C853">
        <v>1</v>
      </c>
      <c r="D853">
        <v>0</v>
      </c>
      <c r="E853">
        <v>2</v>
      </c>
      <c r="F853">
        <v>7</v>
      </c>
      <c r="G853" t="b">
        <v>0</v>
      </c>
      <c r="H853">
        <v>2</v>
      </c>
      <c r="I853">
        <v>1</v>
      </c>
      <c r="J853">
        <v>0.24</v>
      </c>
      <c r="K853">
        <v>0.19700000000000001</v>
      </c>
      <c r="L853">
        <v>0.65</v>
      </c>
      <c r="M853">
        <v>0.41789999999999999</v>
      </c>
      <c r="N853">
        <v>3</v>
      </c>
      <c r="O853">
        <v>97</v>
      </c>
      <c r="P853">
        <v>100</v>
      </c>
      <c r="Q853" t="str">
        <f t="shared" si="52"/>
        <v>Weekday</v>
      </c>
      <c r="R853" t="str">
        <f t="shared" si="53"/>
        <v>Medium</v>
      </c>
      <c r="S853" s="10" t="str">
        <f t="shared" si="54"/>
        <v>Clear</v>
      </c>
      <c r="T853" s="10" t="str">
        <f t="shared" si="55"/>
        <v>Cold</v>
      </c>
    </row>
    <row r="854" spans="1:20" x14ac:dyDescent="0.3">
      <c r="A854">
        <v>862</v>
      </c>
      <c r="B854" t="s">
        <v>54</v>
      </c>
      <c r="C854">
        <v>1</v>
      </c>
      <c r="D854">
        <v>0</v>
      </c>
      <c r="E854">
        <v>2</v>
      </c>
      <c r="F854">
        <v>8</v>
      </c>
      <c r="G854" t="b">
        <v>0</v>
      </c>
      <c r="H854">
        <v>2</v>
      </c>
      <c r="I854">
        <v>1</v>
      </c>
      <c r="J854">
        <v>0.24</v>
      </c>
      <c r="K854">
        <v>0.19700000000000001</v>
      </c>
      <c r="L854">
        <v>0.56000000000000005</v>
      </c>
      <c r="M854">
        <v>0.49249999999999999</v>
      </c>
      <c r="N854">
        <v>7</v>
      </c>
      <c r="O854">
        <v>236</v>
      </c>
      <c r="P854">
        <v>243</v>
      </c>
      <c r="Q854" t="str">
        <f t="shared" si="52"/>
        <v>Weekday</v>
      </c>
      <c r="R854" t="str">
        <f t="shared" si="53"/>
        <v>High</v>
      </c>
      <c r="S854" s="10" t="str">
        <f t="shared" si="54"/>
        <v>Clear</v>
      </c>
      <c r="T854" s="10" t="str">
        <f t="shared" si="55"/>
        <v>Cold</v>
      </c>
    </row>
    <row r="855" spans="1:20" x14ac:dyDescent="0.3">
      <c r="A855">
        <v>863</v>
      </c>
      <c r="B855" t="s">
        <v>54</v>
      </c>
      <c r="C855">
        <v>1</v>
      </c>
      <c r="D855">
        <v>0</v>
      </c>
      <c r="E855">
        <v>2</v>
      </c>
      <c r="F855">
        <v>9</v>
      </c>
      <c r="G855" t="b">
        <v>0</v>
      </c>
      <c r="H855">
        <v>2</v>
      </c>
      <c r="I855">
        <v>1</v>
      </c>
      <c r="J855">
        <v>0.24</v>
      </c>
      <c r="K855">
        <v>0.19700000000000001</v>
      </c>
      <c r="L855">
        <v>0.52</v>
      </c>
      <c r="M855">
        <v>0.49249999999999999</v>
      </c>
      <c r="N855">
        <v>7</v>
      </c>
      <c r="O855">
        <v>128</v>
      </c>
      <c r="P855">
        <v>135</v>
      </c>
      <c r="Q855" t="str">
        <f t="shared" si="52"/>
        <v>Weekday</v>
      </c>
      <c r="R855" t="str">
        <f t="shared" si="53"/>
        <v>Medium</v>
      </c>
      <c r="S855" s="10" t="str">
        <f t="shared" si="54"/>
        <v>Clear</v>
      </c>
      <c r="T855" s="10" t="str">
        <f t="shared" si="55"/>
        <v>Cold</v>
      </c>
    </row>
    <row r="856" spans="1:20" x14ac:dyDescent="0.3">
      <c r="A856">
        <v>864</v>
      </c>
      <c r="B856" t="s">
        <v>54</v>
      </c>
      <c r="C856">
        <v>1</v>
      </c>
      <c r="D856">
        <v>0</v>
      </c>
      <c r="E856">
        <v>2</v>
      </c>
      <c r="F856">
        <v>10</v>
      </c>
      <c r="G856" t="b">
        <v>0</v>
      </c>
      <c r="H856">
        <v>2</v>
      </c>
      <c r="I856">
        <v>1</v>
      </c>
      <c r="J856">
        <v>0.22</v>
      </c>
      <c r="K856">
        <v>0.18179999999999999</v>
      </c>
      <c r="L856">
        <v>0.47</v>
      </c>
      <c r="M856">
        <v>0.55220000000000002</v>
      </c>
      <c r="N856">
        <v>4</v>
      </c>
      <c r="O856">
        <v>44</v>
      </c>
      <c r="P856">
        <v>48</v>
      </c>
      <c r="Q856" t="str">
        <f t="shared" si="52"/>
        <v>Weekday</v>
      </c>
      <c r="R856" t="str">
        <f t="shared" si="53"/>
        <v>Low</v>
      </c>
      <c r="S856" s="10" t="str">
        <f t="shared" si="54"/>
        <v>Clear</v>
      </c>
      <c r="T856" s="10" t="str">
        <f t="shared" si="55"/>
        <v>Cold</v>
      </c>
    </row>
    <row r="857" spans="1:20" x14ac:dyDescent="0.3">
      <c r="A857">
        <v>865</v>
      </c>
      <c r="B857" t="s">
        <v>54</v>
      </c>
      <c r="C857">
        <v>1</v>
      </c>
      <c r="D857">
        <v>0</v>
      </c>
      <c r="E857">
        <v>2</v>
      </c>
      <c r="F857">
        <v>11</v>
      </c>
      <c r="G857" t="b">
        <v>0</v>
      </c>
      <c r="H857">
        <v>2</v>
      </c>
      <c r="I857">
        <v>1</v>
      </c>
      <c r="J857">
        <v>0.22</v>
      </c>
      <c r="K857">
        <v>0.18179999999999999</v>
      </c>
      <c r="L857">
        <v>0.47</v>
      </c>
      <c r="M857">
        <v>0.4627</v>
      </c>
      <c r="N857">
        <v>1</v>
      </c>
      <c r="O857">
        <v>49</v>
      </c>
      <c r="P857">
        <v>50</v>
      </c>
      <c r="Q857" t="str">
        <f t="shared" si="52"/>
        <v>Weekday</v>
      </c>
      <c r="R857" t="str">
        <f t="shared" si="53"/>
        <v>Medium</v>
      </c>
      <c r="S857" s="10" t="str">
        <f t="shared" si="54"/>
        <v>Clear</v>
      </c>
      <c r="T857" s="10" t="str">
        <f t="shared" si="55"/>
        <v>Cold</v>
      </c>
    </row>
    <row r="858" spans="1:20" x14ac:dyDescent="0.3">
      <c r="A858">
        <v>866</v>
      </c>
      <c r="B858" t="s">
        <v>54</v>
      </c>
      <c r="C858">
        <v>1</v>
      </c>
      <c r="D858">
        <v>0</v>
      </c>
      <c r="E858">
        <v>2</v>
      </c>
      <c r="F858">
        <v>12</v>
      </c>
      <c r="G858" t="b">
        <v>0</v>
      </c>
      <c r="H858">
        <v>2</v>
      </c>
      <c r="I858">
        <v>1</v>
      </c>
      <c r="J858">
        <v>0.24</v>
      </c>
      <c r="K858">
        <v>0.19700000000000001</v>
      </c>
      <c r="L858">
        <v>0.38</v>
      </c>
      <c r="M858">
        <v>0.49249999999999999</v>
      </c>
      <c r="N858">
        <v>2</v>
      </c>
      <c r="O858">
        <v>63</v>
      </c>
      <c r="P858">
        <v>65</v>
      </c>
      <c r="Q858" t="str">
        <f t="shared" si="52"/>
        <v>Weekday</v>
      </c>
      <c r="R858" t="str">
        <f t="shared" si="53"/>
        <v>Medium</v>
      </c>
      <c r="S858" s="10" t="str">
        <f t="shared" si="54"/>
        <v>Clear</v>
      </c>
      <c r="T858" s="10" t="str">
        <f t="shared" si="55"/>
        <v>Cold</v>
      </c>
    </row>
    <row r="859" spans="1:20" x14ac:dyDescent="0.3">
      <c r="A859">
        <v>867</v>
      </c>
      <c r="B859" t="s">
        <v>54</v>
      </c>
      <c r="C859">
        <v>1</v>
      </c>
      <c r="D859">
        <v>0</v>
      </c>
      <c r="E859">
        <v>2</v>
      </c>
      <c r="F859">
        <v>13</v>
      </c>
      <c r="G859" t="b">
        <v>0</v>
      </c>
      <c r="H859">
        <v>2</v>
      </c>
      <c r="I859">
        <v>2</v>
      </c>
      <c r="J859">
        <v>0.24</v>
      </c>
      <c r="K859">
        <v>0.19700000000000001</v>
      </c>
      <c r="L859">
        <v>0.32</v>
      </c>
      <c r="M859">
        <v>0.44779999999999998</v>
      </c>
      <c r="N859">
        <v>2</v>
      </c>
      <c r="O859">
        <v>48</v>
      </c>
      <c r="P859">
        <v>50</v>
      </c>
      <c r="Q859" t="str">
        <f t="shared" si="52"/>
        <v>Weekday</v>
      </c>
      <c r="R859" t="str">
        <f t="shared" si="53"/>
        <v>Medium</v>
      </c>
      <c r="S859" s="10" t="str">
        <f t="shared" si="54"/>
        <v>Mist/Cloudy</v>
      </c>
      <c r="T859" s="10" t="str">
        <f t="shared" si="55"/>
        <v>Cold</v>
      </c>
    </row>
    <row r="860" spans="1:20" x14ac:dyDescent="0.3">
      <c r="A860">
        <v>868</v>
      </c>
      <c r="B860" t="s">
        <v>54</v>
      </c>
      <c r="C860">
        <v>1</v>
      </c>
      <c r="D860">
        <v>0</v>
      </c>
      <c r="E860">
        <v>2</v>
      </c>
      <c r="F860">
        <v>14</v>
      </c>
      <c r="G860" t="b">
        <v>0</v>
      </c>
      <c r="H860">
        <v>2</v>
      </c>
      <c r="I860">
        <v>1</v>
      </c>
      <c r="J860">
        <v>0.22</v>
      </c>
      <c r="K860">
        <v>0.19700000000000001</v>
      </c>
      <c r="L860">
        <v>0.37</v>
      </c>
      <c r="M860">
        <v>0.41789999999999999</v>
      </c>
      <c r="N860">
        <v>3</v>
      </c>
      <c r="O860">
        <v>61</v>
      </c>
      <c r="P860">
        <v>64</v>
      </c>
      <c r="Q860" t="str">
        <f t="shared" si="52"/>
        <v>Weekday</v>
      </c>
      <c r="R860" t="str">
        <f t="shared" si="53"/>
        <v>Medium</v>
      </c>
      <c r="S860" s="10" t="str">
        <f t="shared" si="54"/>
        <v>Clear</v>
      </c>
      <c r="T860" s="10" t="str">
        <f t="shared" si="55"/>
        <v>Cold</v>
      </c>
    </row>
    <row r="861" spans="1:20" x14ac:dyDescent="0.3">
      <c r="A861">
        <v>869</v>
      </c>
      <c r="B861" t="s">
        <v>54</v>
      </c>
      <c r="C861">
        <v>1</v>
      </c>
      <c r="D861">
        <v>0</v>
      </c>
      <c r="E861">
        <v>2</v>
      </c>
      <c r="F861">
        <v>15</v>
      </c>
      <c r="G861" t="b">
        <v>0</v>
      </c>
      <c r="H861">
        <v>2</v>
      </c>
      <c r="I861">
        <v>1</v>
      </c>
      <c r="J861">
        <v>0.22</v>
      </c>
      <c r="K861">
        <v>0.19700000000000001</v>
      </c>
      <c r="L861">
        <v>0.35</v>
      </c>
      <c r="M861">
        <v>0.3881</v>
      </c>
      <c r="N861">
        <v>6</v>
      </c>
      <c r="O861">
        <v>45</v>
      </c>
      <c r="P861">
        <v>51</v>
      </c>
      <c r="Q861" t="str">
        <f t="shared" si="52"/>
        <v>Weekday</v>
      </c>
      <c r="R861" t="str">
        <f t="shared" si="53"/>
        <v>Medium</v>
      </c>
      <c r="S861" s="10" t="str">
        <f t="shared" si="54"/>
        <v>Clear</v>
      </c>
      <c r="T861" s="10" t="str">
        <f t="shared" si="55"/>
        <v>Cold</v>
      </c>
    </row>
    <row r="862" spans="1:20" x14ac:dyDescent="0.3">
      <c r="A862">
        <v>870</v>
      </c>
      <c r="B862" t="s">
        <v>54</v>
      </c>
      <c r="C862">
        <v>1</v>
      </c>
      <c r="D862">
        <v>0</v>
      </c>
      <c r="E862">
        <v>2</v>
      </c>
      <c r="F862">
        <v>16</v>
      </c>
      <c r="G862" t="b">
        <v>0</v>
      </c>
      <c r="H862">
        <v>2</v>
      </c>
      <c r="I862">
        <v>1</v>
      </c>
      <c r="J862">
        <v>0.22</v>
      </c>
      <c r="K862">
        <v>0.18179999999999999</v>
      </c>
      <c r="L862">
        <v>0.35</v>
      </c>
      <c r="M862">
        <v>0.52239999999999998</v>
      </c>
      <c r="N862">
        <v>4</v>
      </c>
      <c r="O862">
        <v>79</v>
      </c>
      <c r="P862">
        <v>83</v>
      </c>
      <c r="Q862" t="str">
        <f t="shared" si="52"/>
        <v>Weekday</v>
      </c>
      <c r="R862" t="str">
        <f t="shared" si="53"/>
        <v>Medium</v>
      </c>
      <c r="S862" s="10" t="str">
        <f t="shared" si="54"/>
        <v>Clear</v>
      </c>
      <c r="T862" s="10" t="str">
        <f t="shared" si="55"/>
        <v>Cold</v>
      </c>
    </row>
    <row r="863" spans="1:20" x14ac:dyDescent="0.3">
      <c r="A863">
        <v>871</v>
      </c>
      <c r="B863" t="s">
        <v>54</v>
      </c>
      <c r="C863">
        <v>1</v>
      </c>
      <c r="D863">
        <v>0</v>
      </c>
      <c r="E863">
        <v>2</v>
      </c>
      <c r="F863">
        <v>17</v>
      </c>
      <c r="G863" t="b">
        <v>0</v>
      </c>
      <c r="H863">
        <v>2</v>
      </c>
      <c r="I863">
        <v>1</v>
      </c>
      <c r="J863">
        <v>0.22</v>
      </c>
      <c r="K863">
        <v>0.18179999999999999</v>
      </c>
      <c r="L863">
        <v>0.32</v>
      </c>
      <c r="M863">
        <v>0.58209999999999995</v>
      </c>
      <c r="N863">
        <v>4</v>
      </c>
      <c r="O863">
        <v>172</v>
      </c>
      <c r="P863">
        <v>176</v>
      </c>
      <c r="Q863" t="str">
        <f t="shared" si="52"/>
        <v>Weekday</v>
      </c>
      <c r="R863" t="str">
        <f t="shared" si="53"/>
        <v>High</v>
      </c>
      <c r="S863" s="10" t="str">
        <f t="shared" si="54"/>
        <v>Clear</v>
      </c>
      <c r="T863" s="10" t="str">
        <f t="shared" si="55"/>
        <v>Cold</v>
      </c>
    </row>
    <row r="864" spans="1:20" x14ac:dyDescent="0.3">
      <c r="A864">
        <v>872</v>
      </c>
      <c r="B864" t="s">
        <v>54</v>
      </c>
      <c r="C864">
        <v>1</v>
      </c>
      <c r="D864">
        <v>0</v>
      </c>
      <c r="E864">
        <v>2</v>
      </c>
      <c r="F864">
        <v>18</v>
      </c>
      <c r="G864" t="b">
        <v>0</v>
      </c>
      <c r="H864">
        <v>2</v>
      </c>
      <c r="I864">
        <v>1</v>
      </c>
      <c r="J864">
        <v>0.2</v>
      </c>
      <c r="K864">
        <v>0.18179999999999999</v>
      </c>
      <c r="L864">
        <v>0.32</v>
      </c>
      <c r="M864">
        <v>0.3881</v>
      </c>
      <c r="N864">
        <v>1</v>
      </c>
      <c r="O864">
        <v>151</v>
      </c>
      <c r="P864">
        <v>152</v>
      </c>
      <c r="Q864" t="str">
        <f t="shared" si="52"/>
        <v>Weekday</v>
      </c>
      <c r="R864" t="str">
        <f t="shared" si="53"/>
        <v>High</v>
      </c>
      <c r="S864" s="10" t="str">
        <f t="shared" si="54"/>
        <v>Clear</v>
      </c>
      <c r="T864" s="10" t="str">
        <f t="shared" si="55"/>
        <v>Cold</v>
      </c>
    </row>
    <row r="865" spans="1:20" x14ac:dyDescent="0.3">
      <c r="A865">
        <v>873</v>
      </c>
      <c r="B865" t="s">
        <v>54</v>
      </c>
      <c r="C865">
        <v>1</v>
      </c>
      <c r="D865">
        <v>0</v>
      </c>
      <c r="E865">
        <v>2</v>
      </c>
      <c r="F865">
        <v>19</v>
      </c>
      <c r="G865" t="b">
        <v>0</v>
      </c>
      <c r="H865">
        <v>2</v>
      </c>
      <c r="I865">
        <v>1</v>
      </c>
      <c r="J865">
        <v>0.16</v>
      </c>
      <c r="K865">
        <v>0.1212</v>
      </c>
      <c r="L865">
        <v>0.4</v>
      </c>
      <c r="M865">
        <v>0.4627</v>
      </c>
      <c r="N865">
        <v>1</v>
      </c>
      <c r="O865">
        <v>100</v>
      </c>
      <c r="P865">
        <v>101</v>
      </c>
      <c r="Q865" t="str">
        <f t="shared" si="52"/>
        <v>Weekday</v>
      </c>
      <c r="R865" t="str">
        <f t="shared" si="53"/>
        <v>Medium</v>
      </c>
      <c r="S865" s="10" t="str">
        <f t="shared" si="54"/>
        <v>Clear</v>
      </c>
      <c r="T865" s="10" t="str">
        <f t="shared" si="55"/>
        <v>Cold</v>
      </c>
    </row>
    <row r="866" spans="1:20" x14ac:dyDescent="0.3">
      <c r="A866">
        <v>874</v>
      </c>
      <c r="B866" t="s">
        <v>54</v>
      </c>
      <c r="C866">
        <v>1</v>
      </c>
      <c r="D866">
        <v>0</v>
      </c>
      <c r="E866">
        <v>2</v>
      </c>
      <c r="F866">
        <v>20</v>
      </c>
      <c r="G866" t="b">
        <v>0</v>
      </c>
      <c r="H866">
        <v>2</v>
      </c>
      <c r="I866">
        <v>1</v>
      </c>
      <c r="J866">
        <v>0.16</v>
      </c>
      <c r="K866">
        <v>0.13639999999999999</v>
      </c>
      <c r="L866">
        <v>0.4</v>
      </c>
      <c r="M866">
        <v>0.32840000000000003</v>
      </c>
      <c r="N866">
        <v>3</v>
      </c>
      <c r="O866">
        <v>53</v>
      </c>
      <c r="P866">
        <v>56</v>
      </c>
      <c r="Q866" t="str">
        <f t="shared" si="52"/>
        <v>Weekday</v>
      </c>
      <c r="R866" t="str">
        <f t="shared" si="53"/>
        <v>Medium</v>
      </c>
      <c r="S866" s="10" t="str">
        <f t="shared" si="54"/>
        <v>Clear</v>
      </c>
      <c r="T866" s="10" t="str">
        <f t="shared" si="55"/>
        <v>Cold</v>
      </c>
    </row>
    <row r="867" spans="1:20" x14ac:dyDescent="0.3">
      <c r="A867">
        <v>875</v>
      </c>
      <c r="B867" t="s">
        <v>54</v>
      </c>
      <c r="C867">
        <v>1</v>
      </c>
      <c r="D867">
        <v>0</v>
      </c>
      <c r="E867">
        <v>2</v>
      </c>
      <c r="F867">
        <v>21</v>
      </c>
      <c r="G867" t="b">
        <v>0</v>
      </c>
      <c r="H867">
        <v>2</v>
      </c>
      <c r="I867">
        <v>1</v>
      </c>
      <c r="J867">
        <v>0.14000000000000001</v>
      </c>
      <c r="K867">
        <v>0.1061</v>
      </c>
      <c r="L867">
        <v>0.33</v>
      </c>
      <c r="M867">
        <v>0.4627</v>
      </c>
      <c r="N867">
        <v>8</v>
      </c>
      <c r="O867">
        <v>46</v>
      </c>
      <c r="P867">
        <v>54</v>
      </c>
      <c r="Q867" t="str">
        <f t="shared" si="52"/>
        <v>Weekday</v>
      </c>
      <c r="R867" t="str">
        <f t="shared" si="53"/>
        <v>Medium</v>
      </c>
      <c r="S867" s="10" t="str">
        <f t="shared" si="54"/>
        <v>Clear</v>
      </c>
      <c r="T867" s="10" t="str">
        <f t="shared" si="55"/>
        <v>Cold</v>
      </c>
    </row>
    <row r="868" spans="1:20" x14ac:dyDescent="0.3">
      <c r="A868">
        <v>876</v>
      </c>
      <c r="B868" t="s">
        <v>54</v>
      </c>
      <c r="C868">
        <v>1</v>
      </c>
      <c r="D868">
        <v>0</v>
      </c>
      <c r="E868">
        <v>2</v>
      </c>
      <c r="F868">
        <v>22</v>
      </c>
      <c r="G868" t="b">
        <v>0</v>
      </c>
      <c r="H868">
        <v>2</v>
      </c>
      <c r="I868">
        <v>1</v>
      </c>
      <c r="J868">
        <v>0.12</v>
      </c>
      <c r="K868">
        <v>0.1061</v>
      </c>
      <c r="L868">
        <v>0.33</v>
      </c>
      <c r="M868">
        <v>0.35820000000000002</v>
      </c>
      <c r="N868">
        <v>0</v>
      </c>
      <c r="O868">
        <v>29</v>
      </c>
      <c r="P868">
        <v>29</v>
      </c>
      <c r="Q868" t="str">
        <f t="shared" si="52"/>
        <v>Weekday</v>
      </c>
      <c r="R868" t="str">
        <f t="shared" si="53"/>
        <v>Low</v>
      </c>
      <c r="S868" s="10" t="str">
        <f t="shared" si="54"/>
        <v>Clear</v>
      </c>
      <c r="T868" s="10" t="str">
        <f t="shared" si="55"/>
        <v>Cold</v>
      </c>
    </row>
    <row r="869" spans="1:20" x14ac:dyDescent="0.3">
      <c r="A869">
        <v>877</v>
      </c>
      <c r="B869" t="s">
        <v>54</v>
      </c>
      <c r="C869">
        <v>1</v>
      </c>
      <c r="D869">
        <v>0</v>
      </c>
      <c r="E869">
        <v>2</v>
      </c>
      <c r="F869">
        <v>23</v>
      </c>
      <c r="G869" t="b">
        <v>0</v>
      </c>
      <c r="H869">
        <v>2</v>
      </c>
      <c r="I869">
        <v>1</v>
      </c>
      <c r="J869">
        <v>0.12</v>
      </c>
      <c r="K869">
        <v>0.1061</v>
      </c>
      <c r="L869">
        <v>0.33</v>
      </c>
      <c r="M869">
        <v>0.32840000000000003</v>
      </c>
      <c r="N869">
        <v>3</v>
      </c>
      <c r="O869">
        <v>9</v>
      </c>
      <c r="P869">
        <v>12</v>
      </c>
      <c r="Q869" t="str">
        <f t="shared" si="52"/>
        <v>Weekday</v>
      </c>
      <c r="R869" t="str">
        <f t="shared" si="53"/>
        <v>Low</v>
      </c>
      <c r="S869" s="10" t="str">
        <f t="shared" si="54"/>
        <v>Clear</v>
      </c>
      <c r="T869" s="10" t="str">
        <f t="shared" si="55"/>
        <v>Cold</v>
      </c>
    </row>
    <row r="870" spans="1:20" x14ac:dyDescent="0.3">
      <c r="A870">
        <v>878</v>
      </c>
      <c r="B870" t="s">
        <v>55</v>
      </c>
      <c r="C870">
        <v>1</v>
      </c>
      <c r="D870">
        <v>0</v>
      </c>
      <c r="E870">
        <v>2</v>
      </c>
      <c r="F870">
        <v>0</v>
      </c>
      <c r="G870" t="b">
        <v>0</v>
      </c>
      <c r="H870">
        <v>3</v>
      </c>
      <c r="I870">
        <v>1</v>
      </c>
      <c r="J870">
        <v>0.1</v>
      </c>
      <c r="K870">
        <v>7.5800000000000006E-2</v>
      </c>
      <c r="L870">
        <v>0.36</v>
      </c>
      <c r="M870">
        <v>0.35820000000000002</v>
      </c>
      <c r="N870">
        <v>0</v>
      </c>
      <c r="O870">
        <v>17</v>
      </c>
      <c r="P870">
        <v>17</v>
      </c>
      <c r="Q870" t="str">
        <f t="shared" si="52"/>
        <v>Weekday</v>
      </c>
      <c r="R870" t="str">
        <f t="shared" si="53"/>
        <v>Low</v>
      </c>
      <c r="S870" s="10" t="str">
        <f t="shared" si="54"/>
        <v>Clear</v>
      </c>
      <c r="T870" s="10" t="str">
        <f t="shared" si="55"/>
        <v>Cold</v>
      </c>
    </row>
    <row r="871" spans="1:20" x14ac:dyDescent="0.3">
      <c r="A871">
        <v>879</v>
      </c>
      <c r="B871" t="s">
        <v>55</v>
      </c>
      <c r="C871">
        <v>1</v>
      </c>
      <c r="D871">
        <v>0</v>
      </c>
      <c r="E871">
        <v>2</v>
      </c>
      <c r="F871">
        <v>1</v>
      </c>
      <c r="G871" t="b">
        <v>0</v>
      </c>
      <c r="H871">
        <v>3</v>
      </c>
      <c r="I871">
        <v>1</v>
      </c>
      <c r="J871">
        <v>0.1</v>
      </c>
      <c r="K871">
        <v>0.1061</v>
      </c>
      <c r="L871">
        <v>0.36</v>
      </c>
      <c r="M871">
        <v>0.22389999999999999</v>
      </c>
      <c r="N871">
        <v>0</v>
      </c>
      <c r="O871">
        <v>7</v>
      </c>
      <c r="P871">
        <v>7</v>
      </c>
      <c r="Q871" t="str">
        <f t="shared" si="52"/>
        <v>Weekday</v>
      </c>
      <c r="R871" t="str">
        <f t="shared" si="53"/>
        <v>Low</v>
      </c>
      <c r="S871" s="10" t="str">
        <f t="shared" si="54"/>
        <v>Clear</v>
      </c>
      <c r="T871" s="10" t="str">
        <f t="shared" si="55"/>
        <v>Cold</v>
      </c>
    </row>
    <row r="872" spans="1:20" x14ac:dyDescent="0.3">
      <c r="A872">
        <v>880</v>
      </c>
      <c r="B872" t="s">
        <v>55</v>
      </c>
      <c r="C872">
        <v>1</v>
      </c>
      <c r="D872">
        <v>0</v>
      </c>
      <c r="E872">
        <v>2</v>
      </c>
      <c r="F872">
        <v>2</v>
      </c>
      <c r="G872" t="b">
        <v>0</v>
      </c>
      <c r="H872">
        <v>3</v>
      </c>
      <c r="I872">
        <v>1</v>
      </c>
      <c r="J872">
        <v>0.08</v>
      </c>
      <c r="K872">
        <v>7.5800000000000006E-2</v>
      </c>
      <c r="L872">
        <v>0.38</v>
      </c>
      <c r="M872">
        <v>0.28360000000000002</v>
      </c>
      <c r="N872">
        <v>1</v>
      </c>
      <c r="O872">
        <v>2</v>
      </c>
      <c r="P872">
        <v>3</v>
      </c>
      <c r="Q872" t="str">
        <f t="shared" si="52"/>
        <v>Weekday</v>
      </c>
      <c r="R872" t="str">
        <f t="shared" si="53"/>
        <v>Low</v>
      </c>
      <c r="S872" s="10" t="str">
        <f t="shared" si="54"/>
        <v>Clear</v>
      </c>
      <c r="T872" s="10" t="str">
        <f t="shared" si="55"/>
        <v>Cold</v>
      </c>
    </row>
    <row r="873" spans="1:20" x14ac:dyDescent="0.3">
      <c r="A873">
        <v>881</v>
      </c>
      <c r="B873" t="s">
        <v>55</v>
      </c>
      <c r="C873">
        <v>1</v>
      </c>
      <c r="D873">
        <v>0</v>
      </c>
      <c r="E873">
        <v>2</v>
      </c>
      <c r="F873">
        <v>3</v>
      </c>
      <c r="G873" t="b">
        <v>0</v>
      </c>
      <c r="H873">
        <v>3</v>
      </c>
      <c r="I873">
        <v>1</v>
      </c>
      <c r="J873">
        <v>0.06</v>
      </c>
      <c r="K873">
        <v>7.5800000000000006E-2</v>
      </c>
      <c r="L873">
        <v>0.45</v>
      </c>
      <c r="M873">
        <v>0.1343</v>
      </c>
      <c r="N873">
        <v>0</v>
      </c>
      <c r="O873">
        <v>2</v>
      </c>
      <c r="P873">
        <v>2</v>
      </c>
      <c r="Q873" t="str">
        <f t="shared" si="52"/>
        <v>Weekday</v>
      </c>
      <c r="R873" t="str">
        <f t="shared" si="53"/>
        <v>Low</v>
      </c>
      <c r="S873" s="10" t="str">
        <f t="shared" si="54"/>
        <v>Clear</v>
      </c>
      <c r="T873" s="10" t="str">
        <f t="shared" si="55"/>
        <v>Cold</v>
      </c>
    </row>
    <row r="874" spans="1:20" x14ac:dyDescent="0.3">
      <c r="A874">
        <v>882</v>
      </c>
      <c r="B874" t="s">
        <v>55</v>
      </c>
      <c r="C874">
        <v>1</v>
      </c>
      <c r="D874">
        <v>0</v>
      </c>
      <c r="E874">
        <v>2</v>
      </c>
      <c r="F874">
        <v>5</v>
      </c>
      <c r="G874" t="b">
        <v>0</v>
      </c>
      <c r="H874">
        <v>3</v>
      </c>
      <c r="I874">
        <v>1</v>
      </c>
      <c r="J874">
        <v>0.06</v>
      </c>
      <c r="K874">
        <v>0.1061</v>
      </c>
      <c r="L874">
        <v>0.45</v>
      </c>
      <c r="M874">
        <v>0.1045</v>
      </c>
      <c r="N874">
        <v>0</v>
      </c>
      <c r="O874">
        <v>7</v>
      </c>
      <c r="P874">
        <v>7</v>
      </c>
      <c r="Q874" t="str">
        <f t="shared" si="52"/>
        <v>Weekday</v>
      </c>
      <c r="R874" t="str">
        <f t="shared" si="53"/>
        <v>Low</v>
      </c>
      <c r="S874" s="10" t="str">
        <f t="shared" si="54"/>
        <v>Clear</v>
      </c>
      <c r="T874" s="10" t="str">
        <f t="shared" si="55"/>
        <v>Cold</v>
      </c>
    </row>
    <row r="875" spans="1:20" x14ac:dyDescent="0.3">
      <c r="A875">
        <v>883</v>
      </c>
      <c r="B875" t="s">
        <v>55</v>
      </c>
      <c r="C875">
        <v>1</v>
      </c>
      <c r="D875">
        <v>0</v>
      </c>
      <c r="E875">
        <v>2</v>
      </c>
      <c r="F875">
        <v>6</v>
      </c>
      <c r="G875" t="b">
        <v>0</v>
      </c>
      <c r="H875">
        <v>3</v>
      </c>
      <c r="I875">
        <v>1</v>
      </c>
      <c r="J875">
        <v>0.06</v>
      </c>
      <c r="K875">
        <v>0.1515</v>
      </c>
      <c r="L875">
        <v>0.45</v>
      </c>
      <c r="M875">
        <v>0</v>
      </c>
      <c r="N875">
        <v>0</v>
      </c>
      <c r="O875">
        <v>43</v>
      </c>
      <c r="P875">
        <v>43</v>
      </c>
      <c r="Q875" t="str">
        <f t="shared" si="52"/>
        <v>Weekday</v>
      </c>
      <c r="R875" t="str">
        <f t="shared" si="53"/>
        <v>Low</v>
      </c>
      <c r="S875" s="10" t="str">
        <f t="shared" si="54"/>
        <v>Clear</v>
      </c>
      <c r="T875" s="10" t="str">
        <f t="shared" si="55"/>
        <v>Cold</v>
      </c>
    </row>
    <row r="876" spans="1:20" x14ac:dyDescent="0.3">
      <c r="A876">
        <v>884</v>
      </c>
      <c r="B876" t="s">
        <v>55</v>
      </c>
      <c r="C876">
        <v>1</v>
      </c>
      <c r="D876">
        <v>0</v>
      </c>
      <c r="E876">
        <v>2</v>
      </c>
      <c r="F876">
        <v>7</v>
      </c>
      <c r="G876" t="b">
        <v>0</v>
      </c>
      <c r="H876">
        <v>3</v>
      </c>
      <c r="I876">
        <v>1</v>
      </c>
      <c r="J876">
        <v>0.06</v>
      </c>
      <c r="K876">
        <v>0.1061</v>
      </c>
      <c r="L876">
        <v>0.49</v>
      </c>
      <c r="M876">
        <v>0.1045</v>
      </c>
      <c r="N876">
        <v>4</v>
      </c>
      <c r="O876">
        <v>95</v>
      </c>
      <c r="P876">
        <v>99</v>
      </c>
      <c r="Q876" t="str">
        <f t="shared" si="52"/>
        <v>Weekday</v>
      </c>
      <c r="R876" t="str">
        <f t="shared" si="53"/>
        <v>Medium</v>
      </c>
      <c r="S876" s="10" t="str">
        <f t="shared" si="54"/>
        <v>Clear</v>
      </c>
      <c r="T876" s="10" t="str">
        <f t="shared" si="55"/>
        <v>Cold</v>
      </c>
    </row>
    <row r="877" spans="1:20" x14ac:dyDescent="0.3">
      <c r="A877">
        <v>885</v>
      </c>
      <c r="B877" t="s">
        <v>55</v>
      </c>
      <c r="C877">
        <v>1</v>
      </c>
      <c r="D877">
        <v>0</v>
      </c>
      <c r="E877">
        <v>2</v>
      </c>
      <c r="F877">
        <v>8</v>
      </c>
      <c r="G877" t="b">
        <v>0</v>
      </c>
      <c r="H877">
        <v>3</v>
      </c>
      <c r="I877">
        <v>1</v>
      </c>
      <c r="J877">
        <v>0.1</v>
      </c>
      <c r="K877">
        <v>0.13639999999999999</v>
      </c>
      <c r="L877">
        <v>0.42</v>
      </c>
      <c r="M877">
        <v>0</v>
      </c>
      <c r="N877">
        <v>1</v>
      </c>
      <c r="O877">
        <v>198</v>
      </c>
      <c r="P877">
        <v>199</v>
      </c>
      <c r="Q877" t="str">
        <f t="shared" si="52"/>
        <v>Weekday</v>
      </c>
      <c r="R877" t="str">
        <f t="shared" si="53"/>
        <v>High</v>
      </c>
      <c r="S877" s="10" t="str">
        <f t="shared" si="54"/>
        <v>Clear</v>
      </c>
      <c r="T877" s="10" t="str">
        <f t="shared" si="55"/>
        <v>Cold</v>
      </c>
    </row>
    <row r="878" spans="1:20" x14ac:dyDescent="0.3">
      <c r="A878">
        <v>886</v>
      </c>
      <c r="B878" t="s">
        <v>55</v>
      </c>
      <c r="C878">
        <v>1</v>
      </c>
      <c r="D878">
        <v>0</v>
      </c>
      <c r="E878">
        <v>2</v>
      </c>
      <c r="F878">
        <v>9</v>
      </c>
      <c r="G878" t="b">
        <v>0</v>
      </c>
      <c r="H878">
        <v>3</v>
      </c>
      <c r="I878">
        <v>1</v>
      </c>
      <c r="J878">
        <v>0.12</v>
      </c>
      <c r="K878">
        <v>0.13639999999999999</v>
      </c>
      <c r="L878">
        <v>0.39</v>
      </c>
      <c r="M878">
        <v>0.16420000000000001</v>
      </c>
      <c r="N878">
        <v>4</v>
      </c>
      <c r="O878">
        <v>119</v>
      </c>
      <c r="P878">
        <v>123</v>
      </c>
      <c r="Q878" t="str">
        <f t="shared" si="52"/>
        <v>Weekday</v>
      </c>
      <c r="R878" t="str">
        <f t="shared" si="53"/>
        <v>Medium</v>
      </c>
      <c r="S878" s="10" t="str">
        <f t="shared" si="54"/>
        <v>Clear</v>
      </c>
      <c r="T878" s="10" t="str">
        <f t="shared" si="55"/>
        <v>Cold</v>
      </c>
    </row>
    <row r="879" spans="1:20" x14ac:dyDescent="0.3">
      <c r="A879">
        <v>887</v>
      </c>
      <c r="B879" t="s">
        <v>55</v>
      </c>
      <c r="C879">
        <v>1</v>
      </c>
      <c r="D879">
        <v>0</v>
      </c>
      <c r="E879">
        <v>2</v>
      </c>
      <c r="F879">
        <v>10</v>
      </c>
      <c r="G879" t="b">
        <v>0</v>
      </c>
      <c r="H879">
        <v>3</v>
      </c>
      <c r="I879">
        <v>1</v>
      </c>
      <c r="J879">
        <v>0.14000000000000001</v>
      </c>
      <c r="K879">
        <v>0.18179999999999999</v>
      </c>
      <c r="L879">
        <v>0.36</v>
      </c>
      <c r="M879">
        <v>0</v>
      </c>
      <c r="N879">
        <v>8</v>
      </c>
      <c r="O879">
        <v>51</v>
      </c>
      <c r="P879">
        <v>59</v>
      </c>
      <c r="Q879" t="str">
        <f t="shared" si="52"/>
        <v>Weekday</v>
      </c>
      <c r="R879" t="str">
        <f t="shared" si="53"/>
        <v>Medium</v>
      </c>
      <c r="S879" s="10" t="str">
        <f t="shared" si="54"/>
        <v>Clear</v>
      </c>
      <c r="T879" s="10" t="str">
        <f t="shared" si="55"/>
        <v>Cold</v>
      </c>
    </row>
    <row r="880" spans="1:20" x14ac:dyDescent="0.3">
      <c r="A880">
        <v>888</v>
      </c>
      <c r="B880" t="s">
        <v>55</v>
      </c>
      <c r="C880">
        <v>1</v>
      </c>
      <c r="D880">
        <v>0</v>
      </c>
      <c r="E880">
        <v>2</v>
      </c>
      <c r="F880">
        <v>11</v>
      </c>
      <c r="G880" t="b">
        <v>0</v>
      </c>
      <c r="H880">
        <v>3</v>
      </c>
      <c r="I880">
        <v>2</v>
      </c>
      <c r="J880">
        <v>0.14000000000000001</v>
      </c>
      <c r="K880">
        <v>0.1515</v>
      </c>
      <c r="L880">
        <v>0.43</v>
      </c>
      <c r="M880">
        <v>0.16420000000000001</v>
      </c>
      <c r="N880">
        <v>1</v>
      </c>
      <c r="O880">
        <v>40</v>
      </c>
      <c r="P880">
        <v>41</v>
      </c>
      <c r="Q880" t="str">
        <f t="shared" si="52"/>
        <v>Weekday</v>
      </c>
      <c r="R880" t="str">
        <f t="shared" si="53"/>
        <v>Low</v>
      </c>
      <c r="S880" s="10" t="str">
        <f t="shared" si="54"/>
        <v>Mist/Cloudy</v>
      </c>
      <c r="T880" s="10" t="str">
        <f t="shared" si="55"/>
        <v>Cold</v>
      </c>
    </row>
    <row r="881" spans="1:20" x14ac:dyDescent="0.3">
      <c r="A881">
        <v>889</v>
      </c>
      <c r="B881" t="s">
        <v>55</v>
      </c>
      <c r="C881">
        <v>1</v>
      </c>
      <c r="D881">
        <v>0</v>
      </c>
      <c r="E881">
        <v>2</v>
      </c>
      <c r="F881">
        <v>12</v>
      </c>
      <c r="G881" t="b">
        <v>0</v>
      </c>
      <c r="H881">
        <v>3</v>
      </c>
      <c r="I881">
        <v>2</v>
      </c>
      <c r="J881">
        <v>0.18</v>
      </c>
      <c r="K881">
        <v>0.18179999999999999</v>
      </c>
      <c r="L881">
        <v>0.4</v>
      </c>
      <c r="M881">
        <v>0.22389999999999999</v>
      </c>
      <c r="N881">
        <v>4</v>
      </c>
      <c r="O881">
        <v>57</v>
      </c>
      <c r="P881">
        <v>61</v>
      </c>
      <c r="Q881" t="str">
        <f t="shared" si="52"/>
        <v>Weekday</v>
      </c>
      <c r="R881" t="str">
        <f t="shared" si="53"/>
        <v>Medium</v>
      </c>
      <c r="S881" s="10" t="str">
        <f t="shared" si="54"/>
        <v>Mist/Cloudy</v>
      </c>
      <c r="T881" s="10" t="str">
        <f t="shared" si="55"/>
        <v>Cold</v>
      </c>
    </row>
    <row r="882" spans="1:20" x14ac:dyDescent="0.3">
      <c r="A882">
        <v>890</v>
      </c>
      <c r="B882" t="s">
        <v>55</v>
      </c>
      <c r="C882">
        <v>1</v>
      </c>
      <c r="D882">
        <v>0</v>
      </c>
      <c r="E882">
        <v>2</v>
      </c>
      <c r="F882">
        <v>13</v>
      </c>
      <c r="G882" t="b">
        <v>0</v>
      </c>
      <c r="H882">
        <v>3</v>
      </c>
      <c r="I882">
        <v>1</v>
      </c>
      <c r="J882">
        <v>0.18</v>
      </c>
      <c r="K882">
        <v>0.16669999999999999</v>
      </c>
      <c r="L882">
        <v>0.4</v>
      </c>
      <c r="M882">
        <v>0.25369999999999998</v>
      </c>
      <c r="N882">
        <v>2</v>
      </c>
      <c r="O882">
        <v>67</v>
      </c>
      <c r="P882">
        <v>69</v>
      </c>
      <c r="Q882" t="str">
        <f t="shared" si="52"/>
        <v>Weekday</v>
      </c>
      <c r="R882" t="str">
        <f t="shared" si="53"/>
        <v>Medium</v>
      </c>
      <c r="S882" s="10" t="str">
        <f t="shared" si="54"/>
        <v>Clear</v>
      </c>
      <c r="T882" s="10" t="str">
        <f t="shared" si="55"/>
        <v>Cold</v>
      </c>
    </row>
    <row r="883" spans="1:20" x14ac:dyDescent="0.3">
      <c r="A883">
        <v>891</v>
      </c>
      <c r="B883" t="s">
        <v>55</v>
      </c>
      <c r="C883">
        <v>1</v>
      </c>
      <c r="D883">
        <v>0</v>
      </c>
      <c r="E883">
        <v>2</v>
      </c>
      <c r="F883">
        <v>14</v>
      </c>
      <c r="G883" t="b">
        <v>0</v>
      </c>
      <c r="H883">
        <v>3</v>
      </c>
      <c r="I883">
        <v>1</v>
      </c>
      <c r="J883">
        <v>0.2</v>
      </c>
      <c r="K883">
        <v>0.18179999999999999</v>
      </c>
      <c r="L883">
        <v>0.34</v>
      </c>
      <c r="M883">
        <v>0.29849999999999999</v>
      </c>
      <c r="N883">
        <v>2</v>
      </c>
      <c r="O883">
        <v>56</v>
      </c>
      <c r="P883">
        <v>58</v>
      </c>
      <c r="Q883" t="str">
        <f t="shared" si="52"/>
        <v>Weekday</v>
      </c>
      <c r="R883" t="str">
        <f t="shared" si="53"/>
        <v>Medium</v>
      </c>
      <c r="S883" s="10" t="str">
        <f t="shared" si="54"/>
        <v>Clear</v>
      </c>
      <c r="T883" s="10" t="str">
        <f t="shared" si="55"/>
        <v>Cold</v>
      </c>
    </row>
    <row r="884" spans="1:20" x14ac:dyDescent="0.3">
      <c r="A884">
        <v>892</v>
      </c>
      <c r="B884" t="s">
        <v>55</v>
      </c>
      <c r="C884">
        <v>1</v>
      </c>
      <c r="D884">
        <v>0</v>
      </c>
      <c r="E884">
        <v>2</v>
      </c>
      <c r="F884">
        <v>15</v>
      </c>
      <c r="G884" t="b">
        <v>0</v>
      </c>
      <c r="H884">
        <v>3</v>
      </c>
      <c r="I884">
        <v>2</v>
      </c>
      <c r="J884">
        <v>0.2</v>
      </c>
      <c r="K884">
        <v>0.18179999999999999</v>
      </c>
      <c r="L884">
        <v>0.34</v>
      </c>
      <c r="M884">
        <v>0.28360000000000002</v>
      </c>
      <c r="N884">
        <v>3</v>
      </c>
      <c r="O884">
        <v>61</v>
      </c>
      <c r="P884">
        <v>64</v>
      </c>
      <c r="Q884" t="str">
        <f t="shared" si="52"/>
        <v>Weekday</v>
      </c>
      <c r="R884" t="str">
        <f t="shared" si="53"/>
        <v>Medium</v>
      </c>
      <c r="S884" s="10" t="str">
        <f t="shared" si="54"/>
        <v>Mist/Cloudy</v>
      </c>
      <c r="T884" s="10" t="str">
        <f t="shared" si="55"/>
        <v>Cold</v>
      </c>
    </row>
    <row r="885" spans="1:20" x14ac:dyDescent="0.3">
      <c r="A885">
        <v>893</v>
      </c>
      <c r="B885" t="s">
        <v>55</v>
      </c>
      <c r="C885">
        <v>1</v>
      </c>
      <c r="D885">
        <v>0</v>
      </c>
      <c r="E885">
        <v>2</v>
      </c>
      <c r="F885">
        <v>16</v>
      </c>
      <c r="G885" t="b">
        <v>0</v>
      </c>
      <c r="H885">
        <v>3</v>
      </c>
      <c r="I885">
        <v>2</v>
      </c>
      <c r="J885">
        <v>0.2</v>
      </c>
      <c r="K885">
        <v>0.19700000000000001</v>
      </c>
      <c r="L885">
        <v>0.37</v>
      </c>
      <c r="M885">
        <v>0.25369999999999998</v>
      </c>
      <c r="N885">
        <v>7</v>
      </c>
      <c r="O885">
        <v>72</v>
      </c>
      <c r="P885">
        <v>79</v>
      </c>
      <c r="Q885" t="str">
        <f t="shared" si="52"/>
        <v>Weekday</v>
      </c>
      <c r="R885" t="str">
        <f t="shared" si="53"/>
        <v>Medium</v>
      </c>
      <c r="S885" s="10" t="str">
        <f t="shared" si="54"/>
        <v>Mist/Cloudy</v>
      </c>
      <c r="T885" s="10" t="str">
        <f t="shared" si="55"/>
        <v>Cold</v>
      </c>
    </row>
    <row r="886" spans="1:20" x14ac:dyDescent="0.3">
      <c r="A886">
        <v>894</v>
      </c>
      <c r="B886" t="s">
        <v>55</v>
      </c>
      <c r="C886">
        <v>1</v>
      </c>
      <c r="D886">
        <v>0</v>
      </c>
      <c r="E886">
        <v>2</v>
      </c>
      <c r="F886">
        <v>17</v>
      </c>
      <c r="G886" t="b">
        <v>0</v>
      </c>
      <c r="H886">
        <v>3</v>
      </c>
      <c r="I886">
        <v>2</v>
      </c>
      <c r="J886">
        <v>0.2</v>
      </c>
      <c r="K886">
        <v>0.19700000000000001</v>
      </c>
      <c r="L886">
        <v>0.34</v>
      </c>
      <c r="M886">
        <v>0.25369999999999998</v>
      </c>
      <c r="N886">
        <v>9</v>
      </c>
      <c r="O886">
        <v>157</v>
      </c>
      <c r="P886">
        <v>166</v>
      </c>
      <c r="Q886" t="str">
        <f t="shared" si="52"/>
        <v>Weekday</v>
      </c>
      <c r="R886" t="str">
        <f t="shared" si="53"/>
        <v>High</v>
      </c>
      <c r="S886" s="10" t="str">
        <f t="shared" si="54"/>
        <v>Mist/Cloudy</v>
      </c>
      <c r="T886" s="10" t="str">
        <f t="shared" si="55"/>
        <v>Cold</v>
      </c>
    </row>
    <row r="887" spans="1:20" x14ac:dyDescent="0.3">
      <c r="A887">
        <v>895</v>
      </c>
      <c r="B887" t="s">
        <v>55</v>
      </c>
      <c r="C887">
        <v>1</v>
      </c>
      <c r="D887">
        <v>0</v>
      </c>
      <c r="E887">
        <v>2</v>
      </c>
      <c r="F887">
        <v>18</v>
      </c>
      <c r="G887" t="b">
        <v>0</v>
      </c>
      <c r="H887">
        <v>3</v>
      </c>
      <c r="I887">
        <v>2</v>
      </c>
      <c r="J887">
        <v>0.18</v>
      </c>
      <c r="K887">
        <v>0.16669999999999999</v>
      </c>
      <c r="L887">
        <v>0.47</v>
      </c>
      <c r="M887">
        <v>0.29849999999999999</v>
      </c>
      <c r="N887">
        <v>2</v>
      </c>
      <c r="O887">
        <v>168</v>
      </c>
      <c r="P887">
        <v>170</v>
      </c>
      <c r="Q887" t="str">
        <f t="shared" si="52"/>
        <v>Weekday</v>
      </c>
      <c r="R887" t="str">
        <f t="shared" si="53"/>
        <v>High</v>
      </c>
      <c r="S887" s="10" t="str">
        <f t="shared" si="54"/>
        <v>Mist/Cloudy</v>
      </c>
      <c r="T887" s="10" t="str">
        <f t="shared" si="55"/>
        <v>Cold</v>
      </c>
    </row>
    <row r="888" spans="1:20" x14ac:dyDescent="0.3">
      <c r="A888">
        <v>896</v>
      </c>
      <c r="B888" t="s">
        <v>55</v>
      </c>
      <c r="C888">
        <v>1</v>
      </c>
      <c r="D888">
        <v>0</v>
      </c>
      <c r="E888">
        <v>2</v>
      </c>
      <c r="F888">
        <v>19</v>
      </c>
      <c r="G888" t="b">
        <v>0</v>
      </c>
      <c r="H888">
        <v>3</v>
      </c>
      <c r="I888">
        <v>3</v>
      </c>
      <c r="J888">
        <v>0.14000000000000001</v>
      </c>
      <c r="K888">
        <v>0.1212</v>
      </c>
      <c r="L888">
        <v>0.86</v>
      </c>
      <c r="M888">
        <v>0.25369999999999998</v>
      </c>
      <c r="N888">
        <v>1</v>
      </c>
      <c r="O888">
        <v>87</v>
      </c>
      <c r="P888">
        <v>88</v>
      </c>
      <c r="Q888" t="str">
        <f t="shared" si="52"/>
        <v>Weekday</v>
      </c>
      <c r="R888" t="str">
        <f t="shared" si="53"/>
        <v>Medium</v>
      </c>
      <c r="S888" s="10" t="str">
        <f t="shared" si="54"/>
        <v>Light Rain/Snow</v>
      </c>
      <c r="T888" s="10" t="str">
        <f t="shared" si="55"/>
        <v>Cold</v>
      </c>
    </row>
    <row r="889" spans="1:20" x14ac:dyDescent="0.3">
      <c r="A889">
        <v>897</v>
      </c>
      <c r="B889" t="s">
        <v>55</v>
      </c>
      <c r="C889">
        <v>1</v>
      </c>
      <c r="D889">
        <v>0</v>
      </c>
      <c r="E889">
        <v>2</v>
      </c>
      <c r="F889">
        <v>20</v>
      </c>
      <c r="G889" t="b">
        <v>0</v>
      </c>
      <c r="H889">
        <v>3</v>
      </c>
      <c r="I889">
        <v>3</v>
      </c>
      <c r="J889">
        <v>0.14000000000000001</v>
      </c>
      <c r="K889">
        <v>0.1515</v>
      </c>
      <c r="L889">
        <v>0.86</v>
      </c>
      <c r="M889">
        <v>0.16420000000000001</v>
      </c>
      <c r="N889">
        <v>0</v>
      </c>
      <c r="O889">
        <v>84</v>
      </c>
      <c r="P889">
        <v>84</v>
      </c>
      <c r="Q889" t="str">
        <f t="shared" si="52"/>
        <v>Weekday</v>
      </c>
      <c r="R889" t="str">
        <f t="shared" si="53"/>
        <v>Medium</v>
      </c>
      <c r="S889" s="10" t="str">
        <f t="shared" si="54"/>
        <v>Light Rain/Snow</v>
      </c>
      <c r="T889" s="10" t="str">
        <f t="shared" si="55"/>
        <v>Cold</v>
      </c>
    </row>
    <row r="890" spans="1:20" x14ac:dyDescent="0.3">
      <c r="A890">
        <v>898</v>
      </c>
      <c r="B890" t="s">
        <v>55</v>
      </c>
      <c r="C890">
        <v>1</v>
      </c>
      <c r="D890">
        <v>0</v>
      </c>
      <c r="E890">
        <v>2</v>
      </c>
      <c r="F890">
        <v>21</v>
      </c>
      <c r="G890" t="b">
        <v>0</v>
      </c>
      <c r="H890">
        <v>3</v>
      </c>
      <c r="I890">
        <v>2</v>
      </c>
      <c r="J890">
        <v>0.14000000000000001</v>
      </c>
      <c r="K890">
        <v>0.1515</v>
      </c>
      <c r="L890">
        <v>0.86</v>
      </c>
      <c r="M890">
        <v>0.16420000000000001</v>
      </c>
      <c r="N890">
        <v>0</v>
      </c>
      <c r="O890">
        <v>83</v>
      </c>
      <c r="P890">
        <v>83</v>
      </c>
      <c r="Q890" t="str">
        <f t="shared" si="52"/>
        <v>Weekday</v>
      </c>
      <c r="R890" t="str">
        <f t="shared" si="53"/>
        <v>Medium</v>
      </c>
      <c r="S890" s="10" t="str">
        <f t="shared" si="54"/>
        <v>Mist/Cloudy</v>
      </c>
      <c r="T890" s="10" t="str">
        <f t="shared" si="55"/>
        <v>Cold</v>
      </c>
    </row>
    <row r="891" spans="1:20" x14ac:dyDescent="0.3">
      <c r="A891">
        <v>899</v>
      </c>
      <c r="B891" t="s">
        <v>55</v>
      </c>
      <c r="C891">
        <v>1</v>
      </c>
      <c r="D891">
        <v>0</v>
      </c>
      <c r="E891">
        <v>2</v>
      </c>
      <c r="F891">
        <v>22</v>
      </c>
      <c r="G891" t="b">
        <v>0</v>
      </c>
      <c r="H891">
        <v>3</v>
      </c>
      <c r="I891">
        <v>3</v>
      </c>
      <c r="J891">
        <v>0.16</v>
      </c>
      <c r="K891">
        <v>0.16669999999999999</v>
      </c>
      <c r="L891">
        <v>0.8</v>
      </c>
      <c r="M891">
        <v>0.16420000000000001</v>
      </c>
      <c r="N891">
        <v>4</v>
      </c>
      <c r="O891">
        <v>42</v>
      </c>
      <c r="P891">
        <v>46</v>
      </c>
      <c r="Q891" t="str">
        <f t="shared" si="52"/>
        <v>Weekday</v>
      </c>
      <c r="R891" t="str">
        <f t="shared" si="53"/>
        <v>Low</v>
      </c>
      <c r="S891" s="10" t="str">
        <f t="shared" si="54"/>
        <v>Light Rain/Snow</v>
      </c>
      <c r="T891" s="10" t="str">
        <f t="shared" si="55"/>
        <v>Cold</v>
      </c>
    </row>
    <row r="892" spans="1:20" x14ac:dyDescent="0.3">
      <c r="A892">
        <v>900</v>
      </c>
      <c r="B892" t="s">
        <v>55</v>
      </c>
      <c r="C892">
        <v>1</v>
      </c>
      <c r="D892">
        <v>0</v>
      </c>
      <c r="E892">
        <v>2</v>
      </c>
      <c r="F892">
        <v>23</v>
      </c>
      <c r="G892" t="b">
        <v>0</v>
      </c>
      <c r="H892">
        <v>3</v>
      </c>
      <c r="I892">
        <v>3</v>
      </c>
      <c r="J892">
        <v>0.16</v>
      </c>
      <c r="K892">
        <v>0.1515</v>
      </c>
      <c r="L892">
        <v>0.8</v>
      </c>
      <c r="M892">
        <v>0.19400000000000001</v>
      </c>
      <c r="N892">
        <v>0</v>
      </c>
      <c r="O892">
        <v>37</v>
      </c>
      <c r="P892">
        <v>37</v>
      </c>
      <c r="Q892" t="str">
        <f t="shared" si="52"/>
        <v>Weekday</v>
      </c>
      <c r="R892" t="str">
        <f t="shared" si="53"/>
        <v>Low</v>
      </c>
      <c r="S892" s="10" t="str">
        <f t="shared" si="54"/>
        <v>Light Rain/Snow</v>
      </c>
      <c r="T892" s="10" t="str">
        <f t="shared" si="55"/>
        <v>Cold</v>
      </c>
    </row>
    <row r="893" spans="1:20" x14ac:dyDescent="0.3">
      <c r="A893">
        <v>901</v>
      </c>
      <c r="B893" t="s">
        <v>56</v>
      </c>
      <c r="C893">
        <v>1</v>
      </c>
      <c r="D893">
        <v>0</v>
      </c>
      <c r="E893">
        <v>2</v>
      </c>
      <c r="F893">
        <v>0</v>
      </c>
      <c r="G893" t="b">
        <v>0</v>
      </c>
      <c r="H893">
        <v>4</v>
      </c>
      <c r="I893">
        <v>3</v>
      </c>
      <c r="J893">
        <v>0.14000000000000001</v>
      </c>
      <c r="K893">
        <v>0.13639999999999999</v>
      </c>
      <c r="L893">
        <v>0.86</v>
      </c>
      <c r="M893">
        <v>0.19400000000000001</v>
      </c>
      <c r="N893">
        <v>0</v>
      </c>
      <c r="O893">
        <v>16</v>
      </c>
      <c r="P893">
        <v>16</v>
      </c>
      <c r="Q893" t="str">
        <f t="shared" si="52"/>
        <v>Weekday</v>
      </c>
      <c r="R893" t="str">
        <f t="shared" si="53"/>
        <v>Low</v>
      </c>
      <c r="S893" s="10" t="str">
        <f t="shared" si="54"/>
        <v>Light Rain/Snow</v>
      </c>
      <c r="T893" s="10" t="str">
        <f t="shared" si="55"/>
        <v>Cold</v>
      </c>
    </row>
    <row r="894" spans="1:20" x14ac:dyDescent="0.3">
      <c r="A894">
        <v>902</v>
      </c>
      <c r="B894" t="s">
        <v>56</v>
      </c>
      <c r="C894">
        <v>1</v>
      </c>
      <c r="D894">
        <v>0</v>
      </c>
      <c r="E894">
        <v>2</v>
      </c>
      <c r="F894">
        <v>1</v>
      </c>
      <c r="G894" t="b">
        <v>0</v>
      </c>
      <c r="H894">
        <v>4</v>
      </c>
      <c r="I894">
        <v>3</v>
      </c>
      <c r="J894">
        <v>0.14000000000000001</v>
      </c>
      <c r="K894">
        <v>0.1515</v>
      </c>
      <c r="L894">
        <v>0.8</v>
      </c>
      <c r="M894">
        <v>0.1343</v>
      </c>
      <c r="N894">
        <v>0</v>
      </c>
      <c r="O894">
        <v>7</v>
      </c>
      <c r="P894">
        <v>7</v>
      </c>
      <c r="Q894" t="str">
        <f t="shared" si="52"/>
        <v>Weekday</v>
      </c>
      <c r="R894" t="str">
        <f t="shared" si="53"/>
        <v>Low</v>
      </c>
      <c r="S894" s="10" t="str">
        <f t="shared" si="54"/>
        <v>Light Rain/Snow</v>
      </c>
      <c r="T894" s="10" t="str">
        <f t="shared" si="55"/>
        <v>Cold</v>
      </c>
    </row>
    <row r="895" spans="1:20" x14ac:dyDescent="0.3">
      <c r="A895">
        <v>903</v>
      </c>
      <c r="B895" t="s">
        <v>56</v>
      </c>
      <c r="C895">
        <v>1</v>
      </c>
      <c r="D895">
        <v>0</v>
      </c>
      <c r="E895">
        <v>2</v>
      </c>
      <c r="F895">
        <v>2</v>
      </c>
      <c r="G895" t="b">
        <v>0</v>
      </c>
      <c r="H895">
        <v>4</v>
      </c>
      <c r="I895">
        <v>3</v>
      </c>
      <c r="J895">
        <v>0.14000000000000001</v>
      </c>
      <c r="K895">
        <v>0.1515</v>
      </c>
      <c r="L895">
        <v>0.8</v>
      </c>
      <c r="M895">
        <v>0.1343</v>
      </c>
      <c r="N895">
        <v>0</v>
      </c>
      <c r="O895">
        <v>3</v>
      </c>
      <c r="P895">
        <v>3</v>
      </c>
      <c r="Q895" t="str">
        <f t="shared" si="52"/>
        <v>Weekday</v>
      </c>
      <c r="R895" t="str">
        <f t="shared" si="53"/>
        <v>Low</v>
      </c>
      <c r="S895" s="10" t="str">
        <f t="shared" si="54"/>
        <v>Light Rain/Snow</v>
      </c>
      <c r="T895" s="10" t="str">
        <f t="shared" si="55"/>
        <v>Cold</v>
      </c>
    </row>
    <row r="896" spans="1:20" x14ac:dyDescent="0.3">
      <c r="A896">
        <v>904</v>
      </c>
      <c r="B896" t="s">
        <v>56</v>
      </c>
      <c r="C896">
        <v>1</v>
      </c>
      <c r="D896">
        <v>0</v>
      </c>
      <c r="E896">
        <v>2</v>
      </c>
      <c r="F896">
        <v>4</v>
      </c>
      <c r="G896" t="b">
        <v>0</v>
      </c>
      <c r="H896">
        <v>4</v>
      </c>
      <c r="I896">
        <v>2</v>
      </c>
      <c r="J896">
        <v>0.14000000000000001</v>
      </c>
      <c r="K896">
        <v>0.13639999999999999</v>
      </c>
      <c r="L896">
        <v>0.59</v>
      </c>
      <c r="M896">
        <v>0.22389999999999999</v>
      </c>
      <c r="N896">
        <v>0</v>
      </c>
      <c r="O896">
        <v>1</v>
      </c>
      <c r="P896">
        <v>1</v>
      </c>
      <c r="Q896" t="str">
        <f t="shared" si="52"/>
        <v>Weekday</v>
      </c>
      <c r="R896" t="str">
        <f t="shared" si="53"/>
        <v>Low</v>
      </c>
      <c r="S896" s="10" t="str">
        <f t="shared" si="54"/>
        <v>Mist/Cloudy</v>
      </c>
      <c r="T896" s="10" t="str">
        <f t="shared" si="55"/>
        <v>Cold</v>
      </c>
    </row>
    <row r="897" spans="1:20" x14ac:dyDescent="0.3">
      <c r="A897">
        <v>905</v>
      </c>
      <c r="B897" t="s">
        <v>56</v>
      </c>
      <c r="C897">
        <v>1</v>
      </c>
      <c r="D897">
        <v>0</v>
      </c>
      <c r="E897">
        <v>2</v>
      </c>
      <c r="F897">
        <v>5</v>
      </c>
      <c r="G897" t="b">
        <v>0</v>
      </c>
      <c r="H897">
        <v>4</v>
      </c>
      <c r="I897">
        <v>2</v>
      </c>
      <c r="J897">
        <v>0.12</v>
      </c>
      <c r="K897">
        <v>0.1212</v>
      </c>
      <c r="L897">
        <v>0.5</v>
      </c>
      <c r="M897">
        <v>0.22389999999999999</v>
      </c>
      <c r="N897">
        <v>0</v>
      </c>
      <c r="O897">
        <v>6</v>
      </c>
      <c r="P897">
        <v>6</v>
      </c>
      <c r="Q897" t="str">
        <f t="shared" si="52"/>
        <v>Weekday</v>
      </c>
      <c r="R897" t="str">
        <f t="shared" si="53"/>
        <v>Low</v>
      </c>
      <c r="S897" s="10" t="str">
        <f t="shared" si="54"/>
        <v>Mist/Cloudy</v>
      </c>
      <c r="T897" s="10" t="str">
        <f t="shared" si="55"/>
        <v>Cold</v>
      </c>
    </row>
    <row r="898" spans="1:20" x14ac:dyDescent="0.3">
      <c r="A898">
        <v>906</v>
      </c>
      <c r="B898" t="s">
        <v>56</v>
      </c>
      <c r="C898">
        <v>1</v>
      </c>
      <c r="D898">
        <v>0</v>
      </c>
      <c r="E898">
        <v>2</v>
      </c>
      <c r="F898">
        <v>6</v>
      </c>
      <c r="G898" t="b">
        <v>0</v>
      </c>
      <c r="H898">
        <v>4</v>
      </c>
      <c r="I898">
        <v>2</v>
      </c>
      <c r="J898">
        <v>0.12</v>
      </c>
      <c r="K898">
        <v>0.1212</v>
      </c>
      <c r="L898">
        <v>0.54</v>
      </c>
      <c r="M898">
        <v>0.28360000000000002</v>
      </c>
      <c r="N898">
        <v>0</v>
      </c>
      <c r="O898">
        <v>26</v>
      </c>
      <c r="P898">
        <v>26</v>
      </c>
      <c r="Q898" t="str">
        <f t="shared" ref="Q898:Q961" si="56">IF(G898=TRUE,"Holiday",IF(H898=0,"Weekend","Weekday"))</f>
        <v>Weekday</v>
      </c>
      <c r="R898" t="str">
        <f t="shared" ref="R898:R961" si="57">IF(P898&lt;50,"Low",IF(P898&lt;150,"Medium","High"))</f>
        <v>Low</v>
      </c>
      <c r="S898" s="10" t="str">
        <f t="shared" si="54"/>
        <v>Mist/Cloudy</v>
      </c>
      <c r="T898" s="10" t="str">
        <f t="shared" si="55"/>
        <v>Cold</v>
      </c>
    </row>
    <row r="899" spans="1:20" x14ac:dyDescent="0.3">
      <c r="A899">
        <v>907</v>
      </c>
      <c r="B899" t="s">
        <v>56</v>
      </c>
      <c r="C899">
        <v>1</v>
      </c>
      <c r="D899">
        <v>0</v>
      </c>
      <c r="E899">
        <v>2</v>
      </c>
      <c r="F899">
        <v>7</v>
      </c>
      <c r="G899" t="b">
        <v>0</v>
      </c>
      <c r="H899">
        <v>4</v>
      </c>
      <c r="I899">
        <v>1</v>
      </c>
      <c r="J899">
        <v>0.1</v>
      </c>
      <c r="K899">
        <v>7.5800000000000006E-2</v>
      </c>
      <c r="L899">
        <v>0.5</v>
      </c>
      <c r="M899">
        <v>0.41789999999999999</v>
      </c>
      <c r="N899">
        <v>0</v>
      </c>
      <c r="O899">
        <v>99</v>
      </c>
      <c r="P899">
        <v>99</v>
      </c>
      <c r="Q899" t="str">
        <f t="shared" si="56"/>
        <v>Weekday</v>
      </c>
      <c r="R899" t="str">
        <f t="shared" si="57"/>
        <v>Medium</v>
      </c>
      <c r="S899" s="10" t="str">
        <f t="shared" ref="S899:S962" si="58">IF(I899=1,"Clear",IF(I899=2,"Mist/Cloudy",IF(I899=3,"Light Rain/Snow","Heavy Rain/Ice")))</f>
        <v>Clear</v>
      </c>
      <c r="T899" s="10" t="str">
        <f t="shared" ref="T899:T962" si="59">IF(J899&lt;0.3,"Cold","Warm")</f>
        <v>Cold</v>
      </c>
    </row>
    <row r="900" spans="1:20" x14ac:dyDescent="0.3">
      <c r="A900">
        <v>908</v>
      </c>
      <c r="B900" t="s">
        <v>56</v>
      </c>
      <c r="C900">
        <v>1</v>
      </c>
      <c r="D900">
        <v>0</v>
      </c>
      <c r="E900">
        <v>2</v>
      </c>
      <c r="F900">
        <v>8</v>
      </c>
      <c r="G900" t="b">
        <v>0</v>
      </c>
      <c r="H900">
        <v>4</v>
      </c>
      <c r="I900">
        <v>1</v>
      </c>
      <c r="J900">
        <v>0.1</v>
      </c>
      <c r="K900">
        <v>7.5800000000000006E-2</v>
      </c>
      <c r="L900">
        <v>0.49</v>
      </c>
      <c r="M900">
        <v>0.32840000000000003</v>
      </c>
      <c r="N900">
        <v>5</v>
      </c>
      <c r="O900">
        <v>173</v>
      </c>
      <c r="P900">
        <v>178</v>
      </c>
      <c r="Q900" t="str">
        <f t="shared" si="56"/>
        <v>Weekday</v>
      </c>
      <c r="R900" t="str">
        <f t="shared" si="57"/>
        <v>High</v>
      </c>
      <c r="S900" s="10" t="str">
        <f t="shared" si="58"/>
        <v>Clear</v>
      </c>
      <c r="T900" s="10" t="str">
        <f t="shared" si="59"/>
        <v>Cold</v>
      </c>
    </row>
    <row r="901" spans="1:20" x14ac:dyDescent="0.3">
      <c r="A901">
        <v>909</v>
      </c>
      <c r="B901" t="s">
        <v>56</v>
      </c>
      <c r="C901">
        <v>1</v>
      </c>
      <c r="D901">
        <v>0</v>
      </c>
      <c r="E901">
        <v>2</v>
      </c>
      <c r="F901">
        <v>9</v>
      </c>
      <c r="G901" t="b">
        <v>0</v>
      </c>
      <c r="H901">
        <v>4</v>
      </c>
      <c r="I901">
        <v>1</v>
      </c>
      <c r="J901">
        <v>0.12</v>
      </c>
      <c r="K901">
        <v>0.1061</v>
      </c>
      <c r="L901">
        <v>0.42</v>
      </c>
      <c r="M901">
        <v>0.35820000000000002</v>
      </c>
      <c r="N901">
        <v>1</v>
      </c>
      <c r="O901">
        <v>121</v>
      </c>
      <c r="P901">
        <v>122</v>
      </c>
      <c r="Q901" t="str">
        <f t="shared" si="56"/>
        <v>Weekday</v>
      </c>
      <c r="R901" t="str">
        <f t="shared" si="57"/>
        <v>Medium</v>
      </c>
      <c r="S901" s="10" t="str">
        <f t="shared" si="58"/>
        <v>Clear</v>
      </c>
      <c r="T901" s="10" t="str">
        <f t="shared" si="59"/>
        <v>Cold</v>
      </c>
    </row>
    <row r="902" spans="1:20" x14ac:dyDescent="0.3">
      <c r="A902">
        <v>910</v>
      </c>
      <c r="B902" t="s">
        <v>56</v>
      </c>
      <c r="C902">
        <v>1</v>
      </c>
      <c r="D902">
        <v>0</v>
      </c>
      <c r="E902">
        <v>2</v>
      </c>
      <c r="F902">
        <v>10</v>
      </c>
      <c r="G902" t="b">
        <v>0</v>
      </c>
      <c r="H902">
        <v>4</v>
      </c>
      <c r="I902">
        <v>1</v>
      </c>
      <c r="J902">
        <v>0.12</v>
      </c>
      <c r="K902">
        <v>0.1061</v>
      </c>
      <c r="L902">
        <v>0.42</v>
      </c>
      <c r="M902">
        <v>0.29849999999999999</v>
      </c>
      <c r="N902">
        <v>1</v>
      </c>
      <c r="O902">
        <v>34</v>
      </c>
      <c r="P902">
        <v>35</v>
      </c>
      <c r="Q902" t="str">
        <f t="shared" si="56"/>
        <v>Weekday</v>
      </c>
      <c r="R902" t="str">
        <f t="shared" si="57"/>
        <v>Low</v>
      </c>
      <c r="S902" s="10" t="str">
        <f t="shared" si="58"/>
        <v>Clear</v>
      </c>
      <c r="T902" s="10" t="str">
        <f t="shared" si="59"/>
        <v>Cold</v>
      </c>
    </row>
    <row r="903" spans="1:20" x14ac:dyDescent="0.3">
      <c r="A903">
        <v>911</v>
      </c>
      <c r="B903" t="s">
        <v>56</v>
      </c>
      <c r="C903">
        <v>1</v>
      </c>
      <c r="D903">
        <v>0</v>
      </c>
      <c r="E903">
        <v>2</v>
      </c>
      <c r="F903">
        <v>11</v>
      </c>
      <c r="G903" t="b">
        <v>0</v>
      </c>
      <c r="H903">
        <v>4</v>
      </c>
      <c r="I903">
        <v>1</v>
      </c>
      <c r="J903">
        <v>0.14000000000000001</v>
      </c>
      <c r="K903">
        <v>0.1212</v>
      </c>
      <c r="L903">
        <v>0.39</v>
      </c>
      <c r="M903">
        <v>0.35820000000000002</v>
      </c>
      <c r="N903">
        <v>1</v>
      </c>
      <c r="O903">
        <v>44</v>
      </c>
      <c r="P903">
        <v>45</v>
      </c>
      <c r="Q903" t="str">
        <f t="shared" si="56"/>
        <v>Weekday</v>
      </c>
      <c r="R903" t="str">
        <f t="shared" si="57"/>
        <v>Low</v>
      </c>
      <c r="S903" s="10" t="str">
        <f t="shared" si="58"/>
        <v>Clear</v>
      </c>
      <c r="T903" s="10" t="str">
        <f t="shared" si="59"/>
        <v>Cold</v>
      </c>
    </row>
    <row r="904" spans="1:20" x14ac:dyDescent="0.3">
      <c r="A904">
        <v>912</v>
      </c>
      <c r="B904" t="s">
        <v>56</v>
      </c>
      <c r="C904">
        <v>1</v>
      </c>
      <c r="D904">
        <v>0</v>
      </c>
      <c r="E904">
        <v>2</v>
      </c>
      <c r="F904">
        <v>12</v>
      </c>
      <c r="G904" t="b">
        <v>0</v>
      </c>
      <c r="H904">
        <v>4</v>
      </c>
      <c r="I904">
        <v>1</v>
      </c>
      <c r="J904">
        <v>0.16</v>
      </c>
      <c r="K904">
        <v>0.13639999999999999</v>
      </c>
      <c r="L904">
        <v>0.34</v>
      </c>
      <c r="M904">
        <v>0.3881</v>
      </c>
      <c r="N904">
        <v>4</v>
      </c>
      <c r="O904">
        <v>65</v>
      </c>
      <c r="P904">
        <v>69</v>
      </c>
      <c r="Q904" t="str">
        <f t="shared" si="56"/>
        <v>Weekday</v>
      </c>
      <c r="R904" t="str">
        <f t="shared" si="57"/>
        <v>Medium</v>
      </c>
      <c r="S904" s="10" t="str">
        <f t="shared" si="58"/>
        <v>Clear</v>
      </c>
      <c r="T904" s="10" t="str">
        <f t="shared" si="59"/>
        <v>Cold</v>
      </c>
    </row>
    <row r="905" spans="1:20" x14ac:dyDescent="0.3">
      <c r="A905">
        <v>913</v>
      </c>
      <c r="B905" t="s">
        <v>56</v>
      </c>
      <c r="C905">
        <v>1</v>
      </c>
      <c r="D905">
        <v>0</v>
      </c>
      <c r="E905">
        <v>2</v>
      </c>
      <c r="F905">
        <v>13</v>
      </c>
      <c r="G905" t="b">
        <v>0</v>
      </c>
      <c r="H905">
        <v>4</v>
      </c>
      <c r="I905">
        <v>1</v>
      </c>
      <c r="J905">
        <v>0.18</v>
      </c>
      <c r="K905">
        <v>0.16669999999999999</v>
      </c>
      <c r="L905">
        <v>0.28999999999999998</v>
      </c>
      <c r="M905">
        <v>0.29849999999999999</v>
      </c>
      <c r="N905">
        <v>3</v>
      </c>
      <c r="O905">
        <v>59</v>
      </c>
      <c r="P905">
        <v>62</v>
      </c>
      <c r="Q905" t="str">
        <f t="shared" si="56"/>
        <v>Weekday</v>
      </c>
      <c r="R905" t="str">
        <f t="shared" si="57"/>
        <v>Medium</v>
      </c>
      <c r="S905" s="10" t="str">
        <f t="shared" si="58"/>
        <v>Clear</v>
      </c>
      <c r="T905" s="10" t="str">
        <f t="shared" si="59"/>
        <v>Cold</v>
      </c>
    </row>
    <row r="906" spans="1:20" x14ac:dyDescent="0.3">
      <c r="A906">
        <v>914</v>
      </c>
      <c r="B906" t="s">
        <v>56</v>
      </c>
      <c r="C906">
        <v>1</v>
      </c>
      <c r="D906">
        <v>0</v>
      </c>
      <c r="E906">
        <v>2</v>
      </c>
      <c r="F906">
        <v>14</v>
      </c>
      <c r="G906" t="b">
        <v>0</v>
      </c>
      <c r="H906">
        <v>4</v>
      </c>
      <c r="I906">
        <v>1</v>
      </c>
      <c r="J906">
        <v>0.2</v>
      </c>
      <c r="K906">
        <v>0.18179999999999999</v>
      </c>
      <c r="L906">
        <v>0.27</v>
      </c>
      <c r="M906">
        <v>0.28360000000000002</v>
      </c>
      <c r="N906">
        <v>6</v>
      </c>
      <c r="O906">
        <v>42</v>
      </c>
      <c r="P906">
        <v>48</v>
      </c>
      <c r="Q906" t="str">
        <f t="shared" si="56"/>
        <v>Weekday</v>
      </c>
      <c r="R906" t="str">
        <f t="shared" si="57"/>
        <v>Low</v>
      </c>
      <c r="S906" s="10" t="str">
        <f t="shared" si="58"/>
        <v>Clear</v>
      </c>
      <c r="T906" s="10" t="str">
        <f t="shared" si="59"/>
        <v>Cold</v>
      </c>
    </row>
    <row r="907" spans="1:20" x14ac:dyDescent="0.3">
      <c r="A907">
        <v>915</v>
      </c>
      <c r="B907" t="s">
        <v>56</v>
      </c>
      <c r="C907">
        <v>1</v>
      </c>
      <c r="D907">
        <v>0</v>
      </c>
      <c r="E907">
        <v>2</v>
      </c>
      <c r="F907">
        <v>15</v>
      </c>
      <c r="G907" t="b">
        <v>0</v>
      </c>
      <c r="H907">
        <v>4</v>
      </c>
      <c r="I907">
        <v>1</v>
      </c>
      <c r="J907">
        <v>0.2</v>
      </c>
      <c r="K907">
        <v>0.19700000000000001</v>
      </c>
      <c r="L907">
        <v>0.25</v>
      </c>
      <c r="M907">
        <v>0.25369999999999998</v>
      </c>
      <c r="N907">
        <v>0</v>
      </c>
      <c r="O907">
        <v>50</v>
      </c>
      <c r="P907">
        <v>50</v>
      </c>
      <c r="Q907" t="str">
        <f t="shared" si="56"/>
        <v>Weekday</v>
      </c>
      <c r="R907" t="str">
        <f t="shared" si="57"/>
        <v>Medium</v>
      </c>
      <c r="S907" s="10" t="str">
        <f t="shared" si="58"/>
        <v>Clear</v>
      </c>
      <c r="T907" s="10" t="str">
        <f t="shared" si="59"/>
        <v>Cold</v>
      </c>
    </row>
    <row r="908" spans="1:20" x14ac:dyDescent="0.3">
      <c r="A908">
        <v>916</v>
      </c>
      <c r="B908" t="s">
        <v>56</v>
      </c>
      <c r="C908">
        <v>1</v>
      </c>
      <c r="D908">
        <v>0</v>
      </c>
      <c r="E908">
        <v>2</v>
      </c>
      <c r="F908">
        <v>16</v>
      </c>
      <c r="G908" t="b">
        <v>0</v>
      </c>
      <c r="H908">
        <v>4</v>
      </c>
      <c r="I908">
        <v>1</v>
      </c>
      <c r="J908">
        <v>0.2</v>
      </c>
      <c r="K908">
        <v>0.18179999999999999</v>
      </c>
      <c r="L908">
        <v>0.27</v>
      </c>
      <c r="M908">
        <v>0.29849999999999999</v>
      </c>
      <c r="N908">
        <v>4</v>
      </c>
      <c r="O908">
        <v>76</v>
      </c>
      <c r="P908">
        <v>80</v>
      </c>
      <c r="Q908" t="str">
        <f t="shared" si="56"/>
        <v>Weekday</v>
      </c>
      <c r="R908" t="str">
        <f t="shared" si="57"/>
        <v>Medium</v>
      </c>
      <c r="S908" s="10" t="str">
        <f t="shared" si="58"/>
        <v>Clear</v>
      </c>
      <c r="T908" s="10" t="str">
        <f t="shared" si="59"/>
        <v>Cold</v>
      </c>
    </row>
    <row r="909" spans="1:20" x14ac:dyDescent="0.3">
      <c r="A909">
        <v>917</v>
      </c>
      <c r="B909" t="s">
        <v>56</v>
      </c>
      <c r="C909">
        <v>1</v>
      </c>
      <c r="D909">
        <v>0</v>
      </c>
      <c r="E909">
        <v>2</v>
      </c>
      <c r="F909">
        <v>17</v>
      </c>
      <c r="G909" t="b">
        <v>0</v>
      </c>
      <c r="H909">
        <v>4</v>
      </c>
      <c r="I909">
        <v>1</v>
      </c>
      <c r="J909">
        <v>0.18</v>
      </c>
      <c r="K909">
        <v>0.18179999999999999</v>
      </c>
      <c r="L909">
        <v>0.26</v>
      </c>
      <c r="M909">
        <v>0.19400000000000001</v>
      </c>
      <c r="N909">
        <v>6</v>
      </c>
      <c r="O909">
        <v>159</v>
      </c>
      <c r="P909">
        <v>165</v>
      </c>
      <c r="Q909" t="str">
        <f t="shared" si="56"/>
        <v>Weekday</v>
      </c>
      <c r="R909" t="str">
        <f t="shared" si="57"/>
        <v>High</v>
      </c>
      <c r="S909" s="10" t="str">
        <f t="shared" si="58"/>
        <v>Clear</v>
      </c>
      <c r="T909" s="10" t="str">
        <f t="shared" si="59"/>
        <v>Cold</v>
      </c>
    </row>
    <row r="910" spans="1:20" x14ac:dyDescent="0.3">
      <c r="A910">
        <v>918</v>
      </c>
      <c r="B910" t="s">
        <v>56</v>
      </c>
      <c r="C910">
        <v>1</v>
      </c>
      <c r="D910">
        <v>0</v>
      </c>
      <c r="E910">
        <v>2</v>
      </c>
      <c r="F910">
        <v>18</v>
      </c>
      <c r="G910" t="b">
        <v>0</v>
      </c>
      <c r="H910">
        <v>4</v>
      </c>
      <c r="I910">
        <v>1</v>
      </c>
      <c r="J910">
        <v>0.16</v>
      </c>
      <c r="K910">
        <v>0.18179999999999999</v>
      </c>
      <c r="L910">
        <v>0.28000000000000003</v>
      </c>
      <c r="M910">
        <v>0.1343</v>
      </c>
      <c r="N910">
        <v>3</v>
      </c>
      <c r="O910">
        <v>157</v>
      </c>
      <c r="P910">
        <v>160</v>
      </c>
      <c r="Q910" t="str">
        <f t="shared" si="56"/>
        <v>Weekday</v>
      </c>
      <c r="R910" t="str">
        <f t="shared" si="57"/>
        <v>High</v>
      </c>
      <c r="S910" s="10" t="str">
        <f t="shared" si="58"/>
        <v>Clear</v>
      </c>
      <c r="T910" s="10" t="str">
        <f t="shared" si="59"/>
        <v>Cold</v>
      </c>
    </row>
    <row r="911" spans="1:20" x14ac:dyDescent="0.3">
      <c r="A911">
        <v>919</v>
      </c>
      <c r="B911" t="s">
        <v>56</v>
      </c>
      <c r="C911">
        <v>1</v>
      </c>
      <c r="D911">
        <v>0</v>
      </c>
      <c r="E911">
        <v>2</v>
      </c>
      <c r="F911">
        <v>19</v>
      </c>
      <c r="G911" t="b">
        <v>0</v>
      </c>
      <c r="H911">
        <v>4</v>
      </c>
      <c r="I911">
        <v>1</v>
      </c>
      <c r="J911">
        <v>0.14000000000000001</v>
      </c>
      <c r="K911">
        <v>0.16669999999999999</v>
      </c>
      <c r="L911">
        <v>0.28000000000000003</v>
      </c>
      <c r="M911">
        <v>0.1045</v>
      </c>
      <c r="N911">
        <v>2</v>
      </c>
      <c r="O911">
        <v>110</v>
      </c>
      <c r="P911">
        <v>112</v>
      </c>
      <c r="Q911" t="str">
        <f t="shared" si="56"/>
        <v>Weekday</v>
      </c>
      <c r="R911" t="str">
        <f t="shared" si="57"/>
        <v>Medium</v>
      </c>
      <c r="S911" s="10" t="str">
        <f t="shared" si="58"/>
        <v>Clear</v>
      </c>
      <c r="T911" s="10" t="str">
        <f t="shared" si="59"/>
        <v>Cold</v>
      </c>
    </row>
    <row r="912" spans="1:20" x14ac:dyDescent="0.3">
      <c r="A912">
        <v>920</v>
      </c>
      <c r="B912" t="s">
        <v>56</v>
      </c>
      <c r="C912">
        <v>1</v>
      </c>
      <c r="D912">
        <v>0</v>
      </c>
      <c r="E912">
        <v>2</v>
      </c>
      <c r="F912">
        <v>20</v>
      </c>
      <c r="G912" t="b">
        <v>0</v>
      </c>
      <c r="H912">
        <v>4</v>
      </c>
      <c r="I912">
        <v>1</v>
      </c>
      <c r="J912">
        <v>0.14000000000000001</v>
      </c>
      <c r="K912">
        <v>0.18179999999999999</v>
      </c>
      <c r="L912">
        <v>0.31</v>
      </c>
      <c r="M912">
        <v>8.9599999999999999E-2</v>
      </c>
      <c r="N912">
        <v>4</v>
      </c>
      <c r="O912">
        <v>93</v>
      </c>
      <c r="P912">
        <v>97</v>
      </c>
      <c r="Q912" t="str">
        <f t="shared" si="56"/>
        <v>Weekday</v>
      </c>
      <c r="R912" t="str">
        <f t="shared" si="57"/>
        <v>Medium</v>
      </c>
      <c r="S912" s="10" t="str">
        <f t="shared" si="58"/>
        <v>Clear</v>
      </c>
      <c r="T912" s="10" t="str">
        <f t="shared" si="59"/>
        <v>Cold</v>
      </c>
    </row>
    <row r="913" spans="1:20" x14ac:dyDescent="0.3">
      <c r="A913">
        <v>921</v>
      </c>
      <c r="B913" t="s">
        <v>56</v>
      </c>
      <c r="C913">
        <v>1</v>
      </c>
      <c r="D913">
        <v>0</v>
      </c>
      <c r="E913">
        <v>2</v>
      </c>
      <c r="F913">
        <v>21</v>
      </c>
      <c r="G913" t="b">
        <v>0</v>
      </c>
      <c r="H913">
        <v>4</v>
      </c>
      <c r="I913">
        <v>1</v>
      </c>
      <c r="J913">
        <v>0.14000000000000001</v>
      </c>
      <c r="K913">
        <v>0.21210000000000001</v>
      </c>
      <c r="L913" t="e">
        <f>+#REF!</f>
        <v>#REF!</v>
      </c>
      <c r="M913">
        <v>0</v>
      </c>
      <c r="N913">
        <v>2</v>
      </c>
      <c r="O913">
        <v>70</v>
      </c>
      <c r="P913">
        <v>72</v>
      </c>
      <c r="Q913" t="str">
        <f t="shared" si="56"/>
        <v>Weekday</v>
      </c>
      <c r="R913" t="str">
        <f t="shared" si="57"/>
        <v>Medium</v>
      </c>
      <c r="S913" s="10" t="str">
        <f t="shared" si="58"/>
        <v>Clear</v>
      </c>
      <c r="T913" s="10" t="str">
        <f t="shared" si="59"/>
        <v>Cold</v>
      </c>
    </row>
    <row r="914" spans="1:20" x14ac:dyDescent="0.3">
      <c r="A914">
        <v>922</v>
      </c>
      <c r="B914" t="s">
        <v>56</v>
      </c>
      <c r="C914">
        <v>1</v>
      </c>
      <c r="D914">
        <v>0</v>
      </c>
      <c r="E914">
        <v>2</v>
      </c>
      <c r="F914">
        <v>22</v>
      </c>
      <c r="G914" t="b">
        <v>0</v>
      </c>
      <c r="H914">
        <v>4</v>
      </c>
      <c r="I914">
        <v>1</v>
      </c>
      <c r="J914">
        <v>0.12</v>
      </c>
      <c r="K914">
        <v>0.19700000000000001</v>
      </c>
      <c r="L914">
        <v>0.39</v>
      </c>
      <c r="M914">
        <v>0</v>
      </c>
      <c r="N914">
        <v>4</v>
      </c>
      <c r="O914">
        <v>47</v>
      </c>
      <c r="P914">
        <v>51</v>
      </c>
      <c r="Q914" t="str">
        <f t="shared" si="56"/>
        <v>Weekday</v>
      </c>
      <c r="R914" t="str">
        <f t="shared" si="57"/>
        <v>Medium</v>
      </c>
      <c r="S914" s="10" t="str">
        <f t="shared" si="58"/>
        <v>Clear</v>
      </c>
      <c r="T914" s="10" t="str">
        <f t="shared" si="59"/>
        <v>Cold</v>
      </c>
    </row>
    <row r="915" spans="1:20" x14ac:dyDescent="0.3">
      <c r="A915">
        <v>923</v>
      </c>
      <c r="B915" t="s">
        <v>56</v>
      </c>
      <c r="C915">
        <v>1</v>
      </c>
      <c r="D915">
        <v>0</v>
      </c>
      <c r="E915">
        <v>2</v>
      </c>
      <c r="F915">
        <v>23</v>
      </c>
      <c r="G915" t="b">
        <v>0</v>
      </c>
      <c r="H915">
        <v>4</v>
      </c>
      <c r="I915">
        <v>1</v>
      </c>
      <c r="J915">
        <v>0.12</v>
      </c>
      <c r="K915">
        <v>0.1515</v>
      </c>
      <c r="L915">
        <v>0.42</v>
      </c>
      <c r="M915">
        <v>0.1045</v>
      </c>
      <c r="N915">
        <v>1</v>
      </c>
      <c r="O915">
        <v>33</v>
      </c>
      <c r="P915">
        <v>34</v>
      </c>
      <c r="Q915" t="str">
        <f t="shared" si="56"/>
        <v>Weekday</v>
      </c>
      <c r="R915" t="str">
        <f t="shared" si="57"/>
        <v>Low</v>
      </c>
      <c r="S915" s="10" t="str">
        <f t="shared" si="58"/>
        <v>Clear</v>
      </c>
      <c r="T915" s="10" t="str">
        <f t="shared" si="59"/>
        <v>Cold</v>
      </c>
    </row>
    <row r="916" spans="1:20" x14ac:dyDescent="0.3">
      <c r="A916">
        <v>924</v>
      </c>
      <c r="B916" t="s">
        <v>57</v>
      </c>
      <c r="C916">
        <v>1</v>
      </c>
      <c r="D916">
        <v>0</v>
      </c>
      <c r="E916">
        <v>2</v>
      </c>
      <c r="F916">
        <v>0</v>
      </c>
      <c r="G916" t="b">
        <v>0</v>
      </c>
      <c r="H916">
        <v>5</v>
      </c>
      <c r="I916">
        <v>1</v>
      </c>
      <c r="J916">
        <v>0.1</v>
      </c>
      <c r="K916">
        <v>0.13639999999999999</v>
      </c>
      <c r="L916">
        <v>0.49</v>
      </c>
      <c r="M916">
        <v>0.1045</v>
      </c>
      <c r="N916">
        <v>2</v>
      </c>
      <c r="O916">
        <v>12</v>
      </c>
      <c r="P916">
        <v>14</v>
      </c>
      <c r="Q916" t="str">
        <f t="shared" si="56"/>
        <v>Weekday</v>
      </c>
      <c r="R916" t="str">
        <f t="shared" si="57"/>
        <v>Low</v>
      </c>
      <c r="S916" s="10" t="str">
        <f t="shared" si="58"/>
        <v>Clear</v>
      </c>
      <c r="T916" s="10" t="str">
        <f t="shared" si="59"/>
        <v>Cold</v>
      </c>
    </row>
    <row r="917" spans="1:20" x14ac:dyDescent="0.3">
      <c r="A917">
        <v>925</v>
      </c>
      <c r="B917" t="s">
        <v>57</v>
      </c>
      <c r="C917">
        <v>1</v>
      </c>
      <c r="D917">
        <v>0</v>
      </c>
      <c r="E917">
        <v>2</v>
      </c>
      <c r="F917">
        <v>1</v>
      </c>
      <c r="G917" t="b">
        <v>0</v>
      </c>
      <c r="H917">
        <v>5</v>
      </c>
      <c r="I917">
        <v>1</v>
      </c>
      <c r="J917">
        <v>0.1</v>
      </c>
      <c r="K917">
        <v>0.13639999999999999</v>
      </c>
      <c r="L917">
        <v>0.54</v>
      </c>
      <c r="M917">
        <v>8.9599999999999999E-2</v>
      </c>
      <c r="N917">
        <v>1</v>
      </c>
      <c r="O917">
        <v>6</v>
      </c>
      <c r="P917">
        <v>7</v>
      </c>
      <c r="Q917" t="str">
        <f t="shared" si="56"/>
        <v>Weekday</v>
      </c>
      <c r="R917" t="str">
        <f t="shared" si="57"/>
        <v>Low</v>
      </c>
      <c r="S917" s="10" t="str">
        <f t="shared" si="58"/>
        <v>Clear</v>
      </c>
      <c r="T917" s="10" t="str">
        <f t="shared" si="59"/>
        <v>Cold</v>
      </c>
    </row>
    <row r="918" spans="1:20" x14ac:dyDescent="0.3">
      <c r="A918">
        <v>926</v>
      </c>
      <c r="B918" t="s">
        <v>57</v>
      </c>
      <c r="C918">
        <v>1</v>
      </c>
      <c r="D918">
        <v>0</v>
      </c>
      <c r="E918">
        <v>2</v>
      </c>
      <c r="F918">
        <v>2</v>
      </c>
      <c r="G918" t="b">
        <v>0</v>
      </c>
      <c r="H918">
        <v>5</v>
      </c>
      <c r="I918">
        <v>1</v>
      </c>
      <c r="J918">
        <v>0.1</v>
      </c>
      <c r="K918">
        <v>0.13639999999999999</v>
      </c>
      <c r="L918">
        <v>0.54</v>
      </c>
      <c r="M918">
        <v>8.9599999999999999E-2</v>
      </c>
      <c r="N918">
        <v>0</v>
      </c>
      <c r="O918">
        <v>3</v>
      </c>
      <c r="P918">
        <v>3</v>
      </c>
      <c r="Q918" t="str">
        <f t="shared" si="56"/>
        <v>Weekday</v>
      </c>
      <c r="R918" t="str">
        <f t="shared" si="57"/>
        <v>Low</v>
      </c>
      <c r="S918" s="10" t="str">
        <f t="shared" si="58"/>
        <v>Clear</v>
      </c>
      <c r="T918" s="10" t="str">
        <f t="shared" si="59"/>
        <v>Cold</v>
      </c>
    </row>
    <row r="919" spans="1:20" x14ac:dyDescent="0.3">
      <c r="A919">
        <v>927</v>
      </c>
      <c r="B919" t="s">
        <v>57</v>
      </c>
      <c r="C919">
        <v>1</v>
      </c>
      <c r="D919">
        <v>0</v>
      </c>
      <c r="E919">
        <v>2</v>
      </c>
      <c r="F919">
        <v>5</v>
      </c>
      <c r="G919" t="b">
        <v>0</v>
      </c>
      <c r="H919">
        <v>5</v>
      </c>
      <c r="I919">
        <v>1</v>
      </c>
      <c r="J919">
        <v>0.08</v>
      </c>
      <c r="K919">
        <v>0.1212</v>
      </c>
      <c r="L919">
        <v>0.63</v>
      </c>
      <c r="M919">
        <v>8.9599999999999999E-2</v>
      </c>
      <c r="N919">
        <v>0</v>
      </c>
      <c r="O919">
        <v>4</v>
      </c>
      <c r="P919">
        <v>4</v>
      </c>
      <c r="Q919" t="str">
        <f t="shared" si="56"/>
        <v>Weekday</v>
      </c>
      <c r="R919" t="str">
        <f t="shared" si="57"/>
        <v>Low</v>
      </c>
      <c r="S919" s="10" t="str">
        <f t="shared" si="58"/>
        <v>Clear</v>
      </c>
      <c r="T919" s="10" t="str">
        <f t="shared" si="59"/>
        <v>Cold</v>
      </c>
    </row>
    <row r="920" spans="1:20" x14ac:dyDescent="0.3">
      <c r="A920">
        <v>928</v>
      </c>
      <c r="B920" t="s">
        <v>57</v>
      </c>
      <c r="C920">
        <v>1</v>
      </c>
      <c r="D920">
        <v>0</v>
      </c>
      <c r="E920">
        <v>2</v>
      </c>
      <c r="F920">
        <v>6</v>
      </c>
      <c r="G920" t="b">
        <v>0</v>
      </c>
      <c r="H920">
        <v>5</v>
      </c>
      <c r="I920">
        <v>1</v>
      </c>
      <c r="J920">
        <v>0.1</v>
      </c>
      <c r="K920">
        <v>0.18179999999999999</v>
      </c>
      <c r="L920">
        <v>0.68</v>
      </c>
      <c r="M920">
        <v>0</v>
      </c>
      <c r="N920">
        <v>1</v>
      </c>
      <c r="O920">
        <v>23</v>
      </c>
      <c r="P920">
        <v>24</v>
      </c>
      <c r="Q920" t="str">
        <f t="shared" si="56"/>
        <v>Weekday</v>
      </c>
      <c r="R920" t="str">
        <f t="shared" si="57"/>
        <v>Low</v>
      </c>
      <c r="S920" s="10" t="str">
        <f t="shared" si="58"/>
        <v>Clear</v>
      </c>
      <c r="T920" s="10" t="str">
        <f t="shared" si="59"/>
        <v>Cold</v>
      </c>
    </row>
    <row r="921" spans="1:20" x14ac:dyDescent="0.3">
      <c r="A921">
        <v>929</v>
      </c>
      <c r="B921" t="s">
        <v>57</v>
      </c>
      <c r="C921">
        <v>1</v>
      </c>
      <c r="D921">
        <v>0</v>
      </c>
      <c r="E921">
        <v>2</v>
      </c>
      <c r="F921">
        <v>7</v>
      </c>
      <c r="G921" t="b">
        <v>0</v>
      </c>
      <c r="H921">
        <v>5</v>
      </c>
      <c r="I921">
        <v>1</v>
      </c>
      <c r="J921">
        <v>0.08</v>
      </c>
      <c r="K921">
        <v>0.16669999999999999</v>
      </c>
      <c r="L921">
        <v>0.73</v>
      </c>
      <c r="M921">
        <v>0</v>
      </c>
      <c r="N921">
        <v>1</v>
      </c>
      <c r="O921">
        <v>73</v>
      </c>
      <c r="P921">
        <v>74</v>
      </c>
      <c r="Q921" t="str">
        <f t="shared" si="56"/>
        <v>Weekday</v>
      </c>
      <c r="R921" t="str">
        <f t="shared" si="57"/>
        <v>Medium</v>
      </c>
      <c r="S921" s="10" t="str">
        <f t="shared" si="58"/>
        <v>Clear</v>
      </c>
      <c r="T921" s="10" t="str">
        <f t="shared" si="59"/>
        <v>Cold</v>
      </c>
    </row>
    <row r="922" spans="1:20" x14ac:dyDescent="0.3">
      <c r="A922">
        <v>930</v>
      </c>
      <c r="B922" t="s">
        <v>57</v>
      </c>
      <c r="C922">
        <v>1</v>
      </c>
      <c r="D922">
        <v>0</v>
      </c>
      <c r="E922">
        <v>2</v>
      </c>
      <c r="F922">
        <v>8</v>
      </c>
      <c r="G922" t="b">
        <v>0</v>
      </c>
      <c r="H922">
        <v>5</v>
      </c>
      <c r="I922">
        <v>1</v>
      </c>
      <c r="J922">
        <v>0.1</v>
      </c>
      <c r="K922">
        <v>0.1212</v>
      </c>
      <c r="L922">
        <v>0.74</v>
      </c>
      <c r="M922">
        <v>0.16420000000000001</v>
      </c>
      <c r="N922">
        <v>4</v>
      </c>
      <c r="O922">
        <v>212</v>
      </c>
      <c r="P922">
        <v>216</v>
      </c>
      <c r="Q922" t="str">
        <f t="shared" si="56"/>
        <v>Weekday</v>
      </c>
      <c r="R922" t="str">
        <f t="shared" si="57"/>
        <v>High</v>
      </c>
      <c r="S922" s="10" t="str">
        <f t="shared" si="58"/>
        <v>Clear</v>
      </c>
      <c r="T922" s="10" t="str">
        <f t="shared" si="59"/>
        <v>Cold</v>
      </c>
    </row>
    <row r="923" spans="1:20" x14ac:dyDescent="0.3">
      <c r="A923">
        <v>931</v>
      </c>
      <c r="B923" t="s">
        <v>57</v>
      </c>
      <c r="C923">
        <v>1</v>
      </c>
      <c r="D923">
        <v>0</v>
      </c>
      <c r="E923">
        <v>2</v>
      </c>
      <c r="F923">
        <v>9</v>
      </c>
      <c r="G923" t="b">
        <v>0</v>
      </c>
      <c r="H923">
        <v>5</v>
      </c>
      <c r="I923">
        <v>1</v>
      </c>
      <c r="J923">
        <v>0.12</v>
      </c>
      <c r="K923">
        <v>0.1212</v>
      </c>
      <c r="L923">
        <v>0.74</v>
      </c>
      <c r="M923">
        <v>0.22389999999999999</v>
      </c>
      <c r="N923">
        <v>8</v>
      </c>
      <c r="O923">
        <v>132</v>
      </c>
      <c r="P923">
        <v>140</v>
      </c>
      <c r="Q923" t="str">
        <f t="shared" si="56"/>
        <v>Weekday</v>
      </c>
      <c r="R923" t="str">
        <f t="shared" si="57"/>
        <v>Medium</v>
      </c>
      <c r="S923" s="10" t="str">
        <f t="shared" si="58"/>
        <v>Clear</v>
      </c>
      <c r="T923" s="10" t="str">
        <f t="shared" si="59"/>
        <v>Cold</v>
      </c>
    </row>
    <row r="924" spans="1:20" x14ac:dyDescent="0.3">
      <c r="A924">
        <v>932</v>
      </c>
      <c r="B924" t="s">
        <v>57</v>
      </c>
      <c r="C924">
        <v>1</v>
      </c>
      <c r="D924">
        <v>0</v>
      </c>
      <c r="E924">
        <v>2</v>
      </c>
      <c r="F924">
        <v>10</v>
      </c>
      <c r="G924" t="b">
        <v>0</v>
      </c>
      <c r="H924">
        <v>5</v>
      </c>
      <c r="I924">
        <v>1</v>
      </c>
      <c r="J924">
        <v>0.14000000000000001</v>
      </c>
      <c r="K924">
        <v>0.13639999999999999</v>
      </c>
      <c r="L924">
        <v>0.69</v>
      </c>
      <c r="M924">
        <v>0.19400000000000001</v>
      </c>
      <c r="N924">
        <v>5</v>
      </c>
      <c r="O924">
        <v>39</v>
      </c>
      <c r="P924">
        <v>44</v>
      </c>
      <c r="Q924" t="str">
        <f t="shared" si="56"/>
        <v>Weekday</v>
      </c>
      <c r="R924" t="str">
        <f t="shared" si="57"/>
        <v>Low</v>
      </c>
      <c r="S924" s="10" t="str">
        <f t="shared" si="58"/>
        <v>Clear</v>
      </c>
      <c r="T924" s="10" t="str">
        <f t="shared" si="59"/>
        <v>Cold</v>
      </c>
    </row>
    <row r="925" spans="1:20" x14ac:dyDescent="0.3">
      <c r="A925">
        <v>933</v>
      </c>
      <c r="B925" t="s">
        <v>57</v>
      </c>
      <c r="C925">
        <v>1</v>
      </c>
      <c r="D925">
        <v>0</v>
      </c>
      <c r="E925">
        <v>2</v>
      </c>
      <c r="F925">
        <v>11</v>
      </c>
      <c r="G925" t="b">
        <v>0</v>
      </c>
      <c r="H925">
        <v>5</v>
      </c>
      <c r="I925">
        <v>1</v>
      </c>
      <c r="J925">
        <v>0.22</v>
      </c>
      <c r="K925">
        <v>0.2273</v>
      </c>
      <c r="L925">
        <v>0.47</v>
      </c>
      <c r="M925">
        <v>0.1343</v>
      </c>
      <c r="N925">
        <v>12</v>
      </c>
      <c r="O925">
        <v>52</v>
      </c>
      <c r="P925">
        <v>64</v>
      </c>
      <c r="Q925" t="str">
        <f t="shared" si="56"/>
        <v>Weekday</v>
      </c>
      <c r="R925" t="str">
        <f t="shared" si="57"/>
        <v>Medium</v>
      </c>
      <c r="S925" s="10" t="str">
        <f t="shared" si="58"/>
        <v>Clear</v>
      </c>
      <c r="T925" s="10" t="str">
        <f t="shared" si="59"/>
        <v>Cold</v>
      </c>
    </row>
    <row r="926" spans="1:20" x14ac:dyDescent="0.3">
      <c r="A926">
        <v>934</v>
      </c>
      <c r="B926" t="s">
        <v>57</v>
      </c>
      <c r="C926">
        <v>1</v>
      </c>
      <c r="D926">
        <v>0</v>
      </c>
      <c r="E926">
        <v>2</v>
      </c>
      <c r="F926">
        <v>12</v>
      </c>
      <c r="G926" t="b">
        <v>0</v>
      </c>
      <c r="H926">
        <v>5</v>
      </c>
      <c r="I926">
        <v>1</v>
      </c>
      <c r="J926">
        <v>0.22</v>
      </c>
      <c r="K926">
        <v>0.2273</v>
      </c>
      <c r="L926">
        <v>0.47</v>
      </c>
      <c r="M926">
        <v>0.1343</v>
      </c>
      <c r="N926">
        <v>7</v>
      </c>
      <c r="O926">
        <v>64</v>
      </c>
      <c r="P926">
        <v>71</v>
      </c>
      <c r="Q926" t="str">
        <f t="shared" si="56"/>
        <v>Weekday</v>
      </c>
      <c r="R926" t="str">
        <f t="shared" si="57"/>
        <v>Medium</v>
      </c>
      <c r="S926" s="10" t="str">
        <f t="shared" si="58"/>
        <v>Clear</v>
      </c>
      <c r="T926" s="10" t="str">
        <f t="shared" si="59"/>
        <v>Cold</v>
      </c>
    </row>
    <row r="927" spans="1:20" x14ac:dyDescent="0.3">
      <c r="A927">
        <v>935</v>
      </c>
      <c r="B927" t="s">
        <v>57</v>
      </c>
      <c r="C927">
        <v>1</v>
      </c>
      <c r="D927">
        <v>0</v>
      </c>
      <c r="E927">
        <v>2</v>
      </c>
      <c r="F927">
        <v>13</v>
      </c>
      <c r="G927" t="b">
        <v>0</v>
      </c>
      <c r="H927">
        <v>5</v>
      </c>
      <c r="I927">
        <v>1</v>
      </c>
      <c r="J927">
        <v>0.24</v>
      </c>
      <c r="K927">
        <v>0.2273</v>
      </c>
      <c r="L927">
        <v>0.35</v>
      </c>
      <c r="M927">
        <v>0.19400000000000001</v>
      </c>
      <c r="N927">
        <v>21</v>
      </c>
      <c r="O927">
        <v>89</v>
      </c>
      <c r="P927">
        <v>110</v>
      </c>
      <c r="Q927" t="str">
        <f t="shared" si="56"/>
        <v>Weekday</v>
      </c>
      <c r="R927" t="str">
        <f t="shared" si="57"/>
        <v>Medium</v>
      </c>
      <c r="S927" s="10" t="str">
        <f t="shared" si="58"/>
        <v>Clear</v>
      </c>
      <c r="T927" s="10" t="str">
        <f t="shared" si="59"/>
        <v>Cold</v>
      </c>
    </row>
    <row r="928" spans="1:20" x14ac:dyDescent="0.3">
      <c r="A928">
        <v>936</v>
      </c>
      <c r="B928" t="s">
        <v>57</v>
      </c>
      <c r="C928">
        <v>1</v>
      </c>
      <c r="D928">
        <v>0</v>
      </c>
      <c r="E928">
        <v>2</v>
      </c>
      <c r="F928">
        <v>14</v>
      </c>
      <c r="G928" t="b">
        <v>0</v>
      </c>
      <c r="H928">
        <v>5</v>
      </c>
      <c r="I928">
        <v>1</v>
      </c>
      <c r="J928">
        <v>0.3</v>
      </c>
      <c r="K928">
        <v>0.28789999999999999</v>
      </c>
      <c r="L928">
        <v>0.26</v>
      </c>
      <c r="M928">
        <v>0.25369999999999998</v>
      </c>
      <c r="N928">
        <v>17</v>
      </c>
      <c r="O928">
        <v>67</v>
      </c>
      <c r="P928">
        <v>84</v>
      </c>
      <c r="Q928" t="str">
        <f t="shared" si="56"/>
        <v>Weekday</v>
      </c>
      <c r="R928" t="str">
        <f t="shared" si="57"/>
        <v>Medium</v>
      </c>
      <c r="S928" s="10" t="str">
        <f t="shared" si="58"/>
        <v>Clear</v>
      </c>
      <c r="T928" s="10" t="str">
        <f t="shared" si="59"/>
        <v>Warm</v>
      </c>
    </row>
    <row r="929" spans="1:20" x14ac:dyDescent="0.3">
      <c r="A929">
        <v>937</v>
      </c>
      <c r="B929" t="s">
        <v>57</v>
      </c>
      <c r="C929">
        <v>1</v>
      </c>
      <c r="D929">
        <v>0</v>
      </c>
      <c r="E929">
        <v>2</v>
      </c>
      <c r="F929">
        <v>15</v>
      </c>
      <c r="G929" t="b">
        <v>0</v>
      </c>
      <c r="H929">
        <v>5</v>
      </c>
      <c r="I929">
        <v>1</v>
      </c>
      <c r="J929">
        <v>0.32</v>
      </c>
      <c r="K929">
        <v>0.31819999999999998</v>
      </c>
      <c r="L929">
        <v>0.21</v>
      </c>
      <c r="M929">
        <v>0.16420000000000001</v>
      </c>
      <c r="N929">
        <v>12</v>
      </c>
      <c r="O929">
        <v>62</v>
      </c>
      <c r="P929">
        <v>74</v>
      </c>
      <c r="Q929" t="str">
        <f t="shared" si="56"/>
        <v>Weekday</v>
      </c>
      <c r="R929" t="str">
        <f t="shared" si="57"/>
        <v>Medium</v>
      </c>
      <c r="S929" s="10" t="str">
        <f t="shared" si="58"/>
        <v>Clear</v>
      </c>
      <c r="T929" s="10" t="str">
        <f t="shared" si="59"/>
        <v>Warm</v>
      </c>
    </row>
    <row r="930" spans="1:20" x14ac:dyDescent="0.3">
      <c r="A930">
        <v>938</v>
      </c>
      <c r="B930" t="s">
        <v>57</v>
      </c>
      <c r="C930">
        <v>1</v>
      </c>
      <c r="D930">
        <v>0</v>
      </c>
      <c r="E930">
        <v>2</v>
      </c>
      <c r="F930">
        <v>16</v>
      </c>
      <c r="G930" t="b">
        <v>0</v>
      </c>
      <c r="H930">
        <v>5</v>
      </c>
      <c r="I930">
        <v>1</v>
      </c>
      <c r="J930">
        <v>0.3</v>
      </c>
      <c r="K930">
        <v>0.28789999999999999</v>
      </c>
      <c r="L930">
        <v>0.28000000000000003</v>
      </c>
      <c r="M930">
        <v>0.19400000000000001</v>
      </c>
      <c r="N930">
        <v>14</v>
      </c>
      <c r="O930">
        <v>111</v>
      </c>
      <c r="P930">
        <v>125</v>
      </c>
      <c r="Q930" t="str">
        <f t="shared" si="56"/>
        <v>Weekday</v>
      </c>
      <c r="R930" t="str">
        <f t="shared" si="57"/>
        <v>Medium</v>
      </c>
      <c r="S930" s="10" t="str">
        <f t="shared" si="58"/>
        <v>Clear</v>
      </c>
      <c r="T930" s="10" t="str">
        <f t="shared" si="59"/>
        <v>Warm</v>
      </c>
    </row>
    <row r="931" spans="1:20" x14ac:dyDescent="0.3">
      <c r="A931">
        <v>939</v>
      </c>
      <c r="B931" t="s">
        <v>57</v>
      </c>
      <c r="C931">
        <v>1</v>
      </c>
      <c r="D931">
        <v>0</v>
      </c>
      <c r="E931">
        <v>2</v>
      </c>
      <c r="F931">
        <v>17</v>
      </c>
      <c r="G931" t="b">
        <v>0</v>
      </c>
      <c r="H931">
        <v>5</v>
      </c>
      <c r="I931">
        <v>1</v>
      </c>
      <c r="J931">
        <v>0.3</v>
      </c>
      <c r="K931">
        <v>0.33329999999999999</v>
      </c>
      <c r="L931">
        <v>0.24</v>
      </c>
      <c r="M931">
        <v>0</v>
      </c>
      <c r="N931">
        <v>18</v>
      </c>
      <c r="O931">
        <v>193</v>
      </c>
      <c r="P931">
        <v>211</v>
      </c>
      <c r="Q931" t="str">
        <f t="shared" si="56"/>
        <v>Weekday</v>
      </c>
      <c r="R931" t="str">
        <f t="shared" si="57"/>
        <v>High</v>
      </c>
      <c r="S931" s="10" t="str">
        <f t="shared" si="58"/>
        <v>Clear</v>
      </c>
      <c r="T931" s="10" t="str">
        <f t="shared" si="59"/>
        <v>Warm</v>
      </c>
    </row>
    <row r="932" spans="1:20" x14ac:dyDescent="0.3">
      <c r="A932">
        <v>940</v>
      </c>
      <c r="B932" t="s">
        <v>57</v>
      </c>
      <c r="C932">
        <v>1</v>
      </c>
      <c r="D932">
        <v>0</v>
      </c>
      <c r="E932">
        <v>2</v>
      </c>
      <c r="F932">
        <v>18</v>
      </c>
      <c r="G932" t="b">
        <v>0</v>
      </c>
      <c r="H932">
        <v>5</v>
      </c>
      <c r="I932">
        <v>1</v>
      </c>
      <c r="J932">
        <v>0.28000000000000003</v>
      </c>
      <c r="K932">
        <v>0.31819999999999998</v>
      </c>
      <c r="L932">
        <v>0.28000000000000003</v>
      </c>
      <c r="M932">
        <v>0</v>
      </c>
      <c r="N932">
        <v>9</v>
      </c>
      <c r="O932">
        <v>165</v>
      </c>
      <c r="P932">
        <v>174</v>
      </c>
      <c r="Q932" t="str">
        <f t="shared" si="56"/>
        <v>Weekday</v>
      </c>
      <c r="R932" t="str">
        <f t="shared" si="57"/>
        <v>High</v>
      </c>
      <c r="S932" s="10" t="str">
        <f t="shared" si="58"/>
        <v>Clear</v>
      </c>
      <c r="T932" s="10" t="str">
        <f t="shared" si="59"/>
        <v>Cold</v>
      </c>
    </row>
    <row r="933" spans="1:20" x14ac:dyDescent="0.3">
      <c r="A933">
        <v>941</v>
      </c>
      <c r="B933" t="s">
        <v>57</v>
      </c>
      <c r="C933">
        <v>1</v>
      </c>
      <c r="D933">
        <v>0</v>
      </c>
      <c r="E933">
        <v>2</v>
      </c>
      <c r="F933">
        <v>19</v>
      </c>
      <c r="G933" t="b">
        <v>0</v>
      </c>
      <c r="H933">
        <v>5</v>
      </c>
      <c r="I933">
        <v>1</v>
      </c>
      <c r="J933">
        <v>0.26</v>
      </c>
      <c r="K933">
        <v>0.30299999999999999</v>
      </c>
      <c r="L933">
        <v>0.33</v>
      </c>
      <c r="M933">
        <v>0</v>
      </c>
      <c r="N933">
        <v>7</v>
      </c>
      <c r="O933">
        <v>94</v>
      </c>
      <c r="P933">
        <v>101</v>
      </c>
      <c r="Q933" t="str">
        <f t="shared" si="56"/>
        <v>Weekday</v>
      </c>
      <c r="R933" t="str">
        <f t="shared" si="57"/>
        <v>Medium</v>
      </c>
      <c r="S933" s="10" t="str">
        <f t="shared" si="58"/>
        <v>Clear</v>
      </c>
      <c r="T933" s="10" t="str">
        <f t="shared" si="59"/>
        <v>Cold</v>
      </c>
    </row>
    <row r="934" spans="1:20" x14ac:dyDescent="0.3">
      <c r="A934">
        <v>942</v>
      </c>
      <c r="B934" t="s">
        <v>57</v>
      </c>
      <c r="C934">
        <v>1</v>
      </c>
      <c r="D934">
        <v>0</v>
      </c>
      <c r="E934">
        <v>2</v>
      </c>
      <c r="F934">
        <v>20</v>
      </c>
      <c r="G934" t="b">
        <v>0</v>
      </c>
      <c r="H934">
        <v>5</v>
      </c>
      <c r="I934">
        <v>1</v>
      </c>
      <c r="J934">
        <v>0.22</v>
      </c>
      <c r="K934">
        <v>0.2273</v>
      </c>
      <c r="L934">
        <v>0.55000000000000004</v>
      </c>
      <c r="M934">
        <v>0.1343</v>
      </c>
      <c r="N934">
        <v>2</v>
      </c>
      <c r="O934">
        <v>61</v>
      </c>
      <c r="P934">
        <v>63</v>
      </c>
      <c r="Q934" t="str">
        <f t="shared" si="56"/>
        <v>Weekday</v>
      </c>
      <c r="R934" t="str">
        <f t="shared" si="57"/>
        <v>Medium</v>
      </c>
      <c r="S934" s="10" t="str">
        <f t="shared" si="58"/>
        <v>Clear</v>
      </c>
      <c r="T934" s="10" t="str">
        <f t="shared" si="59"/>
        <v>Cold</v>
      </c>
    </row>
    <row r="935" spans="1:20" x14ac:dyDescent="0.3">
      <c r="A935">
        <v>943</v>
      </c>
      <c r="B935" t="s">
        <v>57</v>
      </c>
      <c r="C935">
        <v>1</v>
      </c>
      <c r="D935">
        <v>0</v>
      </c>
      <c r="E935">
        <v>2</v>
      </c>
      <c r="F935">
        <v>21</v>
      </c>
      <c r="G935" t="b">
        <v>0</v>
      </c>
      <c r="H935">
        <v>5</v>
      </c>
      <c r="I935">
        <v>1</v>
      </c>
      <c r="J935">
        <v>0.2</v>
      </c>
      <c r="K935">
        <v>0.21210000000000001</v>
      </c>
      <c r="L935">
        <v>0.59</v>
      </c>
      <c r="M935">
        <v>0.1343</v>
      </c>
      <c r="N935">
        <v>1</v>
      </c>
      <c r="O935">
        <v>46</v>
      </c>
      <c r="P935">
        <v>47</v>
      </c>
      <c r="Q935" t="str">
        <f t="shared" si="56"/>
        <v>Weekday</v>
      </c>
      <c r="R935" t="str">
        <f t="shared" si="57"/>
        <v>Low</v>
      </c>
      <c r="S935" s="10" t="str">
        <f t="shared" si="58"/>
        <v>Clear</v>
      </c>
      <c r="T935" s="10" t="str">
        <f t="shared" si="59"/>
        <v>Cold</v>
      </c>
    </row>
    <row r="936" spans="1:20" x14ac:dyDescent="0.3">
      <c r="A936">
        <v>944</v>
      </c>
      <c r="B936" t="s">
        <v>57</v>
      </c>
      <c r="C936">
        <v>1</v>
      </c>
      <c r="D936">
        <v>0</v>
      </c>
      <c r="E936">
        <v>2</v>
      </c>
      <c r="F936">
        <v>22</v>
      </c>
      <c r="G936" t="b">
        <v>0</v>
      </c>
      <c r="H936">
        <v>5</v>
      </c>
      <c r="I936">
        <v>1</v>
      </c>
      <c r="J936">
        <v>0.2</v>
      </c>
      <c r="K936">
        <v>0.2273</v>
      </c>
      <c r="L936">
        <v>0.64</v>
      </c>
      <c r="M936">
        <v>8.9599999999999999E-2</v>
      </c>
      <c r="N936">
        <v>2</v>
      </c>
      <c r="O936">
        <v>41</v>
      </c>
      <c r="P936">
        <v>43</v>
      </c>
      <c r="Q936" t="str">
        <f t="shared" si="56"/>
        <v>Weekday</v>
      </c>
      <c r="R936" t="str">
        <f t="shared" si="57"/>
        <v>Low</v>
      </c>
      <c r="S936" s="10" t="str">
        <f t="shared" si="58"/>
        <v>Clear</v>
      </c>
      <c r="T936" s="10" t="str">
        <f t="shared" si="59"/>
        <v>Cold</v>
      </c>
    </row>
    <row r="937" spans="1:20" x14ac:dyDescent="0.3">
      <c r="A937">
        <v>945</v>
      </c>
      <c r="B937" t="s">
        <v>57</v>
      </c>
      <c r="C937">
        <v>1</v>
      </c>
      <c r="D937">
        <v>0</v>
      </c>
      <c r="E937">
        <v>2</v>
      </c>
      <c r="F937">
        <v>23</v>
      </c>
      <c r="G937" t="b">
        <v>0</v>
      </c>
      <c r="H937">
        <v>5</v>
      </c>
      <c r="I937">
        <v>1</v>
      </c>
      <c r="J937">
        <v>0.18</v>
      </c>
      <c r="K937">
        <v>0.2424</v>
      </c>
      <c r="L937">
        <v>0.69</v>
      </c>
      <c r="M937">
        <v>0</v>
      </c>
      <c r="N937">
        <v>5</v>
      </c>
      <c r="O937">
        <v>48</v>
      </c>
      <c r="P937">
        <v>53</v>
      </c>
      <c r="Q937" t="str">
        <f t="shared" si="56"/>
        <v>Weekday</v>
      </c>
      <c r="R937" t="str">
        <f t="shared" si="57"/>
        <v>Medium</v>
      </c>
      <c r="S937" s="10" t="str">
        <f t="shared" si="58"/>
        <v>Clear</v>
      </c>
      <c r="T937" s="10" t="str">
        <f t="shared" si="59"/>
        <v>Cold</v>
      </c>
    </row>
    <row r="938" spans="1:20" x14ac:dyDescent="0.3">
      <c r="A938">
        <v>946</v>
      </c>
      <c r="B938" t="s">
        <v>58</v>
      </c>
      <c r="C938">
        <v>1</v>
      </c>
      <c r="D938">
        <v>0</v>
      </c>
      <c r="E938">
        <v>2</v>
      </c>
      <c r="F938">
        <v>0</v>
      </c>
      <c r="G938" t="b">
        <v>0</v>
      </c>
      <c r="H938">
        <v>6</v>
      </c>
      <c r="I938">
        <v>1</v>
      </c>
      <c r="J938">
        <v>0.16</v>
      </c>
      <c r="K938">
        <v>0.19700000000000001</v>
      </c>
      <c r="L938">
        <v>0.69</v>
      </c>
      <c r="M938">
        <v>8.9599999999999999E-2</v>
      </c>
      <c r="N938">
        <v>3</v>
      </c>
      <c r="O938">
        <v>27</v>
      </c>
      <c r="P938">
        <v>30</v>
      </c>
      <c r="Q938" t="str">
        <f t="shared" si="56"/>
        <v>Weekday</v>
      </c>
      <c r="R938" t="str">
        <f t="shared" si="57"/>
        <v>Low</v>
      </c>
      <c r="S938" s="10" t="str">
        <f t="shared" si="58"/>
        <v>Clear</v>
      </c>
      <c r="T938" s="10" t="str">
        <f t="shared" si="59"/>
        <v>Cold</v>
      </c>
    </row>
    <row r="939" spans="1:20" x14ac:dyDescent="0.3">
      <c r="A939">
        <v>947</v>
      </c>
      <c r="B939" t="s">
        <v>58</v>
      </c>
      <c r="C939">
        <v>1</v>
      </c>
      <c r="D939">
        <v>0</v>
      </c>
      <c r="E939">
        <v>2</v>
      </c>
      <c r="F939">
        <v>1</v>
      </c>
      <c r="G939" t="b">
        <v>0</v>
      </c>
      <c r="H939">
        <v>6</v>
      </c>
      <c r="I939">
        <v>1</v>
      </c>
      <c r="J939">
        <v>0.14000000000000001</v>
      </c>
      <c r="K939">
        <v>0.21210000000000001</v>
      </c>
      <c r="L939">
        <v>0.86</v>
      </c>
      <c r="M939">
        <v>0</v>
      </c>
      <c r="N939">
        <v>2</v>
      </c>
      <c r="O939">
        <v>22</v>
      </c>
      <c r="P939">
        <v>24</v>
      </c>
      <c r="Q939" t="str">
        <f t="shared" si="56"/>
        <v>Weekday</v>
      </c>
      <c r="R939" t="str">
        <f t="shared" si="57"/>
        <v>Low</v>
      </c>
      <c r="S939" s="10" t="str">
        <f t="shared" si="58"/>
        <v>Clear</v>
      </c>
      <c r="T939" s="10" t="str">
        <f t="shared" si="59"/>
        <v>Cold</v>
      </c>
    </row>
    <row r="940" spans="1:20" x14ac:dyDescent="0.3">
      <c r="A940">
        <v>948</v>
      </c>
      <c r="B940" t="s">
        <v>58</v>
      </c>
      <c r="C940">
        <v>1</v>
      </c>
      <c r="D940">
        <v>0</v>
      </c>
      <c r="E940">
        <v>2</v>
      </c>
      <c r="F940">
        <v>2</v>
      </c>
      <c r="G940" t="b">
        <v>0</v>
      </c>
      <c r="H940">
        <v>6</v>
      </c>
      <c r="I940">
        <v>1</v>
      </c>
      <c r="J940">
        <v>0.14000000000000001</v>
      </c>
      <c r="K940">
        <v>0.21210000000000001</v>
      </c>
      <c r="L940">
        <v>0.8</v>
      </c>
      <c r="M940">
        <v>0</v>
      </c>
      <c r="N940">
        <v>2</v>
      </c>
      <c r="O940">
        <v>13</v>
      </c>
      <c r="P940">
        <v>15</v>
      </c>
      <c r="Q940" t="str">
        <f t="shared" si="56"/>
        <v>Weekday</v>
      </c>
      <c r="R940" t="str">
        <f t="shared" si="57"/>
        <v>Low</v>
      </c>
      <c r="S940" s="10" t="str">
        <f t="shared" si="58"/>
        <v>Clear</v>
      </c>
      <c r="T940" s="10" t="str">
        <f t="shared" si="59"/>
        <v>Cold</v>
      </c>
    </row>
    <row r="941" spans="1:20" x14ac:dyDescent="0.3">
      <c r="A941">
        <v>949</v>
      </c>
      <c r="B941" t="s">
        <v>58</v>
      </c>
      <c r="C941">
        <v>1</v>
      </c>
      <c r="D941">
        <v>0</v>
      </c>
      <c r="E941">
        <v>2</v>
      </c>
      <c r="F941">
        <v>3</v>
      </c>
      <c r="G941" t="b">
        <v>0</v>
      </c>
      <c r="H941">
        <v>6</v>
      </c>
      <c r="I941">
        <v>1</v>
      </c>
      <c r="J941">
        <v>0.12</v>
      </c>
      <c r="K941">
        <v>0.19700000000000001</v>
      </c>
      <c r="L941">
        <v>0.8</v>
      </c>
      <c r="M941">
        <v>0</v>
      </c>
      <c r="N941">
        <v>3</v>
      </c>
      <c r="O941">
        <v>7</v>
      </c>
      <c r="P941">
        <v>10</v>
      </c>
      <c r="Q941" t="str">
        <f t="shared" si="56"/>
        <v>Weekday</v>
      </c>
      <c r="R941" t="str">
        <f t="shared" si="57"/>
        <v>Low</v>
      </c>
      <c r="S941" s="10" t="str">
        <f t="shared" si="58"/>
        <v>Clear</v>
      </c>
      <c r="T941" s="10" t="str">
        <f t="shared" si="59"/>
        <v>Cold</v>
      </c>
    </row>
    <row r="942" spans="1:20" x14ac:dyDescent="0.3">
      <c r="A942">
        <v>950</v>
      </c>
      <c r="B942" t="s">
        <v>58</v>
      </c>
      <c r="C942">
        <v>1</v>
      </c>
      <c r="D942">
        <v>0</v>
      </c>
      <c r="E942">
        <v>2</v>
      </c>
      <c r="F942">
        <v>4</v>
      </c>
      <c r="G942" t="b">
        <v>0</v>
      </c>
      <c r="H942">
        <v>6</v>
      </c>
      <c r="I942">
        <v>1</v>
      </c>
      <c r="J942">
        <v>0.12</v>
      </c>
      <c r="K942">
        <v>0.16669999999999999</v>
      </c>
      <c r="L942">
        <v>0.74</v>
      </c>
      <c r="M942">
        <v>8.9599999999999999E-2</v>
      </c>
      <c r="N942">
        <v>0</v>
      </c>
      <c r="O942">
        <v>4</v>
      </c>
      <c r="P942">
        <v>4</v>
      </c>
      <c r="Q942" t="str">
        <f t="shared" si="56"/>
        <v>Weekday</v>
      </c>
      <c r="R942" t="str">
        <f t="shared" si="57"/>
        <v>Low</v>
      </c>
      <c r="S942" s="10" t="str">
        <f t="shared" si="58"/>
        <v>Clear</v>
      </c>
      <c r="T942" s="10" t="str">
        <f t="shared" si="59"/>
        <v>Cold</v>
      </c>
    </row>
    <row r="943" spans="1:20" x14ac:dyDescent="0.3">
      <c r="A943">
        <v>951</v>
      </c>
      <c r="B943" t="s">
        <v>58</v>
      </c>
      <c r="C943">
        <v>1</v>
      </c>
      <c r="D943">
        <v>0</v>
      </c>
      <c r="E943">
        <v>2</v>
      </c>
      <c r="F943">
        <v>5</v>
      </c>
      <c r="G943" t="b">
        <v>0</v>
      </c>
      <c r="H943">
        <v>6</v>
      </c>
      <c r="I943">
        <v>1</v>
      </c>
      <c r="J943">
        <v>0.12</v>
      </c>
      <c r="K943">
        <v>0.16669999999999999</v>
      </c>
      <c r="L943">
        <v>0.74</v>
      </c>
      <c r="M943">
        <v>8.9599999999999999E-2</v>
      </c>
      <c r="N943">
        <v>0</v>
      </c>
      <c r="O943">
        <v>1</v>
      </c>
      <c r="P943">
        <v>1</v>
      </c>
      <c r="Q943" t="str">
        <f t="shared" si="56"/>
        <v>Weekday</v>
      </c>
      <c r="R943" t="str">
        <f t="shared" si="57"/>
        <v>Low</v>
      </c>
      <c r="S943" s="10" t="str">
        <f t="shared" si="58"/>
        <v>Clear</v>
      </c>
      <c r="T943" s="10" t="str">
        <f t="shared" si="59"/>
        <v>Cold</v>
      </c>
    </row>
    <row r="944" spans="1:20" x14ac:dyDescent="0.3">
      <c r="A944">
        <v>952</v>
      </c>
      <c r="B944" t="s">
        <v>58</v>
      </c>
      <c r="C944">
        <v>1</v>
      </c>
      <c r="D944">
        <v>0</v>
      </c>
      <c r="E944">
        <v>2</v>
      </c>
      <c r="F944">
        <v>6</v>
      </c>
      <c r="G944" t="b">
        <v>0</v>
      </c>
      <c r="H944">
        <v>6</v>
      </c>
      <c r="I944">
        <v>1</v>
      </c>
      <c r="J944">
        <v>0.12</v>
      </c>
      <c r="K944">
        <v>0.13639999999999999</v>
      </c>
      <c r="L944">
        <v>0.93</v>
      </c>
      <c r="M944">
        <v>0.19400000000000001</v>
      </c>
      <c r="N944">
        <v>1</v>
      </c>
      <c r="O944">
        <v>1</v>
      </c>
      <c r="P944">
        <v>2</v>
      </c>
      <c r="Q944" t="str">
        <f t="shared" si="56"/>
        <v>Weekday</v>
      </c>
      <c r="R944" t="str">
        <f t="shared" si="57"/>
        <v>Low</v>
      </c>
      <c r="S944" s="10" t="str">
        <f t="shared" si="58"/>
        <v>Clear</v>
      </c>
      <c r="T944" s="10" t="str">
        <f t="shared" si="59"/>
        <v>Cold</v>
      </c>
    </row>
    <row r="945" spans="1:20" x14ac:dyDescent="0.3">
      <c r="A945">
        <v>953</v>
      </c>
      <c r="B945" t="s">
        <v>58</v>
      </c>
      <c r="C945">
        <v>1</v>
      </c>
      <c r="D945">
        <v>0</v>
      </c>
      <c r="E945">
        <v>2</v>
      </c>
      <c r="F945">
        <v>7</v>
      </c>
      <c r="G945" t="b">
        <v>0</v>
      </c>
      <c r="H945">
        <v>6</v>
      </c>
      <c r="I945">
        <v>1</v>
      </c>
      <c r="J945">
        <v>0.12</v>
      </c>
      <c r="K945">
        <v>0.1515</v>
      </c>
      <c r="L945">
        <v>0.8</v>
      </c>
      <c r="M945">
        <v>0.1045</v>
      </c>
      <c r="N945">
        <v>2</v>
      </c>
      <c r="O945">
        <v>9</v>
      </c>
      <c r="P945">
        <v>11</v>
      </c>
      <c r="Q945" t="str">
        <f t="shared" si="56"/>
        <v>Weekday</v>
      </c>
      <c r="R945" t="str">
        <f t="shared" si="57"/>
        <v>Low</v>
      </c>
      <c r="S945" s="10" t="str">
        <f t="shared" si="58"/>
        <v>Clear</v>
      </c>
      <c r="T945" s="10" t="str">
        <f t="shared" si="59"/>
        <v>Cold</v>
      </c>
    </row>
    <row r="946" spans="1:20" x14ac:dyDescent="0.3">
      <c r="A946">
        <v>954</v>
      </c>
      <c r="B946" t="s">
        <v>58</v>
      </c>
      <c r="C946">
        <v>1</v>
      </c>
      <c r="D946">
        <v>0</v>
      </c>
      <c r="E946">
        <v>2</v>
      </c>
      <c r="F946">
        <v>8</v>
      </c>
      <c r="G946" t="b">
        <v>0</v>
      </c>
      <c r="H946">
        <v>6</v>
      </c>
      <c r="I946">
        <v>1</v>
      </c>
      <c r="J946">
        <v>0.14000000000000001</v>
      </c>
      <c r="K946">
        <v>0.1515</v>
      </c>
      <c r="L946">
        <v>0.86</v>
      </c>
      <c r="M946">
        <v>0.1343</v>
      </c>
      <c r="N946">
        <v>2</v>
      </c>
      <c r="O946">
        <v>28</v>
      </c>
      <c r="P946">
        <v>30</v>
      </c>
      <c r="Q946" t="str">
        <f t="shared" si="56"/>
        <v>Weekday</v>
      </c>
      <c r="R946" t="str">
        <f t="shared" si="57"/>
        <v>Low</v>
      </c>
      <c r="S946" s="10" t="str">
        <f t="shared" si="58"/>
        <v>Clear</v>
      </c>
      <c r="T946" s="10" t="str">
        <f t="shared" si="59"/>
        <v>Cold</v>
      </c>
    </row>
    <row r="947" spans="1:20" x14ac:dyDescent="0.3">
      <c r="A947">
        <v>955</v>
      </c>
      <c r="B947" t="s">
        <v>58</v>
      </c>
      <c r="C947">
        <v>1</v>
      </c>
      <c r="D947">
        <v>0</v>
      </c>
      <c r="E947">
        <v>2</v>
      </c>
      <c r="F947">
        <v>9</v>
      </c>
      <c r="G947" t="b">
        <v>0</v>
      </c>
      <c r="H947">
        <v>6</v>
      </c>
      <c r="I947">
        <v>1</v>
      </c>
      <c r="J947">
        <v>0.16</v>
      </c>
      <c r="K947">
        <v>0.18179999999999999</v>
      </c>
      <c r="L947">
        <v>0.64</v>
      </c>
      <c r="M947">
        <v>0.1343</v>
      </c>
      <c r="N947">
        <v>5</v>
      </c>
      <c r="O947">
        <v>38</v>
      </c>
      <c r="P947">
        <v>43</v>
      </c>
      <c r="Q947" t="str">
        <f t="shared" si="56"/>
        <v>Weekday</v>
      </c>
      <c r="R947" t="str">
        <f t="shared" si="57"/>
        <v>Low</v>
      </c>
      <c r="S947" s="10" t="str">
        <f t="shared" si="58"/>
        <v>Clear</v>
      </c>
      <c r="T947" s="10" t="str">
        <f t="shared" si="59"/>
        <v>Cold</v>
      </c>
    </row>
    <row r="948" spans="1:20" x14ac:dyDescent="0.3">
      <c r="A948">
        <v>956</v>
      </c>
      <c r="B948" t="s">
        <v>58</v>
      </c>
      <c r="C948">
        <v>1</v>
      </c>
      <c r="D948">
        <v>0</v>
      </c>
      <c r="E948">
        <v>2</v>
      </c>
      <c r="F948">
        <v>10</v>
      </c>
      <c r="G948" t="b">
        <v>0</v>
      </c>
      <c r="H948">
        <v>6</v>
      </c>
      <c r="I948">
        <v>1</v>
      </c>
      <c r="J948">
        <v>0.22</v>
      </c>
      <c r="K948">
        <v>0.21210000000000001</v>
      </c>
      <c r="L948">
        <v>0.41</v>
      </c>
      <c r="M948">
        <v>0.25369999999999998</v>
      </c>
      <c r="N948">
        <v>13</v>
      </c>
      <c r="O948">
        <v>71</v>
      </c>
      <c r="P948">
        <v>84</v>
      </c>
      <c r="Q948" t="str">
        <f t="shared" si="56"/>
        <v>Weekday</v>
      </c>
      <c r="R948" t="str">
        <f t="shared" si="57"/>
        <v>Medium</v>
      </c>
      <c r="S948" s="10" t="str">
        <f t="shared" si="58"/>
        <v>Clear</v>
      </c>
      <c r="T948" s="10" t="str">
        <f t="shared" si="59"/>
        <v>Cold</v>
      </c>
    </row>
    <row r="949" spans="1:20" x14ac:dyDescent="0.3">
      <c r="A949">
        <v>957</v>
      </c>
      <c r="B949" t="s">
        <v>58</v>
      </c>
      <c r="C949">
        <v>1</v>
      </c>
      <c r="D949">
        <v>0</v>
      </c>
      <c r="E949">
        <v>2</v>
      </c>
      <c r="F949">
        <v>11</v>
      </c>
      <c r="G949" t="b">
        <v>0</v>
      </c>
      <c r="H949">
        <v>6</v>
      </c>
      <c r="I949">
        <v>1</v>
      </c>
      <c r="J949">
        <v>0.3</v>
      </c>
      <c r="K949">
        <v>0.2727</v>
      </c>
      <c r="L949">
        <v>0.28000000000000003</v>
      </c>
      <c r="M949">
        <v>0.32840000000000003</v>
      </c>
      <c r="N949">
        <v>30</v>
      </c>
      <c r="O949">
        <v>84</v>
      </c>
      <c r="P949">
        <v>114</v>
      </c>
      <c r="Q949" t="str">
        <f t="shared" si="56"/>
        <v>Weekday</v>
      </c>
      <c r="R949" t="str">
        <f t="shared" si="57"/>
        <v>Medium</v>
      </c>
      <c r="S949" s="10" t="str">
        <f t="shared" si="58"/>
        <v>Clear</v>
      </c>
      <c r="T949" s="10" t="str">
        <f t="shared" si="59"/>
        <v>Warm</v>
      </c>
    </row>
    <row r="950" spans="1:20" x14ac:dyDescent="0.3">
      <c r="A950">
        <v>958</v>
      </c>
      <c r="B950" t="s">
        <v>58</v>
      </c>
      <c r="C950">
        <v>1</v>
      </c>
      <c r="D950">
        <v>0</v>
      </c>
      <c r="E950">
        <v>2</v>
      </c>
      <c r="F950">
        <v>12</v>
      </c>
      <c r="G950" t="b">
        <v>0</v>
      </c>
      <c r="H950">
        <v>6</v>
      </c>
      <c r="I950">
        <v>1</v>
      </c>
      <c r="J950">
        <v>0.3</v>
      </c>
      <c r="K950">
        <v>0.2727</v>
      </c>
      <c r="L950">
        <v>0.39</v>
      </c>
      <c r="M950">
        <v>0.4627</v>
      </c>
      <c r="N950">
        <v>27</v>
      </c>
      <c r="O950">
        <v>93</v>
      </c>
      <c r="P950">
        <v>120</v>
      </c>
      <c r="Q950" t="str">
        <f t="shared" si="56"/>
        <v>Weekday</v>
      </c>
      <c r="R950" t="str">
        <f t="shared" si="57"/>
        <v>Medium</v>
      </c>
      <c r="S950" s="10" t="str">
        <f t="shared" si="58"/>
        <v>Clear</v>
      </c>
      <c r="T950" s="10" t="str">
        <f t="shared" si="59"/>
        <v>Warm</v>
      </c>
    </row>
    <row r="951" spans="1:20" x14ac:dyDescent="0.3">
      <c r="A951">
        <v>959</v>
      </c>
      <c r="B951" t="s">
        <v>58</v>
      </c>
      <c r="C951">
        <v>1</v>
      </c>
      <c r="D951">
        <v>0</v>
      </c>
      <c r="E951">
        <v>2</v>
      </c>
      <c r="F951">
        <v>13</v>
      </c>
      <c r="G951" t="b">
        <v>0</v>
      </c>
      <c r="H951">
        <v>6</v>
      </c>
      <c r="I951">
        <v>1</v>
      </c>
      <c r="J951">
        <v>0.3</v>
      </c>
      <c r="K951">
        <v>0.2727</v>
      </c>
      <c r="L951">
        <v>0.39</v>
      </c>
      <c r="M951">
        <v>0.41789999999999999</v>
      </c>
      <c r="N951">
        <v>32</v>
      </c>
      <c r="O951">
        <v>103</v>
      </c>
      <c r="P951">
        <v>135</v>
      </c>
      <c r="Q951" t="str">
        <f t="shared" si="56"/>
        <v>Weekday</v>
      </c>
      <c r="R951" t="str">
        <f t="shared" si="57"/>
        <v>Medium</v>
      </c>
      <c r="S951" s="10" t="str">
        <f t="shared" si="58"/>
        <v>Clear</v>
      </c>
      <c r="T951" s="10" t="str">
        <f t="shared" si="59"/>
        <v>Warm</v>
      </c>
    </row>
    <row r="952" spans="1:20" x14ac:dyDescent="0.3">
      <c r="A952">
        <v>960</v>
      </c>
      <c r="B952" t="s">
        <v>58</v>
      </c>
      <c r="C952">
        <v>1</v>
      </c>
      <c r="D952">
        <v>0</v>
      </c>
      <c r="E952">
        <v>2</v>
      </c>
      <c r="F952">
        <v>14</v>
      </c>
      <c r="G952" t="b">
        <v>0</v>
      </c>
      <c r="H952">
        <v>6</v>
      </c>
      <c r="I952">
        <v>1</v>
      </c>
      <c r="J952">
        <v>0.34</v>
      </c>
      <c r="K952">
        <v>0.31819999999999998</v>
      </c>
      <c r="L952">
        <v>0.31</v>
      </c>
      <c r="M952">
        <v>0.28360000000000002</v>
      </c>
      <c r="N952">
        <v>30</v>
      </c>
      <c r="O952">
        <v>90</v>
      </c>
      <c r="P952">
        <v>120</v>
      </c>
      <c r="Q952" t="str">
        <f t="shared" si="56"/>
        <v>Weekday</v>
      </c>
      <c r="R952" t="str">
        <f t="shared" si="57"/>
        <v>Medium</v>
      </c>
      <c r="S952" s="10" t="str">
        <f t="shared" si="58"/>
        <v>Clear</v>
      </c>
      <c r="T952" s="10" t="str">
        <f t="shared" si="59"/>
        <v>Warm</v>
      </c>
    </row>
    <row r="953" spans="1:20" x14ac:dyDescent="0.3">
      <c r="A953">
        <v>961</v>
      </c>
      <c r="B953" t="s">
        <v>58</v>
      </c>
      <c r="C953">
        <v>1</v>
      </c>
      <c r="D953">
        <v>0</v>
      </c>
      <c r="E953">
        <v>2</v>
      </c>
      <c r="F953">
        <v>15</v>
      </c>
      <c r="G953" t="b">
        <v>0</v>
      </c>
      <c r="H953">
        <v>6</v>
      </c>
      <c r="I953">
        <v>1</v>
      </c>
      <c r="J953">
        <v>0.34</v>
      </c>
      <c r="K953">
        <v>0.30299999999999999</v>
      </c>
      <c r="L953">
        <v>0.28999999999999998</v>
      </c>
      <c r="M953">
        <v>0.41789999999999999</v>
      </c>
      <c r="N953">
        <v>47</v>
      </c>
      <c r="O953">
        <v>127</v>
      </c>
      <c r="P953">
        <v>174</v>
      </c>
      <c r="Q953" t="str">
        <f t="shared" si="56"/>
        <v>Weekday</v>
      </c>
      <c r="R953" t="str">
        <f t="shared" si="57"/>
        <v>High</v>
      </c>
      <c r="S953" s="10" t="str">
        <f t="shared" si="58"/>
        <v>Clear</v>
      </c>
      <c r="T953" s="10" t="str">
        <f t="shared" si="59"/>
        <v>Warm</v>
      </c>
    </row>
    <row r="954" spans="1:20" x14ac:dyDescent="0.3">
      <c r="A954">
        <v>962</v>
      </c>
      <c r="B954" t="s">
        <v>58</v>
      </c>
      <c r="C954">
        <v>1</v>
      </c>
      <c r="D954">
        <v>0</v>
      </c>
      <c r="E954">
        <v>2</v>
      </c>
      <c r="F954">
        <v>16</v>
      </c>
      <c r="G954" t="b">
        <v>0</v>
      </c>
      <c r="H954">
        <v>6</v>
      </c>
      <c r="I954">
        <v>1</v>
      </c>
      <c r="J954">
        <v>0.34</v>
      </c>
      <c r="K954">
        <v>0.30299999999999999</v>
      </c>
      <c r="L954">
        <v>0.28999999999999998</v>
      </c>
      <c r="M954">
        <v>0.41789999999999999</v>
      </c>
      <c r="N954">
        <v>42</v>
      </c>
      <c r="O954">
        <v>103</v>
      </c>
      <c r="P954">
        <v>145</v>
      </c>
      <c r="Q954" t="str">
        <f t="shared" si="56"/>
        <v>Weekday</v>
      </c>
      <c r="R954" t="str">
        <f t="shared" si="57"/>
        <v>Medium</v>
      </c>
      <c r="S954" s="10" t="str">
        <f t="shared" si="58"/>
        <v>Clear</v>
      </c>
      <c r="T954" s="10" t="str">
        <f t="shared" si="59"/>
        <v>Warm</v>
      </c>
    </row>
    <row r="955" spans="1:20" x14ac:dyDescent="0.3">
      <c r="A955">
        <v>963</v>
      </c>
      <c r="B955" t="s">
        <v>58</v>
      </c>
      <c r="C955">
        <v>1</v>
      </c>
      <c r="D955">
        <v>0</v>
      </c>
      <c r="E955">
        <v>2</v>
      </c>
      <c r="F955">
        <v>17</v>
      </c>
      <c r="G955" t="b">
        <v>0</v>
      </c>
      <c r="H955">
        <v>6</v>
      </c>
      <c r="I955">
        <v>1</v>
      </c>
      <c r="J955">
        <v>0.32</v>
      </c>
      <c r="K955">
        <v>0.28789999999999999</v>
      </c>
      <c r="L955">
        <v>0.31</v>
      </c>
      <c r="M955">
        <v>0.52239999999999998</v>
      </c>
      <c r="N955">
        <v>24</v>
      </c>
      <c r="O955">
        <v>113</v>
      </c>
      <c r="P955">
        <v>137</v>
      </c>
      <c r="Q955" t="str">
        <f t="shared" si="56"/>
        <v>Weekday</v>
      </c>
      <c r="R955" t="str">
        <f t="shared" si="57"/>
        <v>Medium</v>
      </c>
      <c r="S955" s="10" t="str">
        <f t="shared" si="58"/>
        <v>Clear</v>
      </c>
      <c r="T955" s="10" t="str">
        <f t="shared" si="59"/>
        <v>Warm</v>
      </c>
    </row>
    <row r="956" spans="1:20" x14ac:dyDescent="0.3">
      <c r="A956">
        <v>964</v>
      </c>
      <c r="B956" t="s">
        <v>58</v>
      </c>
      <c r="C956">
        <v>1</v>
      </c>
      <c r="D956">
        <v>0</v>
      </c>
      <c r="E956">
        <v>2</v>
      </c>
      <c r="F956">
        <v>18</v>
      </c>
      <c r="G956" t="b">
        <v>0</v>
      </c>
      <c r="H956">
        <v>6</v>
      </c>
      <c r="I956">
        <v>1</v>
      </c>
      <c r="J956">
        <v>0.28000000000000003</v>
      </c>
      <c r="K956">
        <v>0.2576</v>
      </c>
      <c r="L956">
        <v>0.38</v>
      </c>
      <c r="M956">
        <v>0.32840000000000003</v>
      </c>
      <c r="N956">
        <v>4</v>
      </c>
      <c r="O956">
        <v>60</v>
      </c>
      <c r="P956">
        <v>64</v>
      </c>
      <c r="Q956" t="str">
        <f t="shared" si="56"/>
        <v>Weekday</v>
      </c>
      <c r="R956" t="str">
        <f t="shared" si="57"/>
        <v>Medium</v>
      </c>
      <c r="S956" s="10" t="str">
        <f t="shared" si="58"/>
        <v>Clear</v>
      </c>
      <c r="T956" s="10" t="str">
        <f t="shared" si="59"/>
        <v>Cold</v>
      </c>
    </row>
    <row r="957" spans="1:20" x14ac:dyDescent="0.3">
      <c r="A957">
        <v>965</v>
      </c>
      <c r="B957" t="s">
        <v>58</v>
      </c>
      <c r="C957">
        <v>1</v>
      </c>
      <c r="D957">
        <v>0</v>
      </c>
      <c r="E957">
        <v>2</v>
      </c>
      <c r="F957">
        <v>19</v>
      </c>
      <c r="G957" t="b">
        <v>0</v>
      </c>
      <c r="H957">
        <v>6</v>
      </c>
      <c r="I957">
        <v>1</v>
      </c>
      <c r="J957">
        <v>0.28000000000000003</v>
      </c>
      <c r="K957">
        <v>0.2727</v>
      </c>
      <c r="L957">
        <v>0.38</v>
      </c>
      <c r="M957">
        <v>0.16420000000000001</v>
      </c>
      <c r="N957">
        <v>2</v>
      </c>
      <c r="O957">
        <v>39</v>
      </c>
      <c r="P957">
        <v>41</v>
      </c>
      <c r="Q957" t="str">
        <f t="shared" si="56"/>
        <v>Weekday</v>
      </c>
      <c r="R957" t="str">
        <f t="shared" si="57"/>
        <v>Low</v>
      </c>
      <c r="S957" s="10" t="str">
        <f t="shared" si="58"/>
        <v>Clear</v>
      </c>
      <c r="T957" s="10" t="str">
        <f t="shared" si="59"/>
        <v>Cold</v>
      </c>
    </row>
    <row r="958" spans="1:20" x14ac:dyDescent="0.3">
      <c r="A958">
        <v>966</v>
      </c>
      <c r="B958" t="s">
        <v>58</v>
      </c>
      <c r="C958">
        <v>1</v>
      </c>
      <c r="D958">
        <v>0</v>
      </c>
      <c r="E958">
        <v>2</v>
      </c>
      <c r="F958">
        <v>20</v>
      </c>
      <c r="G958" t="b">
        <v>0</v>
      </c>
      <c r="H958">
        <v>6</v>
      </c>
      <c r="I958">
        <v>1</v>
      </c>
      <c r="J958">
        <v>0.26</v>
      </c>
      <c r="K958">
        <v>0.2576</v>
      </c>
      <c r="L958">
        <v>0.41</v>
      </c>
      <c r="M958">
        <v>0.22389999999999999</v>
      </c>
      <c r="N958">
        <v>1</v>
      </c>
      <c r="O958">
        <v>39</v>
      </c>
      <c r="P958">
        <v>40</v>
      </c>
      <c r="Q958" t="str">
        <f t="shared" si="56"/>
        <v>Weekday</v>
      </c>
      <c r="R958" t="str">
        <f t="shared" si="57"/>
        <v>Low</v>
      </c>
      <c r="S958" s="10" t="str">
        <f t="shared" si="58"/>
        <v>Clear</v>
      </c>
      <c r="T958" s="10" t="str">
        <f t="shared" si="59"/>
        <v>Cold</v>
      </c>
    </row>
    <row r="959" spans="1:20" x14ac:dyDescent="0.3">
      <c r="A959">
        <v>967</v>
      </c>
      <c r="B959" t="s">
        <v>58</v>
      </c>
      <c r="C959">
        <v>1</v>
      </c>
      <c r="D959">
        <v>0</v>
      </c>
      <c r="E959">
        <v>2</v>
      </c>
      <c r="F959">
        <v>21</v>
      </c>
      <c r="G959" t="b">
        <v>0</v>
      </c>
      <c r="H959">
        <v>6</v>
      </c>
      <c r="I959">
        <v>1</v>
      </c>
      <c r="J959">
        <v>0.26</v>
      </c>
      <c r="K959">
        <v>0.30299999999999999</v>
      </c>
      <c r="L959">
        <v>0.41</v>
      </c>
      <c r="M959">
        <v>0</v>
      </c>
      <c r="N959">
        <v>9</v>
      </c>
      <c r="O959">
        <v>42</v>
      </c>
      <c r="P959">
        <v>51</v>
      </c>
      <c r="Q959" t="str">
        <f t="shared" si="56"/>
        <v>Weekday</v>
      </c>
      <c r="R959" t="str">
        <f t="shared" si="57"/>
        <v>Medium</v>
      </c>
      <c r="S959" s="10" t="str">
        <f t="shared" si="58"/>
        <v>Clear</v>
      </c>
      <c r="T959" s="10" t="str">
        <f t="shared" si="59"/>
        <v>Cold</v>
      </c>
    </row>
    <row r="960" spans="1:20" x14ac:dyDescent="0.3">
      <c r="A960">
        <v>968</v>
      </c>
      <c r="B960" t="s">
        <v>58</v>
      </c>
      <c r="C960">
        <v>1</v>
      </c>
      <c r="D960">
        <v>0</v>
      </c>
      <c r="E960">
        <v>2</v>
      </c>
      <c r="F960">
        <v>22</v>
      </c>
      <c r="G960" t="b">
        <v>0</v>
      </c>
      <c r="H960">
        <v>6</v>
      </c>
      <c r="I960">
        <v>1</v>
      </c>
      <c r="J960">
        <v>0.24</v>
      </c>
      <c r="K960">
        <v>0.2576</v>
      </c>
      <c r="L960">
        <v>0.44</v>
      </c>
      <c r="M960">
        <v>8.9599999999999999E-2</v>
      </c>
      <c r="N960">
        <v>6</v>
      </c>
      <c r="O960">
        <v>39</v>
      </c>
      <c r="P960">
        <v>45</v>
      </c>
      <c r="Q960" t="str">
        <f t="shared" si="56"/>
        <v>Weekday</v>
      </c>
      <c r="R960" t="str">
        <f t="shared" si="57"/>
        <v>Low</v>
      </c>
      <c r="S960" s="10" t="str">
        <f t="shared" si="58"/>
        <v>Clear</v>
      </c>
      <c r="T960" s="10" t="str">
        <f t="shared" si="59"/>
        <v>Cold</v>
      </c>
    </row>
    <row r="961" spans="1:20" x14ac:dyDescent="0.3">
      <c r="A961">
        <v>969</v>
      </c>
      <c r="B961" t="s">
        <v>58</v>
      </c>
      <c r="C961">
        <v>1</v>
      </c>
      <c r="D961">
        <v>0</v>
      </c>
      <c r="E961">
        <v>2</v>
      </c>
      <c r="F961">
        <v>23</v>
      </c>
      <c r="G961" t="b">
        <v>0</v>
      </c>
      <c r="H961">
        <v>6</v>
      </c>
      <c r="I961">
        <v>1</v>
      </c>
      <c r="J961">
        <v>0.22</v>
      </c>
      <c r="K961">
        <v>0.2273</v>
      </c>
      <c r="L961">
        <v>0.51</v>
      </c>
      <c r="M961">
        <v>0.1343</v>
      </c>
      <c r="N961">
        <v>1</v>
      </c>
      <c r="O961">
        <v>31</v>
      </c>
      <c r="P961">
        <v>32</v>
      </c>
      <c r="Q961" t="str">
        <f t="shared" si="56"/>
        <v>Weekday</v>
      </c>
      <c r="R961" t="str">
        <f t="shared" si="57"/>
        <v>Low</v>
      </c>
      <c r="S961" s="10" t="str">
        <f t="shared" si="58"/>
        <v>Clear</v>
      </c>
      <c r="T961" s="10" t="str">
        <f t="shared" si="59"/>
        <v>Cold</v>
      </c>
    </row>
    <row r="962" spans="1:20" x14ac:dyDescent="0.3">
      <c r="A962">
        <v>970</v>
      </c>
      <c r="B962" t="s">
        <v>59</v>
      </c>
      <c r="C962">
        <v>1</v>
      </c>
      <c r="D962">
        <v>0</v>
      </c>
      <c r="E962">
        <v>2</v>
      </c>
      <c r="F962">
        <v>0</v>
      </c>
      <c r="G962" t="b">
        <v>0</v>
      </c>
      <c r="H962">
        <v>0</v>
      </c>
      <c r="I962">
        <v>1</v>
      </c>
      <c r="J962">
        <v>0.2</v>
      </c>
      <c r="K962">
        <v>0.2273</v>
      </c>
      <c r="L962">
        <v>0.64</v>
      </c>
      <c r="M962">
        <v>0.1045</v>
      </c>
      <c r="N962">
        <v>5</v>
      </c>
      <c r="O962">
        <v>34</v>
      </c>
      <c r="P962">
        <v>39</v>
      </c>
      <c r="Q962" t="str">
        <f t="shared" ref="Q962:Q1001" si="60">IF(G962=TRUE,"Holiday",IF(H962=0,"Weekend","Weekday"))</f>
        <v>Weekend</v>
      </c>
      <c r="R962" t="str">
        <f t="shared" ref="R962:R1001" si="61">IF(P962&lt;50,"Low",IF(P962&lt;150,"Medium","High"))</f>
        <v>Low</v>
      </c>
      <c r="S962" s="10" t="str">
        <f t="shared" si="58"/>
        <v>Clear</v>
      </c>
      <c r="T962" s="10" t="str">
        <f t="shared" si="59"/>
        <v>Cold</v>
      </c>
    </row>
    <row r="963" spans="1:20" x14ac:dyDescent="0.3">
      <c r="A963">
        <v>971</v>
      </c>
      <c r="B963" t="s">
        <v>59</v>
      </c>
      <c r="C963">
        <v>1</v>
      </c>
      <c r="D963">
        <v>0</v>
      </c>
      <c r="E963">
        <v>2</v>
      </c>
      <c r="F963">
        <v>1</v>
      </c>
      <c r="G963" t="b">
        <v>0</v>
      </c>
      <c r="H963">
        <v>0</v>
      </c>
      <c r="I963">
        <v>1</v>
      </c>
      <c r="J963">
        <v>0.2</v>
      </c>
      <c r="K963">
        <v>0.2273</v>
      </c>
      <c r="L963">
        <v>0.59</v>
      </c>
      <c r="M963">
        <v>8.9599999999999999E-2</v>
      </c>
      <c r="N963">
        <v>1</v>
      </c>
      <c r="O963">
        <v>23</v>
      </c>
      <c r="P963">
        <v>24</v>
      </c>
      <c r="Q963" t="str">
        <f t="shared" si="60"/>
        <v>Weekend</v>
      </c>
      <c r="R963" t="str">
        <f t="shared" si="61"/>
        <v>Low</v>
      </c>
      <c r="S963" s="10" t="str">
        <f t="shared" ref="S963:S995" si="62">IF(I963=1,"Clear",IF(I963=2,"Mist/Cloudy",IF(I963=3,"Light Rain/Snow","Heavy Rain/Ice")))</f>
        <v>Clear</v>
      </c>
      <c r="T963" s="10" t="str">
        <f>IF(J963&lt;0.3,"Cold","Warm")</f>
        <v>Cold</v>
      </c>
    </row>
    <row r="964" spans="1:20" x14ac:dyDescent="0.3">
      <c r="A964">
        <v>972</v>
      </c>
      <c r="B964" t="s">
        <v>59</v>
      </c>
      <c r="C964">
        <v>1</v>
      </c>
      <c r="D964">
        <v>0</v>
      </c>
      <c r="E964">
        <v>2</v>
      </c>
      <c r="F964">
        <v>2</v>
      </c>
      <c r="G964" t="b">
        <v>0</v>
      </c>
      <c r="H964">
        <v>0</v>
      </c>
      <c r="I964">
        <v>2</v>
      </c>
      <c r="J964">
        <v>0.2</v>
      </c>
      <c r="K964">
        <v>0.2273</v>
      </c>
      <c r="L964">
        <v>0.75</v>
      </c>
      <c r="M964">
        <v>8.9599999999999999E-2</v>
      </c>
      <c r="N964">
        <v>1</v>
      </c>
      <c r="O964">
        <v>19</v>
      </c>
      <c r="P964">
        <v>20</v>
      </c>
      <c r="Q964" t="str">
        <f t="shared" si="60"/>
        <v>Weekend</v>
      </c>
      <c r="R964" t="str">
        <f t="shared" si="61"/>
        <v>Low</v>
      </c>
      <c r="S964" s="10" t="str">
        <f t="shared" si="62"/>
        <v>Mist/Cloudy</v>
      </c>
      <c r="T964" s="10" t="str">
        <f>IF(J964&lt;0.3,"Cold","Warm")</f>
        <v>Cold</v>
      </c>
    </row>
    <row r="965" spans="1:20" x14ac:dyDescent="0.3">
      <c r="A965">
        <v>973</v>
      </c>
      <c r="B965" t="s">
        <v>59</v>
      </c>
      <c r="C965">
        <v>1</v>
      </c>
      <c r="D965">
        <v>0</v>
      </c>
      <c r="E965">
        <v>2</v>
      </c>
      <c r="F965">
        <v>3</v>
      </c>
      <c r="G965" t="b">
        <v>0</v>
      </c>
      <c r="H965">
        <v>0</v>
      </c>
      <c r="I965">
        <v>2</v>
      </c>
      <c r="J965">
        <v>0.2</v>
      </c>
      <c r="K965">
        <v>0.2273</v>
      </c>
      <c r="L965">
        <v>0.69</v>
      </c>
      <c r="M965">
        <v>0.1045</v>
      </c>
      <c r="N965">
        <v>4</v>
      </c>
      <c r="O965">
        <v>8</v>
      </c>
      <c r="P965">
        <v>12</v>
      </c>
      <c r="Q965" t="str">
        <f t="shared" si="60"/>
        <v>Weekend</v>
      </c>
      <c r="R965" t="str">
        <f t="shared" si="61"/>
        <v>Low</v>
      </c>
      <c r="S965" s="10" t="str">
        <f t="shared" si="62"/>
        <v>Mist/Cloudy</v>
      </c>
      <c r="T965" s="10" t="str">
        <f>IF(J965&lt;0.3,"Cold","Warm")</f>
        <v>Cold</v>
      </c>
    </row>
    <row r="966" spans="1:20" x14ac:dyDescent="0.3">
      <c r="A966">
        <v>974</v>
      </c>
      <c r="B966" t="s">
        <v>59</v>
      </c>
      <c r="C966">
        <v>1</v>
      </c>
      <c r="D966">
        <v>0</v>
      </c>
      <c r="E966">
        <v>2</v>
      </c>
      <c r="F966">
        <v>4</v>
      </c>
      <c r="G966" t="b">
        <v>0</v>
      </c>
      <c r="H966">
        <v>0</v>
      </c>
      <c r="I966">
        <v>2</v>
      </c>
      <c r="J966">
        <v>0.2</v>
      </c>
      <c r="K966">
        <v>0.21210000000000001</v>
      </c>
      <c r="L966">
        <v>0.69</v>
      </c>
      <c r="M966">
        <v>0.16420000000000001</v>
      </c>
      <c r="N966">
        <v>0</v>
      </c>
      <c r="O966">
        <v>2</v>
      </c>
      <c r="P966">
        <v>2</v>
      </c>
      <c r="Q966" t="str">
        <f t="shared" si="60"/>
        <v>Weekend</v>
      </c>
      <c r="R966" t="str">
        <f t="shared" si="61"/>
        <v>Low</v>
      </c>
      <c r="S966" s="10" t="str">
        <f t="shared" si="62"/>
        <v>Mist/Cloudy</v>
      </c>
      <c r="T966" s="10" t="str">
        <f>IF(J966&lt;0.3,"Cold","Warm")</f>
        <v>Cold</v>
      </c>
    </row>
    <row r="967" spans="1:20" x14ac:dyDescent="0.3">
      <c r="A967">
        <v>975</v>
      </c>
      <c r="B967" t="s">
        <v>59</v>
      </c>
      <c r="C967">
        <v>1</v>
      </c>
      <c r="D967">
        <v>0</v>
      </c>
      <c r="E967">
        <v>2</v>
      </c>
      <c r="F967">
        <v>6</v>
      </c>
      <c r="G967" t="b">
        <v>0</v>
      </c>
      <c r="H967">
        <v>0</v>
      </c>
      <c r="I967">
        <v>2</v>
      </c>
      <c r="J967">
        <v>0.2</v>
      </c>
      <c r="K967">
        <v>0.21210000000000001</v>
      </c>
      <c r="L967">
        <v>0.69</v>
      </c>
      <c r="M967">
        <v>0.1343</v>
      </c>
      <c r="N967">
        <v>2</v>
      </c>
      <c r="O967">
        <v>3</v>
      </c>
      <c r="P967">
        <v>5</v>
      </c>
      <c r="Q967" t="str">
        <f t="shared" si="60"/>
        <v>Weekend</v>
      </c>
      <c r="R967" t="str">
        <f t="shared" si="61"/>
        <v>Low</v>
      </c>
      <c r="S967" s="10" t="str">
        <f t="shared" si="62"/>
        <v>Mist/Cloudy</v>
      </c>
      <c r="T967" s="10" t="str">
        <f>IF(J967&lt;0.3,"Cold","Warm")</f>
        <v>Cold</v>
      </c>
    </row>
    <row r="968" spans="1:20" x14ac:dyDescent="0.3">
      <c r="A968">
        <v>976</v>
      </c>
      <c r="B968" t="s">
        <v>59</v>
      </c>
      <c r="C968">
        <v>1</v>
      </c>
      <c r="D968">
        <v>0</v>
      </c>
      <c r="E968">
        <v>2</v>
      </c>
      <c r="F968">
        <v>7</v>
      </c>
      <c r="G968" t="b">
        <v>0</v>
      </c>
      <c r="H968">
        <v>0</v>
      </c>
      <c r="I968">
        <v>2</v>
      </c>
      <c r="J968">
        <v>0.22</v>
      </c>
      <c r="K968">
        <v>0.2727</v>
      </c>
      <c r="L968">
        <v>0.55000000000000004</v>
      </c>
      <c r="M968">
        <v>0</v>
      </c>
      <c r="N968">
        <v>0</v>
      </c>
      <c r="O968">
        <v>3</v>
      </c>
      <c r="P968">
        <v>3</v>
      </c>
      <c r="Q968" t="str">
        <f t="shared" si="60"/>
        <v>Weekend</v>
      </c>
      <c r="R968" t="str">
        <f t="shared" si="61"/>
        <v>Low</v>
      </c>
      <c r="S968" s="10" t="str">
        <f t="shared" si="62"/>
        <v>Mist/Cloudy</v>
      </c>
      <c r="T968" s="10" t="str">
        <f>IF(J968&lt;0.3,"Cold","Warm")</f>
        <v>Cold</v>
      </c>
    </row>
    <row r="969" spans="1:20" x14ac:dyDescent="0.3">
      <c r="A969">
        <v>977</v>
      </c>
      <c r="B969" t="s">
        <v>59</v>
      </c>
      <c r="C969">
        <v>1</v>
      </c>
      <c r="D969">
        <v>0</v>
      </c>
      <c r="E969">
        <v>2</v>
      </c>
      <c r="F969">
        <v>8</v>
      </c>
      <c r="G969" t="b">
        <v>0</v>
      </c>
      <c r="H969">
        <v>0</v>
      </c>
      <c r="I969">
        <v>2</v>
      </c>
      <c r="J969">
        <v>0.22</v>
      </c>
      <c r="K969">
        <v>0.2273</v>
      </c>
      <c r="L969">
        <v>0.64</v>
      </c>
      <c r="M969">
        <v>0.19400000000000001</v>
      </c>
      <c r="N969">
        <v>1</v>
      </c>
      <c r="O969">
        <v>11</v>
      </c>
      <c r="P969">
        <v>12</v>
      </c>
      <c r="Q969" t="str">
        <f t="shared" si="60"/>
        <v>Weekend</v>
      </c>
      <c r="R969" t="str">
        <f t="shared" si="61"/>
        <v>Low</v>
      </c>
      <c r="S969" s="10" t="str">
        <f t="shared" si="62"/>
        <v>Mist/Cloudy</v>
      </c>
      <c r="T969" s="10" t="str">
        <f>IF(J969&lt;0.3,"Cold","Warm")</f>
        <v>Cold</v>
      </c>
    </row>
    <row r="970" spans="1:20" x14ac:dyDescent="0.3">
      <c r="A970">
        <v>978</v>
      </c>
      <c r="B970" t="s">
        <v>59</v>
      </c>
      <c r="C970">
        <v>1</v>
      </c>
      <c r="D970">
        <v>0</v>
      </c>
      <c r="E970">
        <v>2</v>
      </c>
      <c r="F970">
        <v>9</v>
      </c>
      <c r="G970" t="b">
        <v>0</v>
      </c>
      <c r="H970">
        <v>0</v>
      </c>
      <c r="I970">
        <v>2</v>
      </c>
      <c r="J970">
        <v>0.24</v>
      </c>
      <c r="K970">
        <v>0.2273</v>
      </c>
      <c r="L970">
        <v>0.6</v>
      </c>
      <c r="M970">
        <v>0.22389999999999999</v>
      </c>
      <c r="N970">
        <v>12</v>
      </c>
      <c r="O970">
        <v>35</v>
      </c>
      <c r="P970">
        <v>47</v>
      </c>
      <c r="Q970" t="str">
        <f t="shared" si="60"/>
        <v>Weekend</v>
      </c>
      <c r="R970" t="str">
        <f t="shared" si="61"/>
        <v>Low</v>
      </c>
      <c r="S970" s="10" t="str">
        <f t="shared" si="62"/>
        <v>Mist/Cloudy</v>
      </c>
      <c r="T970" s="10" t="str">
        <f>IF(J970&lt;0.3,"Cold","Warm")</f>
        <v>Cold</v>
      </c>
    </row>
    <row r="971" spans="1:20" x14ac:dyDescent="0.3">
      <c r="A971">
        <v>979</v>
      </c>
      <c r="B971" t="s">
        <v>59</v>
      </c>
      <c r="C971">
        <v>1</v>
      </c>
      <c r="D971">
        <v>0</v>
      </c>
      <c r="E971">
        <v>2</v>
      </c>
      <c r="F971">
        <v>10</v>
      </c>
      <c r="G971" t="b">
        <v>0</v>
      </c>
      <c r="H971">
        <v>0</v>
      </c>
      <c r="I971">
        <v>1</v>
      </c>
      <c r="J971">
        <v>0.3</v>
      </c>
      <c r="K971">
        <v>0.2727</v>
      </c>
      <c r="L971">
        <v>0.45</v>
      </c>
      <c r="M971">
        <v>0.32840000000000003</v>
      </c>
      <c r="N971">
        <v>19</v>
      </c>
      <c r="O971">
        <v>86</v>
      </c>
      <c r="P971">
        <v>105</v>
      </c>
      <c r="Q971" t="str">
        <f t="shared" si="60"/>
        <v>Weekend</v>
      </c>
      <c r="R971" t="str">
        <f t="shared" si="61"/>
        <v>Medium</v>
      </c>
      <c r="S971" s="10" t="str">
        <f t="shared" si="62"/>
        <v>Clear</v>
      </c>
      <c r="T971" s="10" t="str">
        <f>IF(J971&lt;0.3,"Cold","Warm")</f>
        <v>Warm</v>
      </c>
    </row>
    <row r="972" spans="1:20" x14ac:dyDescent="0.3">
      <c r="A972">
        <v>980</v>
      </c>
      <c r="B972" t="s">
        <v>59</v>
      </c>
      <c r="C972">
        <v>1</v>
      </c>
      <c r="D972">
        <v>0</v>
      </c>
      <c r="E972">
        <v>2</v>
      </c>
      <c r="F972">
        <v>11</v>
      </c>
      <c r="G972" t="b">
        <v>0</v>
      </c>
      <c r="H972">
        <v>0</v>
      </c>
      <c r="I972">
        <v>1</v>
      </c>
      <c r="J972">
        <v>0.32</v>
      </c>
      <c r="K972">
        <v>0.28789999999999999</v>
      </c>
      <c r="L972">
        <v>0.39</v>
      </c>
      <c r="M972">
        <v>0.44779999999999998</v>
      </c>
      <c r="N972">
        <v>26</v>
      </c>
      <c r="O972">
        <v>86</v>
      </c>
      <c r="P972">
        <v>112</v>
      </c>
      <c r="Q972" t="str">
        <f t="shared" si="60"/>
        <v>Weekend</v>
      </c>
      <c r="R972" t="str">
        <f t="shared" si="61"/>
        <v>Medium</v>
      </c>
      <c r="S972" s="10" t="str">
        <f t="shared" si="62"/>
        <v>Clear</v>
      </c>
      <c r="T972" s="10" t="str">
        <f>IF(J972&lt;0.3,"Cold","Warm")</f>
        <v>Warm</v>
      </c>
    </row>
    <row r="973" spans="1:20" x14ac:dyDescent="0.3">
      <c r="A973">
        <v>981</v>
      </c>
      <c r="B973" t="s">
        <v>59</v>
      </c>
      <c r="C973">
        <v>1</v>
      </c>
      <c r="D973">
        <v>0</v>
      </c>
      <c r="E973">
        <v>2</v>
      </c>
      <c r="F973">
        <v>12</v>
      </c>
      <c r="G973" t="b">
        <v>0</v>
      </c>
      <c r="H973">
        <v>0</v>
      </c>
      <c r="I973">
        <v>1</v>
      </c>
      <c r="J973">
        <v>0.36</v>
      </c>
      <c r="K973">
        <v>0.31819999999999998</v>
      </c>
      <c r="L973">
        <v>0.32</v>
      </c>
      <c r="M973">
        <v>0.4627</v>
      </c>
      <c r="N973">
        <v>58</v>
      </c>
      <c r="O973">
        <v>94</v>
      </c>
      <c r="P973">
        <v>152</v>
      </c>
      <c r="Q973" t="str">
        <f t="shared" si="60"/>
        <v>Weekend</v>
      </c>
      <c r="R973" t="str">
        <f t="shared" si="61"/>
        <v>High</v>
      </c>
      <c r="S973" s="10" t="str">
        <f t="shared" si="62"/>
        <v>Clear</v>
      </c>
      <c r="T973" s="10" t="str">
        <f>IF(J973&lt;0.3,"Cold","Warm")</f>
        <v>Warm</v>
      </c>
    </row>
    <row r="974" spans="1:20" x14ac:dyDescent="0.3">
      <c r="A974">
        <v>982</v>
      </c>
      <c r="B974" t="s">
        <v>59</v>
      </c>
      <c r="C974">
        <v>1</v>
      </c>
      <c r="D974">
        <v>0</v>
      </c>
      <c r="E974">
        <v>2</v>
      </c>
      <c r="F974">
        <v>13</v>
      </c>
      <c r="G974" t="b">
        <v>0</v>
      </c>
      <c r="H974">
        <v>0</v>
      </c>
      <c r="I974">
        <v>1</v>
      </c>
      <c r="J974">
        <v>0.38</v>
      </c>
      <c r="K974">
        <v>0.39389999999999997</v>
      </c>
      <c r="L974">
        <v>0.28999999999999998</v>
      </c>
      <c r="M974">
        <v>0.35820000000000002</v>
      </c>
      <c r="N974">
        <v>62</v>
      </c>
      <c r="O974">
        <v>92</v>
      </c>
      <c r="P974">
        <v>154</v>
      </c>
      <c r="Q974" t="str">
        <f t="shared" si="60"/>
        <v>Weekend</v>
      </c>
      <c r="R974" t="str">
        <f t="shared" si="61"/>
        <v>High</v>
      </c>
      <c r="S974" s="10" t="str">
        <f t="shared" si="62"/>
        <v>Clear</v>
      </c>
      <c r="T974" s="10" t="str">
        <f>IF(J974&lt;0.3,"Cold","Warm")</f>
        <v>Warm</v>
      </c>
    </row>
    <row r="975" spans="1:20" x14ac:dyDescent="0.3">
      <c r="A975">
        <v>983</v>
      </c>
      <c r="B975" t="s">
        <v>59</v>
      </c>
      <c r="C975">
        <v>1</v>
      </c>
      <c r="D975">
        <v>0</v>
      </c>
      <c r="E975">
        <v>2</v>
      </c>
      <c r="F975">
        <v>14</v>
      </c>
      <c r="G975" t="b">
        <v>0</v>
      </c>
      <c r="H975">
        <v>0</v>
      </c>
      <c r="I975">
        <v>2</v>
      </c>
      <c r="J975">
        <v>0.4</v>
      </c>
      <c r="K975">
        <v>0.40910000000000002</v>
      </c>
      <c r="L975">
        <v>0.3</v>
      </c>
      <c r="M975">
        <v>0.41789999999999999</v>
      </c>
      <c r="N975">
        <v>51</v>
      </c>
      <c r="O975">
        <v>110</v>
      </c>
      <c r="P975">
        <v>161</v>
      </c>
      <c r="Q975" t="str">
        <f t="shared" si="60"/>
        <v>Weekend</v>
      </c>
      <c r="R975" t="str">
        <f t="shared" si="61"/>
        <v>High</v>
      </c>
      <c r="S975" s="10" t="str">
        <f t="shared" si="62"/>
        <v>Mist/Cloudy</v>
      </c>
      <c r="T975" s="10" t="str">
        <f>IF(J975&lt;0.3,"Cold","Warm")</f>
        <v>Warm</v>
      </c>
    </row>
    <row r="976" spans="1:20" x14ac:dyDescent="0.3">
      <c r="A976">
        <v>984</v>
      </c>
      <c r="B976" t="s">
        <v>59</v>
      </c>
      <c r="C976">
        <v>1</v>
      </c>
      <c r="D976">
        <v>0</v>
      </c>
      <c r="E976">
        <v>2</v>
      </c>
      <c r="F976">
        <v>15</v>
      </c>
      <c r="G976" t="b">
        <v>0</v>
      </c>
      <c r="H976">
        <v>0</v>
      </c>
      <c r="I976">
        <v>2</v>
      </c>
      <c r="J976">
        <v>0.4</v>
      </c>
      <c r="K976">
        <v>0.40910000000000002</v>
      </c>
      <c r="L976">
        <v>0.3</v>
      </c>
      <c r="M976">
        <v>0.29849999999999999</v>
      </c>
      <c r="N976">
        <v>40</v>
      </c>
      <c r="O976">
        <v>122</v>
      </c>
      <c r="P976">
        <v>162</v>
      </c>
      <c r="Q976" t="str">
        <f t="shared" si="60"/>
        <v>Weekend</v>
      </c>
      <c r="R976" t="str">
        <f t="shared" si="61"/>
        <v>High</v>
      </c>
      <c r="S976" s="10" t="str">
        <f t="shared" si="62"/>
        <v>Mist/Cloudy</v>
      </c>
      <c r="T976" s="10" t="str">
        <f>IF(J976&lt;0.3,"Cold","Warm")</f>
        <v>Warm</v>
      </c>
    </row>
    <row r="977" spans="1:20" x14ac:dyDescent="0.3">
      <c r="A977">
        <v>985</v>
      </c>
      <c r="B977" t="s">
        <v>59</v>
      </c>
      <c r="C977">
        <v>1</v>
      </c>
      <c r="D977">
        <v>0</v>
      </c>
      <c r="E977">
        <v>2</v>
      </c>
      <c r="F977">
        <v>16</v>
      </c>
      <c r="G977" t="b">
        <v>0</v>
      </c>
      <c r="H977">
        <v>0</v>
      </c>
      <c r="I977">
        <v>2</v>
      </c>
      <c r="J977">
        <v>0.42</v>
      </c>
      <c r="K977">
        <v>0.42420000000000002</v>
      </c>
      <c r="L977">
        <v>0.28000000000000003</v>
      </c>
      <c r="M977">
        <v>0.32840000000000003</v>
      </c>
      <c r="N977">
        <v>28</v>
      </c>
      <c r="O977">
        <v>106</v>
      </c>
      <c r="P977">
        <v>134</v>
      </c>
      <c r="Q977" t="str">
        <f t="shared" si="60"/>
        <v>Weekend</v>
      </c>
      <c r="R977" t="str">
        <f t="shared" si="61"/>
        <v>Medium</v>
      </c>
      <c r="S977" s="10" t="str">
        <f t="shared" si="62"/>
        <v>Mist/Cloudy</v>
      </c>
      <c r="T977" s="10" t="str">
        <f>IF(J977&lt;0.3,"Cold","Warm")</f>
        <v>Warm</v>
      </c>
    </row>
    <row r="978" spans="1:20" x14ac:dyDescent="0.3">
      <c r="A978">
        <v>986</v>
      </c>
      <c r="B978" t="s">
        <v>59</v>
      </c>
      <c r="C978">
        <v>1</v>
      </c>
      <c r="D978">
        <v>0</v>
      </c>
      <c r="E978">
        <v>2</v>
      </c>
      <c r="F978">
        <v>17</v>
      </c>
      <c r="G978" t="b">
        <v>0</v>
      </c>
      <c r="H978">
        <v>0</v>
      </c>
      <c r="I978">
        <v>1</v>
      </c>
      <c r="J978">
        <v>0.42</v>
      </c>
      <c r="K978">
        <v>0.42420000000000002</v>
      </c>
      <c r="L978">
        <v>0.28000000000000003</v>
      </c>
      <c r="M978">
        <v>0.32840000000000003</v>
      </c>
      <c r="N978">
        <v>30</v>
      </c>
      <c r="O978">
        <v>95</v>
      </c>
      <c r="P978">
        <v>125</v>
      </c>
      <c r="Q978" t="str">
        <f t="shared" si="60"/>
        <v>Weekend</v>
      </c>
      <c r="R978" t="str">
        <f t="shared" si="61"/>
        <v>Medium</v>
      </c>
      <c r="S978" s="10" t="str">
        <f t="shared" si="62"/>
        <v>Clear</v>
      </c>
      <c r="T978" s="10" t="str">
        <f>IF(J978&lt;0.3,"Cold","Warm")</f>
        <v>Warm</v>
      </c>
    </row>
    <row r="979" spans="1:20" x14ac:dyDescent="0.3">
      <c r="A979">
        <v>987</v>
      </c>
      <c r="B979" t="s">
        <v>59</v>
      </c>
      <c r="C979">
        <v>1</v>
      </c>
      <c r="D979">
        <v>0</v>
      </c>
      <c r="E979">
        <v>2</v>
      </c>
      <c r="F979">
        <v>18</v>
      </c>
      <c r="G979" t="b">
        <v>0</v>
      </c>
      <c r="H979">
        <v>0</v>
      </c>
      <c r="I979">
        <v>1</v>
      </c>
      <c r="J979">
        <v>0.4</v>
      </c>
      <c r="K979">
        <v>0.40910000000000002</v>
      </c>
      <c r="L979">
        <v>0.32</v>
      </c>
      <c r="M979">
        <v>0.29849999999999999</v>
      </c>
      <c r="N979">
        <v>17</v>
      </c>
      <c r="O979">
        <v>78</v>
      </c>
      <c r="P979">
        <v>95</v>
      </c>
      <c r="Q979" t="str">
        <f t="shared" si="60"/>
        <v>Weekend</v>
      </c>
      <c r="R979" t="str">
        <f t="shared" si="61"/>
        <v>Medium</v>
      </c>
      <c r="S979" s="10" t="str">
        <f t="shared" si="62"/>
        <v>Clear</v>
      </c>
      <c r="T979" s="10" t="str">
        <f>IF(J979&lt;0.3,"Cold","Warm")</f>
        <v>Warm</v>
      </c>
    </row>
    <row r="980" spans="1:20" x14ac:dyDescent="0.3">
      <c r="A980">
        <v>988</v>
      </c>
      <c r="B980" t="s">
        <v>59</v>
      </c>
      <c r="C980">
        <v>1</v>
      </c>
      <c r="D980">
        <v>0</v>
      </c>
      <c r="E980">
        <v>2</v>
      </c>
      <c r="F980">
        <v>19</v>
      </c>
      <c r="G980" t="b">
        <v>0</v>
      </c>
      <c r="H980">
        <v>0</v>
      </c>
      <c r="I980">
        <v>1</v>
      </c>
      <c r="J980">
        <v>0.4</v>
      </c>
      <c r="K980">
        <v>0.40910000000000002</v>
      </c>
      <c r="L980">
        <v>0.35</v>
      </c>
      <c r="M980">
        <v>0.28360000000000002</v>
      </c>
      <c r="N980">
        <v>11</v>
      </c>
      <c r="O980">
        <v>50</v>
      </c>
      <c r="P980">
        <v>61</v>
      </c>
      <c r="Q980" t="str">
        <f t="shared" si="60"/>
        <v>Weekend</v>
      </c>
      <c r="R980" t="str">
        <f t="shared" si="61"/>
        <v>Medium</v>
      </c>
      <c r="S980" s="10" t="str">
        <f t="shared" si="62"/>
        <v>Clear</v>
      </c>
      <c r="T980" s="10" t="str">
        <f>IF(J980&lt;0.3,"Cold","Warm")</f>
        <v>Warm</v>
      </c>
    </row>
    <row r="981" spans="1:20" x14ac:dyDescent="0.3">
      <c r="A981">
        <v>989</v>
      </c>
      <c r="B981" t="s">
        <v>59</v>
      </c>
      <c r="C981">
        <v>1</v>
      </c>
      <c r="D981">
        <v>0</v>
      </c>
      <c r="E981">
        <v>2</v>
      </c>
      <c r="F981">
        <v>20</v>
      </c>
      <c r="G981" t="b">
        <v>0</v>
      </c>
      <c r="H981">
        <v>0</v>
      </c>
      <c r="I981">
        <v>1</v>
      </c>
      <c r="J981">
        <v>0.4</v>
      </c>
      <c r="K981">
        <v>0.40910000000000002</v>
      </c>
      <c r="L981">
        <v>0.35</v>
      </c>
      <c r="M981">
        <v>0.32840000000000003</v>
      </c>
      <c r="N981">
        <v>15</v>
      </c>
      <c r="O981">
        <v>32</v>
      </c>
      <c r="P981">
        <v>47</v>
      </c>
      <c r="Q981" t="str">
        <f t="shared" si="60"/>
        <v>Weekend</v>
      </c>
      <c r="R981" t="str">
        <f t="shared" si="61"/>
        <v>Low</v>
      </c>
      <c r="S981" s="10" t="str">
        <f t="shared" si="62"/>
        <v>Clear</v>
      </c>
      <c r="T981" s="10" t="str">
        <f>IF(J981&lt;0.3,"Cold","Warm")</f>
        <v>Warm</v>
      </c>
    </row>
    <row r="982" spans="1:20" x14ac:dyDescent="0.3">
      <c r="A982">
        <v>990</v>
      </c>
      <c r="B982" t="s">
        <v>59</v>
      </c>
      <c r="C982">
        <v>1</v>
      </c>
      <c r="D982">
        <v>0</v>
      </c>
      <c r="E982">
        <v>2</v>
      </c>
      <c r="F982">
        <v>21</v>
      </c>
      <c r="G982" t="b">
        <v>0</v>
      </c>
      <c r="H982">
        <v>0</v>
      </c>
      <c r="I982">
        <v>1</v>
      </c>
      <c r="J982">
        <v>0.4</v>
      </c>
      <c r="K982">
        <v>0.40910000000000002</v>
      </c>
      <c r="L982">
        <v>0.35</v>
      </c>
      <c r="M982">
        <v>0.35820000000000002</v>
      </c>
      <c r="N982">
        <v>6</v>
      </c>
      <c r="O982">
        <v>45</v>
      </c>
      <c r="P982">
        <v>51</v>
      </c>
      <c r="Q982" t="str">
        <f t="shared" si="60"/>
        <v>Weekend</v>
      </c>
      <c r="R982" t="str">
        <f t="shared" si="61"/>
        <v>Medium</v>
      </c>
      <c r="S982" s="10" t="str">
        <f t="shared" si="62"/>
        <v>Clear</v>
      </c>
      <c r="T982" s="10" t="str">
        <f>IF(J982&lt;0.3,"Cold","Warm")</f>
        <v>Warm</v>
      </c>
    </row>
    <row r="983" spans="1:20" x14ac:dyDescent="0.3">
      <c r="A983">
        <v>991</v>
      </c>
      <c r="B983" t="s">
        <v>59</v>
      </c>
      <c r="C983">
        <v>1</v>
      </c>
      <c r="D983">
        <v>0</v>
      </c>
      <c r="E983">
        <v>2</v>
      </c>
      <c r="F983">
        <v>22</v>
      </c>
      <c r="G983" t="b">
        <v>0</v>
      </c>
      <c r="H983">
        <v>0</v>
      </c>
      <c r="I983">
        <v>1</v>
      </c>
      <c r="J983">
        <v>0.4</v>
      </c>
      <c r="K983">
        <v>0.40910000000000002</v>
      </c>
      <c r="L983">
        <v>0.35</v>
      </c>
      <c r="M983">
        <v>0.29849999999999999</v>
      </c>
      <c r="N983">
        <v>5</v>
      </c>
      <c r="O983">
        <v>31</v>
      </c>
      <c r="P983">
        <v>36</v>
      </c>
      <c r="Q983" t="str">
        <f t="shared" si="60"/>
        <v>Weekend</v>
      </c>
      <c r="R983" t="str">
        <f t="shared" si="61"/>
        <v>Low</v>
      </c>
      <c r="S983" s="10" t="str">
        <f t="shared" si="62"/>
        <v>Clear</v>
      </c>
      <c r="T983" s="10" t="str">
        <f>IF(J983&lt;0.3,"Cold","Warm")</f>
        <v>Warm</v>
      </c>
    </row>
    <row r="984" spans="1:20" x14ac:dyDescent="0.3">
      <c r="A984">
        <v>992</v>
      </c>
      <c r="B984" t="s">
        <v>59</v>
      </c>
      <c r="C984">
        <v>1</v>
      </c>
      <c r="D984">
        <v>0</v>
      </c>
      <c r="E984">
        <v>2</v>
      </c>
      <c r="F984">
        <v>23</v>
      </c>
      <c r="G984" t="b">
        <v>0</v>
      </c>
      <c r="H984">
        <v>0</v>
      </c>
      <c r="I984">
        <v>1</v>
      </c>
      <c r="J984">
        <v>0.4</v>
      </c>
      <c r="K984">
        <v>0.40910000000000002</v>
      </c>
      <c r="L984">
        <v>0.35</v>
      </c>
      <c r="M984">
        <v>0.35820000000000002</v>
      </c>
      <c r="N984">
        <v>3</v>
      </c>
      <c r="O984">
        <v>27</v>
      </c>
      <c r="P984">
        <v>30</v>
      </c>
      <c r="Q984" t="str">
        <f t="shared" si="60"/>
        <v>Weekend</v>
      </c>
      <c r="R984" t="str">
        <f t="shared" si="61"/>
        <v>Low</v>
      </c>
      <c r="S984" s="10" t="str">
        <f t="shared" si="62"/>
        <v>Clear</v>
      </c>
      <c r="T984" s="10" t="str">
        <f>IF(J984&lt;0.3,"Cold","Warm")</f>
        <v>Warm</v>
      </c>
    </row>
    <row r="985" spans="1:20" x14ac:dyDescent="0.3">
      <c r="A985">
        <v>993</v>
      </c>
      <c r="B985" t="s">
        <v>60</v>
      </c>
      <c r="C985">
        <v>1</v>
      </c>
      <c r="D985">
        <v>0</v>
      </c>
      <c r="E985">
        <v>2</v>
      </c>
      <c r="F985">
        <v>0</v>
      </c>
      <c r="G985" t="b">
        <v>0</v>
      </c>
      <c r="H985">
        <v>1</v>
      </c>
      <c r="I985">
        <v>1</v>
      </c>
      <c r="J985">
        <v>0.38</v>
      </c>
      <c r="K985">
        <v>0.39389999999999997</v>
      </c>
      <c r="L985">
        <v>0.37</v>
      </c>
      <c r="M985">
        <v>0.35820000000000002</v>
      </c>
      <c r="N985">
        <v>3</v>
      </c>
      <c r="O985">
        <v>8</v>
      </c>
      <c r="P985">
        <v>11</v>
      </c>
      <c r="Q985" t="str">
        <f t="shared" si="60"/>
        <v>Weekday</v>
      </c>
      <c r="R985" t="str">
        <f t="shared" si="61"/>
        <v>Low</v>
      </c>
      <c r="S985" s="10" t="str">
        <f t="shared" si="62"/>
        <v>Clear</v>
      </c>
      <c r="T985" s="10" t="str">
        <f>IF(J985&lt;0.3,"Cold","Warm")</f>
        <v>Warm</v>
      </c>
    </row>
    <row r="986" spans="1:20" x14ac:dyDescent="0.3">
      <c r="A986">
        <v>994</v>
      </c>
      <c r="B986" t="s">
        <v>60</v>
      </c>
      <c r="C986">
        <v>1</v>
      </c>
      <c r="D986">
        <v>0</v>
      </c>
      <c r="E986">
        <v>2</v>
      </c>
      <c r="F986">
        <v>1</v>
      </c>
      <c r="G986" t="b">
        <v>0</v>
      </c>
      <c r="H986">
        <v>1</v>
      </c>
      <c r="I986">
        <v>1</v>
      </c>
      <c r="J986">
        <v>0.38</v>
      </c>
      <c r="K986">
        <v>0.39389999999999997</v>
      </c>
      <c r="L986">
        <v>0.37</v>
      </c>
      <c r="M986">
        <v>0.35820000000000002</v>
      </c>
      <c r="N986">
        <v>1</v>
      </c>
      <c r="O986">
        <v>6</v>
      </c>
      <c r="P986">
        <v>7</v>
      </c>
      <c r="Q986" t="str">
        <f t="shared" si="60"/>
        <v>Weekday</v>
      </c>
      <c r="R986" t="str">
        <f t="shared" si="61"/>
        <v>Low</v>
      </c>
      <c r="S986" s="10" t="str">
        <f t="shared" si="62"/>
        <v>Clear</v>
      </c>
      <c r="T986" s="10" t="str">
        <f>IF(J986&lt;0.3,"Cold","Warm")</f>
        <v>Warm</v>
      </c>
    </row>
    <row r="987" spans="1:20" x14ac:dyDescent="0.3">
      <c r="A987">
        <v>995</v>
      </c>
      <c r="B987" t="s">
        <v>60</v>
      </c>
      <c r="C987">
        <v>1</v>
      </c>
      <c r="D987">
        <v>0</v>
      </c>
      <c r="E987">
        <v>2</v>
      </c>
      <c r="F987">
        <v>2</v>
      </c>
      <c r="G987" t="b">
        <v>0</v>
      </c>
      <c r="H987">
        <v>1</v>
      </c>
      <c r="I987">
        <v>1</v>
      </c>
      <c r="J987">
        <v>0.36</v>
      </c>
      <c r="K987">
        <v>0.33329999999999999</v>
      </c>
      <c r="L987">
        <v>0.4</v>
      </c>
      <c r="M987">
        <v>0.29849999999999999</v>
      </c>
      <c r="N987">
        <v>0</v>
      </c>
      <c r="O987">
        <v>2</v>
      </c>
      <c r="P987">
        <v>2</v>
      </c>
      <c r="Q987" t="str">
        <f t="shared" si="60"/>
        <v>Weekday</v>
      </c>
      <c r="R987" t="str">
        <f t="shared" si="61"/>
        <v>Low</v>
      </c>
      <c r="S987" s="10" t="str">
        <f t="shared" si="62"/>
        <v>Clear</v>
      </c>
      <c r="T987" s="10" t="str">
        <f>IF(J987&lt;0.3,"Cold","Warm")</f>
        <v>Warm</v>
      </c>
    </row>
    <row r="988" spans="1:20" x14ac:dyDescent="0.3">
      <c r="A988">
        <v>996</v>
      </c>
      <c r="B988" t="s">
        <v>60</v>
      </c>
      <c r="C988">
        <v>1</v>
      </c>
      <c r="D988">
        <v>0</v>
      </c>
      <c r="E988">
        <v>2</v>
      </c>
      <c r="F988">
        <v>3</v>
      </c>
      <c r="G988" t="b">
        <v>0</v>
      </c>
      <c r="H988">
        <v>1</v>
      </c>
      <c r="I988">
        <v>1</v>
      </c>
      <c r="J988">
        <v>0.34</v>
      </c>
      <c r="K988">
        <v>0.31819999999999998</v>
      </c>
      <c r="L988">
        <v>0.46</v>
      </c>
      <c r="M988">
        <v>0.22389999999999999</v>
      </c>
      <c r="N988">
        <v>1</v>
      </c>
      <c r="O988">
        <v>1</v>
      </c>
      <c r="P988">
        <v>2</v>
      </c>
      <c r="Q988" t="str">
        <f t="shared" si="60"/>
        <v>Weekday</v>
      </c>
      <c r="R988" t="str">
        <f t="shared" si="61"/>
        <v>Low</v>
      </c>
      <c r="S988" s="10" t="str">
        <f t="shared" si="62"/>
        <v>Clear</v>
      </c>
      <c r="T988" s="10" t="str">
        <f>IF(J988&lt;0.3,"Cold","Warm")</f>
        <v>Warm</v>
      </c>
    </row>
    <row r="989" spans="1:20" x14ac:dyDescent="0.3">
      <c r="A989">
        <v>997</v>
      </c>
      <c r="B989" t="s">
        <v>60</v>
      </c>
      <c r="C989">
        <v>1</v>
      </c>
      <c r="D989">
        <v>0</v>
      </c>
      <c r="E989">
        <v>2</v>
      </c>
      <c r="F989">
        <v>4</v>
      </c>
      <c r="G989" t="b">
        <v>0</v>
      </c>
      <c r="H989">
        <v>1</v>
      </c>
      <c r="I989">
        <v>1</v>
      </c>
      <c r="J989">
        <v>0.32</v>
      </c>
      <c r="K989">
        <v>0.30299999999999999</v>
      </c>
      <c r="L989">
        <v>0.53</v>
      </c>
      <c r="M989">
        <v>0.28360000000000002</v>
      </c>
      <c r="N989">
        <v>0</v>
      </c>
      <c r="O989">
        <v>2</v>
      </c>
      <c r="P989">
        <v>2</v>
      </c>
      <c r="Q989" t="str">
        <f t="shared" si="60"/>
        <v>Weekday</v>
      </c>
      <c r="R989" t="str">
        <f t="shared" si="61"/>
        <v>Low</v>
      </c>
      <c r="S989" s="10" t="str">
        <f t="shared" si="62"/>
        <v>Clear</v>
      </c>
      <c r="T989" s="10" t="str">
        <f>IF(J989&lt;0.3,"Cold","Warm")</f>
        <v>Warm</v>
      </c>
    </row>
    <row r="990" spans="1:20" x14ac:dyDescent="0.3">
      <c r="A990">
        <v>998</v>
      </c>
      <c r="B990" t="s">
        <v>60</v>
      </c>
      <c r="C990">
        <v>1</v>
      </c>
      <c r="D990">
        <v>0</v>
      </c>
      <c r="E990">
        <v>2</v>
      </c>
      <c r="F990">
        <v>5</v>
      </c>
      <c r="G990" t="b">
        <v>0</v>
      </c>
      <c r="H990">
        <v>1</v>
      </c>
      <c r="I990">
        <v>1</v>
      </c>
      <c r="J990">
        <v>0.32</v>
      </c>
      <c r="K990">
        <v>0.30299999999999999</v>
      </c>
      <c r="L990">
        <v>0.53</v>
      </c>
      <c r="M990">
        <v>0.28360000000000002</v>
      </c>
      <c r="N990">
        <v>0</v>
      </c>
      <c r="O990">
        <v>3</v>
      </c>
      <c r="P990">
        <v>3</v>
      </c>
      <c r="Q990" t="str">
        <f t="shared" si="60"/>
        <v>Weekday</v>
      </c>
      <c r="R990" t="str">
        <f t="shared" si="61"/>
        <v>Low</v>
      </c>
      <c r="S990" s="10" t="str">
        <f t="shared" si="62"/>
        <v>Clear</v>
      </c>
      <c r="T990" s="10" t="str">
        <f>IF(J990&lt;0.3,"Cold","Warm")</f>
        <v>Warm</v>
      </c>
    </row>
    <row r="991" spans="1:20" x14ac:dyDescent="0.3">
      <c r="A991">
        <v>999</v>
      </c>
      <c r="B991" t="s">
        <v>60</v>
      </c>
      <c r="C991">
        <v>1</v>
      </c>
      <c r="D991">
        <v>0</v>
      </c>
      <c r="E991">
        <v>2</v>
      </c>
      <c r="F991">
        <v>6</v>
      </c>
      <c r="G991" t="b">
        <v>0</v>
      </c>
      <c r="H991">
        <v>1</v>
      </c>
      <c r="I991">
        <v>1</v>
      </c>
      <c r="J991">
        <v>0.34</v>
      </c>
      <c r="K991">
        <v>0.30299999999999999</v>
      </c>
      <c r="L991">
        <v>0.46</v>
      </c>
      <c r="M991">
        <v>0.29849999999999999</v>
      </c>
      <c r="N991">
        <v>1</v>
      </c>
      <c r="O991">
        <v>25</v>
      </c>
      <c r="P991">
        <v>26</v>
      </c>
      <c r="Q991" t="str">
        <f t="shared" si="60"/>
        <v>Weekday</v>
      </c>
      <c r="R991" t="str">
        <f t="shared" si="61"/>
        <v>Low</v>
      </c>
      <c r="S991" s="10" t="str">
        <f t="shared" si="62"/>
        <v>Clear</v>
      </c>
      <c r="T991" s="10" t="str">
        <f>IF(J991&lt;0.3,"Cold","Warm")</f>
        <v>Warm</v>
      </c>
    </row>
    <row r="992" spans="1:20" x14ac:dyDescent="0.3">
      <c r="A992">
        <v>1000</v>
      </c>
      <c r="B992" t="s">
        <v>60</v>
      </c>
      <c r="C992">
        <v>1</v>
      </c>
      <c r="D992">
        <v>0</v>
      </c>
      <c r="E992">
        <v>2</v>
      </c>
      <c r="F992">
        <v>7</v>
      </c>
      <c r="G992" t="b">
        <v>0</v>
      </c>
      <c r="H992">
        <v>1</v>
      </c>
      <c r="I992">
        <v>1</v>
      </c>
      <c r="J992">
        <v>0.34</v>
      </c>
      <c r="K992">
        <v>0.30299999999999999</v>
      </c>
      <c r="L992">
        <v>0.46</v>
      </c>
      <c r="M992">
        <v>0.29849999999999999</v>
      </c>
      <c r="N992">
        <v>2</v>
      </c>
      <c r="O992">
        <v>96</v>
      </c>
      <c r="P992">
        <v>98</v>
      </c>
      <c r="Q992" t="str">
        <f t="shared" si="60"/>
        <v>Weekday</v>
      </c>
      <c r="R992" t="str">
        <f t="shared" si="61"/>
        <v>Medium</v>
      </c>
      <c r="S992" s="10" t="str">
        <f t="shared" si="62"/>
        <v>Clear</v>
      </c>
      <c r="T992" s="10" t="str">
        <f>IF(J992&lt;0.3,"Cold","Warm")</f>
        <v>Warm</v>
      </c>
    </row>
    <row r="993" spans="1:20" x14ac:dyDescent="0.3">
      <c r="A993">
        <v>611</v>
      </c>
      <c r="B993" t="s">
        <v>43</v>
      </c>
      <c r="C993">
        <v>1</v>
      </c>
      <c r="D993">
        <v>0</v>
      </c>
      <c r="E993">
        <v>1</v>
      </c>
      <c r="F993">
        <v>16</v>
      </c>
      <c r="G993" t="b">
        <v>0</v>
      </c>
      <c r="H993">
        <v>5</v>
      </c>
      <c r="I993">
        <v>1</v>
      </c>
      <c r="J993">
        <v>0.22</v>
      </c>
      <c r="K993">
        <v>0.2727</v>
      </c>
      <c r="L993">
        <v>0.8</v>
      </c>
      <c r="M993">
        <v>0</v>
      </c>
      <c r="N993">
        <v>10</v>
      </c>
      <c r="O993">
        <v>70</v>
      </c>
      <c r="P993">
        <v>80</v>
      </c>
      <c r="Q993" t="str">
        <f t="shared" si="60"/>
        <v>Weekday</v>
      </c>
      <c r="R993" t="str">
        <f t="shared" si="61"/>
        <v>Medium</v>
      </c>
      <c r="S993" s="10" t="str">
        <f t="shared" si="62"/>
        <v>Clear</v>
      </c>
      <c r="T993" s="10" t="str">
        <f>IF(J993&lt;0.3,"Cold","Warm")</f>
        <v>Cold</v>
      </c>
    </row>
    <row r="994" spans="1:20" x14ac:dyDescent="0.3">
      <c r="A994">
        <v>612</v>
      </c>
      <c r="B994" t="s">
        <v>43</v>
      </c>
      <c r="C994">
        <v>1</v>
      </c>
      <c r="D994">
        <v>0</v>
      </c>
      <c r="E994">
        <v>1</v>
      </c>
      <c r="F994">
        <v>17</v>
      </c>
      <c r="G994" t="b">
        <v>0</v>
      </c>
      <c r="H994">
        <v>5</v>
      </c>
      <c r="I994">
        <v>1</v>
      </c>
      <c r="J994">
        <v>0.24</v>
      </c>
      <c r="K994">
        <v>0.2424</v>
      </c>
      <c r="L994">
        <v>0.75</v>
      </c>
      <c r="M994">
        <v>0.1343</v>
      </c>
      <c r="N994">
        <v>2</v>
      </c>
      <c r="O994">
        <v>147</v>
      </c>
      <c r="P994">
        <v>149</v>
      </c>
      <c r="Q994" t="str">
        <f t="shared" si="60"/>
        <v>Weekday</v>
      </c>
      <c r="R994" t="str">
        <f t="shared" si="61"/>
        <v>Medium</v>
      </c>
      <c r="S994" s="10" t="str">
        <f t="shared" si="62"/>
        <v>Clear</v>
      </c>
      <c r="T994" s="10" t="str">
        <f>IF(J994&lt;0.3,"Cold","Warm")</f>
        <v>Cold</v>
      </c>
    </row>
    <row r="995" spans="1:20" x14ac:dyDescent="0.3">
      <c r="A995">
        <v>613</v>
      </c>
      <c r="B995" t="s">
        <v>43</v>
      </c>
      <c r="C995">
        <v>1</v>
      </c>
      <c r="D995">
        <v>0</v>
      </c>
      <c r="E995">
        <v>1</v>
      </c>
      <c r="F995">
        <v>18</v>
      </c>
      <c r="G995" t="b">
        <v>0</v>
      </c>
      <c r="H995">
        <v>5</v>
      </c>
      <c r="I995">
        <v>1</v>
      </c>
      <c r="J995">
        <v>0.24</v>
      </c>
      <c r="K995">
        <v>0.2273</v>
      </c>
      <c r="L995">
        <v>0.75</v>
      </c>
      <c r="M995">
        <v>0.19400000000000001</v>
      </c>
      <c r="N995">
        <v>2</v>
      </c>
      <c r="O995">
        <v>107</v>
      </c>
      <c r="P995">
        <v>109</v>
      </c>
      <c r="Q995" t="str">
        <f t="shared" si="60"/>
        <v>Weekday</v>
      </c>
      <c r="R995" t="str">
        <f t="shared" si="61"/>
        <v>Medium</v>
      </c>
      <c r="S995" s="10" t="str">
        <f t="shared" si="62"/>
        <v>Clear</v>
      </c>
      <c r="T995" s="10" t="str">
        <f>IF(J995&lt;0.3,"Cold","Warm")</f>
        <v>Cold</v>
      </c>
    </row>
    <row r="996" spans="1:20" x14ac:dyDescent="0.3">
      <c r="A996">
        <v>614</v>
      </c>
      <c r="B996" t="s">
        <v>43</v>
      </c>
      <c r="C996">
        <v>1</v>
      </c>
      <c r="D996">
        <v>0</v>
      </c>
      <c r="E996">
        <v>1</v>
      </c>
      <c r="F996">
        <v>19</v>
      </c>
      <c r="G996" t="b">
        <v>0</v>
      </c>
      <c r="H996">
        <v>5</v>
      </c>
      <c r="I996">
        <v>2</v>
      </c>
      <c r="J996">
        <v>0.24</v>
      </c>
      <c r="K996">
        <v>0.2424</v>
      </c>
      <c r="L996">
        <v>0.75</v>
      </c>
      <c r="M996">
        <v>0.1343</v>
      </c>
      <c r="N996">
        <v>5</v>
      </c>
      <c r="O996">
        <v>84</v>
      </c>
      <c r="P996">
        <v>89</v>
      </c>
      <c r="Q996" t="str">
        <f t="shared" si="60"/>
        <v>Weekday</v>
      </c>
      <c r="R996" t="str">
        <f t="shared" si="61"/>
        <v>Medium</v>
      </c>
      <c r="S996" s="10" t="str">
        <f>IF(I996=1,"Clear",IF(I996=2,"Mist/Cloudy",IF(I996=3,"Light Rain/Snow","Heavy Rain/Ice")))</f>
        <v>Mist/Cloudy</v>
      </c>
      <c r="T996" s="10" t="str">
        <f>IF(J996&lt;0.3,"Cold","Warm")</f>
        <v>Cold</v>
      </c>
    </row>
    <row r="997" spans="1:20" x14ac:dyDescent="0.3">
      <c r="A997">
        <v>615</v>
      </c>
      <c r="B997" t="s">
        <v>43</v>
      </c>
      <c r="C997">
        <v>1</v>
      </c>
      <c r="D997">
        <v>0</v>
      </c>
      <c r="E997">
        <v>1</v>
      </c>
      <c r="F997">
        <v>20</v>
      </c>
      <c r="G997" t="b">
        <v>0</v>
      </c>
      <c r="H997">
        <v>5</v>
      </c>
      <c r="I997">
        <v>2</v>
      </c>
      <c r="J997">
        <v>0.24</v>
      </c>
      <c r="K997">
        <v>0.2273</v>
      </c>
      <c r="L997">
        <v>0.7</v>
      </c>
      <c r="M997">
        <v>0.19400000000000001</v>
      </c>
      <c r="N997">
        <v>1</v>
      </c>
      <c r="O997">
        <v>61</v>
      </c>
      <c r="P997">
        <v>62</v>
      </c>
      <c r="Q997" t="str">
        <f t="shared" si="60"/>
        <v>Weekday</v>
      </c>
      <c r="R997" t="str">
        <f t="shared" si="61"/>
        <v>Medium</v>
      </c>
      <c r="S997" s="10" t="str">
        <f t="shared" ref="S997:S1001" si="63">IF(I997=1,"Clear",IF(I997=2,"Mist/Cloudy",IF(I997=3,"Light Rain/Snow","Heavy Rain/Ice")))</f>
        <v>Mist/Cloudy</v>
      </c>
      <c r="T997" s="10" t="str">
        <f>IF(J997&lt;0.3,"Cold","Warm")</f>
        <v>Cold</v>
      </c>
    </row>
    <row r="998" spans="1:20" x14ac:dyDescent="0.3">
      <c r="A998">
        <v>616</v>
      </c>
      <c r="B998" t="s">
        <v>43</v>
      </c>
      <c r="C998">
        <v>1</v>
      </c>
      <c r="D998">
        <v>0</v>
      </c>
      <c r="E998">
        <v>1</v>
      </c>
      <c r="F998">
        <v>21</v>
      </c>
      <c r="G998" t="b">
        <v>0</v>
      </c>
      <c r="H998">
        <v>5</v>
      </c>
      <c r="I998">
        <v>2</v>
      </c>
      <c r="J998">
        <v>0.22</v>
      </c>
      <c r="K998">
        <v>0.2273</v>
      </c>
      <c r="L998">
        <v>0.75</v>
      </c>
      <c r="M998">
        <v>0.1343</v>
      </c>
      <c r="N998">
        <v>1</v>
      </c>
      <c r="O998">
        <v>57</v>
      </c>
      <c r="P998">
        <v>58</v>
      </c>
      <c r="Q998" t="str">
        <f t="shared" si="60"/>
        <v>Weekday</v>
      </c>
      <c r="R998" t="str">
        <f t="shared" si="61"/>
        <v>Medium</v>
      </c>
      <c r="S998" s="10" t="str">
        <f t="shared" si="63"/>
        <v>Mist/Cloudy</v>
      </c>
      <c r="T998" s="10" t="str">
        <f>IF(J998&lt;0.3,"Cold","Warm")</f>
        <v>Cold</v>
      </c>
    </row>
    <row r="999" spans="1:20" x14ac:dyDescent="0.3">
      <c r="A999">
        <v>617</v>
      </c>
      <c r="B999" t="s">
        <v>43</v>
      </c>
      <c r="C999">
        <v>1</v>
      </c>
      <c r="D999">
        <v>0</v>
      </c>
      <c r="E999">
        <v>1</v>
      </c>
      <c r="F999">
        <v>22</v>
      </c>
      <c r="G999" t="b">
        <v>0</v>
      </c>
      <c r="H999">
        <v>5</v>
      </c>
      <c r="I999">
        <v>1</v>
      </c>
      <c r="J999">
        <v>0.24</v>
      </c>
      <c r="K999">
        <v>0.21210000000000001</v>
      </c>
      <c r="L999">
        <v>0.65</v>
      </c>
      <c r="M999">
        <v>0.35820000000000002</v>
      </c>
      <c r="N999">
        <v>0</v>
      </c>
      <c r="O999">
        <v>26</v>
      </c>
      <c r="P999">
        <v>26</v>
      </c>
      <c r="Q999" t="str">
        <f t="shared" si="60"/>
        <v>Weekday</v>
      </c>
      <c r="R999" t="str">
        <f t="shared" si="61"/>
        <v>Low</v>
      </c>
      <c r="S999" s="10" t="str">
        <f t="shared" si="63"/>
        <v>Clear</v>
      </c>
      <c r="T999" s="10" t="str">
        <f>IF(J999&lt;0.3,"Cold","Warm")</f>
        <v>Cold</v>
      </c>
    </row>
    <row r="1000" spans="1:20" x14ac:dyDescent="0.3">
      <c r="A1000">
        <v>618</v>
      </c>
      <c r="B1000" t="s">
        <v>43</v>
      </c>
      <c r="C1000">
        <v>1</v>
      </c>
      <c r="D1000">
        <v>0</v>
      </c>
      <c r="E1000">
        <v>1</v>
      </c>
      <c r="F1000">
        <v>23</v>
      </c>
      <c r="G1000" t="b">
        <v>0</v>
      </c>
      <c r="H1000">
        <v>5</v>
      </c>
      <c r="I1000">
        <v>1</v>
      </c>
      <c r="J1000">
        <v>0.24</v>
      </c>
      <c r="K1000">
        <v>0.2273</v>
      </c>
      <c r="L1000">
        <v>0.6</v>
      </c>
      <c r="M1000">
        <v>0.22389999999999999</v>
      </c>
      <c r="N1000">
        <v>1</v>
      </c>
      <c r="O1000">
        <v>22</v>
      </c>
      <c r="P1000">
        <v>23</v>
      </c>
      <c r="Q1000" t="str">
        <f t="shared" si="60"/>
        <v>Weekday</v>
      </c>
      <c r="R1000" t="str">
        <f t="shared" si="61"/>
        <v>Low</v>
      </c>
      <c r="S1000" s="10" t="str">
        <f t="shared" si="63"/>
        <v>Clear</v>
      </c>
      <c r="T1000" s="10" t="str">
        <f>IF(J1000&lt;0.3,"Cold","Warm")</f>
        <v>Cold</v>
      </c>
    </row>
    <row r="1001" spans="1:20" x14ac:dyDescent="0.3">
      <c r="A1001">
        <v>619</v>
      </c>
      <c r="B1001" t="s">
        <v>44</v>
      </c>
      <c r="C1001">
        <v>1</v>
      </c>
      <c r="D1001">
        <v>0</v>
      </c>
      <c r="E1001">
        <v>1</v>
      </c>
      <c r="F1001">
        <v>0</v>
      </c>
      <c r="G1001" t="b">
        <v>0</v>
      </c>
      <c r="H1001">
        <v>6</v>
      </c>
      <c r="I1001">
        <v>1</v>
      </c>
      <c r="J1001">
        <v>0.22</v>
      </c>
      <c r="K1001">
        <v>0.19700000000000001</v>
      </c>
      <c r="L1001">
        <v>0.64</v>
      </c>
      <c r="M1001">
        <v>0.35820000000000002</v>
      </c>
      <c r="N1001">
        <v>2</v>
      </c>
      <c r="O1001">
        <v>26</v>
      </c>
      <c r="P1001">
        <v>28</v>
      </c>
      <c r="Q1001" t="str">
        <f t="shared" si="60"/>
        <v>Weekday</v>
      </c>
      <c r="R1001" t="str">
        <f t="shared" si="61"/>
        <v>Low</v>
      </c>
      <c r="S1001" s="10" t="str">
        <f t="shared" si="63"/>
        <v>Clear</v>
      </c>
      <c r="T1001" s="10" t="str">
        <f>IF(J1001&lt;0.3,"Cold","Warm")</f>
        <v>Cold</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6850B-3FC7-41C6-B042-EE6EDC7B7022}">
  <dimension ref="B3:C4"/>
  <sheetViews>
    <sheetView workbookViewId="0">
      <selection activeCell="E3" sqref="E3"/>
    </sheetView>
  </sheetViews>
  <sheetFormatPr defaultRowHeight="14.4" x14ac:dyDescent="0.3"/>
  <cols>
    <col min="1" max="1" width="8.33203125" bestFit="1" customWidth="1"/>
    <col min="3" max="3" width="10.88671875" bestFit="1" customWidth="1"/>
  </cols>
  <sheetData>
    <row r="3" spans="2:3" ht="51.6" x14ac:dyDescent="0.5">
      <c r="B3" s="11"/>
      <c r="C3" s="13" t="s">
        <v>81</v>
      </c>
    </row>
    <row r="4" spans="2:3" ht="24.6" x14ac:dyDescent="0.4">
      <c r="B4" s="11"/>
      <c r="C4" s="12">
        <v>58304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8CBA-F73C-48E8-81FA-BE83572AB062}">
  <dimension ref="A1:P612"/>
  <sheetViews>
    <sheetView topLeftCell="A584" workbookViewId="0">
      <selection activeCell="Q598" sqref="Q598"/>
    </sheetView>
  </sheetViews>
  <sheetFormatPr defaultRowHeight="14.4" x14ac:dyDescent="0.3"/>
  <cols>
    <col min="2" max="2" width="16.33203125" customWidth="1"/>
    <col min="7" max="7" width="9.88671875" customWidth="1"/>
    <col min="8" max="8" width="11.6640625" customWidth="1"/>
    <col min="9" max="9" width="12.77734375" customWidth="1"/>
    <col min="11" max="11" width="11.77734375" customWidth="1"/>
    <col min="12" max="12" width="12" customWidth="1"/>
    <col min="13" max="13" width="14.88671875" customWidth="1"/>
    <col min="14" max="14" width="12.88671875" bestFit="1" customWidth="1"/>
    <col min="15" max="15" width="13.44140625" customWidth="1"/>
    <col min="16" max="16" width="12.21875" customWidth="1"/>
  </cols>
  <sheetData>
    <row r="1" spans="1:16" x14ac:dyDescent="0.3">
      <c r="A1" t="s">
        <v>0</v>
      </c>
      <c r="B1" t="s">
        <v>1</v>
      </c>
      <c r="C1" t="s">
        <v>2</v>
      </c>
      <c r="D1" t="s">
        <v>3</v>
      </c>
      <c r="E1" t="s">
        <v>4</v>
      </c>
      <c r="F1" t="s">
        <v>5</v>
      </c>
      <c r="G1" t="s">
        <v>6</v>
      </c>
      <c r="H1" t="s">
        <v>7</v>
      </c>
      <c r="I1" t="s">
        <v>8</v>
      </c>
      <c r="J1" t="s">
        <v>9</v>
      </c>
      <c r="K1" t="s">
        <v>62</v>
      </c>
      <c r="L1" t="s">
        <v>63</v>
      </c>
      <c r="M1" t="s">
        <v>64</v>
      </c>
      <c r="N1" t="s">
        <v>67</v>
      </c>
      <c r="O1" t="s">
        <v>65</v>
      </c>
      <c r="P1" t="s">
        <v>66</v>
      </c>
    </row>
    <row r="2" spans="1:16" x14ac:dyDescent="0.3">
      <c r="A2">
        <v>1</v>
      </c>
      <c r="B2" s="6">
        <v>40544</v>
      </c>
      <c r="C2">
        <v>1</v>
      </c>
      <c r="D2">
        <v>0</v>
      </c>
      <c r="E2">
        <v>1</v>
      </c>
      <c r="F2">
        <v>0</v>
      </c>
      <c r="G2" t="b">
        <v>0</v>
      </c>
      <c r="H2">
        <v>6</v>
      </c>
      <c r="I2">
        <v>1</v>
      </c>
      <c r="J2">
        <v>0.24</v>
      </c>
      <c r="K2">
        <v>0.28789999999999999</v>
      </c>
      <c r="L2">
        <v>0.81</v>
      </c>
      <c r="M2">
        <v>0</v>
      </c>
      <c r="N2">
        <v>3</v>
      </c>
      <c r="O2">
        <v>13</v>
      </c>
      <c r="P2">
        <v>16</v>
      </c>
    </row>
    <row r="3" spans="1:16" x14ac:dyDescent="0.3">
      <c r="A3">
        <v>2</v>
      </c>
      <c r="B3" s="6">
        <v>40544</v>
      </c>
      <c r="C3">
        <v>1</v>
      </c>
      <c r="D3">
        <v>0</v>
      </c>
      <c r="E3">
        <v>1</v>
      </c>
      <c r="F3">
        <v>1</v>
      </c>
      <c r="G3" t="b">
        <v>0</v>
      </c>
      <c r="H3">
        <v>6</v>
      </c>
      <c r="I3">
        <v>1</v>
      </c>
      <c r="J3">
        <v>0.22</v>
      </c>
      <c r="K3">
        <v>0.2727</v>
      </c>
      <c r="L3">
        <v>0.8</v>
      </c>
      <c r="M3">
        <v>0</v>
      </c>
      <c r="N3">
        <v>8</v>
      </c>
      <c r="O3">
        <v>32</v>
      </c>
      <c r="P3">
        <v>40</v>
      </c>
    </row>
    <row r="4" spans="1:16" x14ac:dyDescent="0.3">
      <c r="A4">
        <v>3</v>
      </c>
      <c r="B4" s="6">
        <v>40544</v>
      </c>
      <c r="C4">
        <v>1</v>
      </c>
      <c r="D4">
        <v>0</v>
      </c>
      <c r="E4">
        <v>1</v>
      </c>
      <c r="F4">
        <v>2</v>
      </c>
      <c r="G4" t="b">
        <v>0</v>
      </c>
      <c r="H4">
        <v>6</v>
      </c>
      <c r="I4">
        <v>1</v>
      </c>
      <c r="J4">
        <v>0.22</v>
      </c>
      <c r="K4">
        <v>0.2727</v>
      </c>
      <c r="L4">
        <v>0.8</v>
      </c>
      <c r="M4">
        <v>0</v>
      </c>
      <c r="N4">
        <v>5</v>
      </c>
      <c r="O4">
        <v>27</v>
      </c>
      <c r="P4">
        <v>32</v>
      </c>
    </row>
    <row r="5" spans="1:16" x14ac:dyDescent="0.3">
      <c r="A5">
        <v>4</v>
      </c>
      <c r="B5" s="6">
        <v>40544</v>
      </c>
      <c r="C5">
        <v>1</v>
      </c>
      <c r="D5">
        <v>0</v>
      </c>
      <c r="E5">
        <v>1</v>
      </c>
      <c r="F5">
        <v>3</v>
      </c>
      <c r="G5" t="b">
        <v>0</v>
      </c>
      <c r="H5">
        <v>6</v>
      </c>
      <c r="I5">
        <v>1</v>
      </c>
      <c r="J5">
        <v>0.24</v>
      </c>
      <c r="K5">
        <v>0.28789999999999999</v>
      </c>
      <c r="L5">
        <v>0.75</v>
      </c>
      <c r="M5">
        <v>0</v>
      </c>
      <c r="N5">
        <v>3</v>
      </c>
      <c r="O5">
        <v>10</v>
      </c>
      <c r="P5">
        <v>13</v>
      </c>
    </row>
    <row r="6" spans="1:16" x14ac:dyDescent="0.3">
      <c r="A6">
        <v>5</v>
      </c>
      <c r="B6" s="6">
        <v>40544</v>
      </c>
      <c r="C6">
        <v>1</v>
      </c>
      <c r="D6">
        <v>0</v>
      </c>
      <c r="E6">
        <v>1</v>
      </c>
      <c r="F6">
        <v>4</v>
      </c>
      <c r="G6" t="b">
        <v>0</v>
      </c>
      <c r="H6">
        <v>6</v>
      </c>
      <c r="I6">
        <v>1</v>
      </c>
      <c r="J6">
        <v>0.24</v>
      </c>
      <c r="K6">
        <v>0.28789999999999999</v>
      </c>
      <c r="L6">
        <v>0.75</v>
      </c>
      <c r="M6">
        <v>0</v>
      </c>
      <c r="N6">
        <v>0</v>
      </c>
      <c r="O6">
        <v>1</v>
      </c>
      <c r="P6">
        <v>1</v>
      </c>
    </row>
    <row r="7" spans="1:16" x14ac:dyDescent="0.3">
      <c r="A7">
        <v>6</v>
      </c>
      <c r="B7" s="6">
        <v>40544</v>
      </c>
      <c r="C7">
        <v>1</v>
      </c>
      <c r="D7">
        <v>0</v>
      </c>
      <c r="E7">
        <v>1</v>
      </c>
      <c r="F7">
        <v>5</v>
      </c>
      <c r="G7" t="b">
        <v>0</v>
      </c>
      <c r="H7">
        <v>6</v>
      </c>
      <c r="I7">
        <v>2</v>
      </c>
      <c r="J7">
        <v>0.24</v>
      </c>
      <c r="K7">
        <v>0.2576</v>
      </c>
      <c r="L7">
        <v>0.75</v>
      </c>
      <c r="M7">
        <v>8.9599999999999999E-2</v>
      </c>
      <c r="N7">
        <v>0</v>
      </c>
      <c r="O7">
        <v>1</v>
      </c>
      <c r="P7">
        <v>1</v>
      </c>
    </row>
    <row r="8" spans="1:16" x14ac:dyDescent="0.3">
      <c r="A8">
        <v>7</v>
      </c>
      <c r="B8" s="6">
        <v>40544</v>
      </c>
      <c r="C8">
        <v>1</v>
      </c>
      <c r="D8">
        <v>0</v>
      </c>
      <c r="E8">
        <v>1</v>
      </c>
      <c r="F8">
        <v>6</v>
      </c>
      <c r="G8" t="b">
        <v>0</v>
      </c>
      <c r="H8">
        <v>6</v>
      </c>
      <c r="I8">
        <v>1</v>
      </c>
      <c r="J8">
        <v>0.22</v>
      </c>
      <c r="K8">
        <v>0.2727</v>
      </c>
      <c r="L8">
        <v>0.8</v>
      </c>
      <c r="M8">
        <v>0</v>
      </c>
      <c r="N8">
        <v>2</v>
      </c>
      <c r="O8">
        <v>0</v>
      </c>
      <c r="P8">
        <v>2</v>
      </c>
    </row>
    <row r="9" spans="1:16" x14ac:dyDescent="0.3">
      <c r="A9">
        <v>8</v>
      </c>
      <c r="B9" s="6">
        <v>40544</v>
      </c>
      <c r="C9">
        <v>1</v>
      </c>
      <c r="D9">
        <v>0</v>
      </c>
      <c r="E9">
        <v>1</v>
      </c>
      <c r="F9">
        <v>7</v>
      </c>
      <c r="G9" t="b">
        <v>0</v>
      </c>
      <c r="H9">
        <v>6</v>
      </c>
      <c r="I9">
        <v>1</v>
      </c>
      <c r="J9">
        <v>0.2</v>
      </c>
      <c r="K9">
        <v>0.2576</v>
      </c>
      <c r="L9">
        <v>0.86</v>
      </c>
      <c r="M9">
        <v>0</v>
      </c>
      <c r="N9">
        <v>1</v>
      </c>
      <c r="O9">
        <v>2</v>
      </c>
      <c r="P9">
        <v>3</v>
      </c>
    </row>
    <row r="10" spans="1:16" x14ac:dyDescent="0.3">
      <c r="A10">
        <v>9</v>
      </c>
      <c r="B10" s="6">
        <v>40544</v>
      </c>
      <c r="C10">
        <v>1</v>
      </c>
      <c r="D10">
        <v>0</v>
      </c>
      <c r="E10">
        <v>1</v>
      </c>
      <c r="F10">
        <v>8</v>
      </c>
      <c r="G10" t="b">
        <v>0</v>
      </c>
      <c r="H10">
        <v>6</v>
      </c>
      <c r="I10">
        <v>1</v>
      </c>
      <c r="J10">
        <v>0.24</v>
      </c>
      <c r="K10">
        <v>0.19993489148580987</v>
      </c>
      <c r="L10">
        <v>0.75</v>
      </c>
      <c r="M10">
        <v>0</v>
      </c>
      <c r="N10">
        <v>1</v>
      </c>
      <c r="O10">
        <v>7</v>
      </c>
      <c r="P10">
        <v>8</v>
      </c>
    </row>
    <row r="11" spans="1:16" x14ac:dyDescent="0.3">
      <c r="A11">
        <v>10</v>
      </c>
      <c r="B11" s="6">
        <v>40544</v>
      </c>
      <c r="C11">
        <v>1</v>
      </c>
      <c r="D11">
        <v>0</v>
      </c>
      <c r="E11">
        <v>1</v>
      </c>
      <c r="F11">
        <v>9</v>
      </c>
      <c r="G11" t="b">
        <v>0</v>
      </c>
      <c r="H11">
        <v>6</v>
      </c>
      <c r="I11">
        <v>1</v>
      </c>
      <c r="J11">
        <v>0.32</v>
      </c>
      <c r="K11">
        <v>0.34849999999999998</v>
      </c>
      <c r="L11">
        <v>0.76</v>
      </c>
      <c r="M11">
        <v>0</v>
      </c>
      <c r="N11">
        <v>8</v>
      </c>
      <c r="O11">
        <v>6</v>
      </c>
      <c r="P11">
        <v>14</v>
      </c>
    </row>
    <row r="12" spans="1:16" x14ac:dyDescent="0.3">
      <c r="A12">
        <v>11</v>
      </c>
      <c r="B12" s="6">
        <v>40544</v>
      </c>
      <c r="C12">
        <v>1</v>
      </c>
      <c r="D12">
        <v>0</v>
      </c>
      <c r="E12">
        <v>1</v>
      </c>
      <c r="F12">
        <v>10</v>
      </c>
      <c r="G12" t="b">
        <v>0</v>
      </c>
      <c r="H12">
        <v>6</v>
      </c>
      <c r="I12">
        <v>1</v>
      </c>
      <c r="J12">
        <v>0.38</v>
      </c>
      <c r="K12">
        <v>0.39389999999999997</v>
      </c>
      <c r="L12">
        <v>0.76</v>
      </c>
      <c r="M12">
        <v>0.25369999999999998</v>
      </c>
      <c r="N12">
        <v>12</v>
      </c>
      <c r="O12">
        <v>24</v>
      </c>
      <c r="P12">
        <v>36</v>
      </c>
    </row>
    <row r="13" spans="1:16" x14ac:dyDescent="0.3">
      <c r="A13">
        <v>12</v>
      </c>
      <c r="B13" s="6">
        <v>40544</v>
      </c>
      <c r="C13">
        <v>1</v>
      </c>
      <c r="D13">
        <v>0</v>
      </c>
      <c r="E13">
        <v>1</v>
      </c>
      <c r="F13">
        <v>11</v>
      </c>
      <c r="G13" t="b">
        <v>0</v>
      </c>
      <c r="H13">
        <v>6</v>
      </c>
      <c r="I13">
        <v>1</v>
      </c>
      <c r="J13">
        <v>0.36</v>
      </c>
      <c r="K13">
        <v>0.33329999999999999</v>
      </c>
      <c r="L13">
        <v>0.81</v>
      </c>
      <c r="M13">
        <v>0.28360000000000002</v>
      </c>
      <c r="N13">
        <v>26</v>
      </c>
      <c r="O13">
        <v>30</v>
      </c>
      <c r="P13">
        <v>56</v>
      </c>
    </row>
    <row r="14" spans="1:16" x14ac:dyDescent="0.3">
      <c r="A14">
        <v>13</v>
      </c>
      <c r="B14" s="6">
        <v>40544</v>
      </c>
      <c r="C14">
        <v>1</v>
      </c>
      <c r="D14">
        <v>0</v>
      </c>
      <c r="E14">
        <v>1</v>
      </c>
      <c r="F14">
        <v>12</v>
      </c>
      <c r="G14" t="b">
        <v>0</v>
      </c>
      <c r="H14">
        <v>6</v>
      </c>
      <c r="I14">
        <v>1</v>
      </c>
      <c r="J14">
        <v>0.42</v>
      </c>
      <c r="K14">
        <v>0.42420000000000002</v>
      </c>
      <c r="L14">
        <v>0.77</v>
      </c>
      <c r="M14">
        <v>0.28360000000000002</v>
      </c>
      <c r="N14">
        <v>29</v>
      </c>
      <c r="O14">
        <v>55</v>
      </c>
      <c r="P14">
        <v>84</v>
      </c>
    </row>
    <row r="15" spans="1:16" x14ac:dyDescent="0.3">
      <c r="A15">
        <v>14</v>
      </c>
      <c r="B15" s="6">
        <v>40544</v>
      </c>
      <c r="C15">
        <v>1</v>
      </c>
      <c r="D15">
        <v>0</v>
      </c>
      <c r="E15">
        <v>1</v>
      </c>
      <c r="F15">
        <v>13</v>
      </c>
      <c r="G15" t="b">
        <v>0</v>
      </c>
      <c r="H15">
        <v>6</v>
      </c>
      <c r="I15">
        <v>2</v>
      </c>
      <c r="J15">
        <v>0.46</v>
      </c>
      <c r="K15">
        <v>0.45450000000000002</v>
      </c>
      <c r="L15">
        <v>0.72</v>
      </c>
      <c r="M15">
        <v>0.29849999999999999</v>
      </c>
      <c r="N15">
        <v>47</v>
      </c>
      <c r="O15">
        <v>47</v>
      </c>
      <c r="P15">
        <v>94</v>
      </c>
    </row>
    <row r="16" spans="1:16" x14ac:dyDescent="0.3">
      <c r="A16">
        <v>15</v>
      </c>
      <c r="B16" s="6">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6">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6">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6">
        <v>40544</v>
      </c>
      <c r="C19">
        <v>1</v>
      </c>
      <c r="D19">
        <v>0</v>
      </c>
      <c r="E19">
        <v>1</v>
      </c>
      <c r="F19">
        <v>17</v>
      </c>
      <c r="G19" t="b">
        <v>0</v>
      </c>
      <c r="H19">
        <v>6</v>
      </c>
      <c r="I19">
        <v>2</v>
      </c>
      <c r="J19">
        <v>0.44</v>
      </c>
      <c r="K19">
        <v>0.19993489148580987</v>
      </c>
      <c r="L19">
        <v>0.82</v>
      </c>
      <c r="M19">
        <v>0.28360000000000002</v>
      </c>
      <c r="N19">
        <v>15</v>
      </c>
      <c r="O19">
        <v>52</v>
      </c>
      <c r="P19">
        <v>67</v>
      </c>
    </row>
    <row r="20" spans="1:16" x14ac:dyDescent="0.3">
      <c r="A20">
        <v>19</v>
      </c>
      <c r="B20" s="6">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6">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6">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6">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6">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6">
        <v>40544</v>
      </c>
      <c r="C25">
        <v>1</v>
      </c>
      <c r="D25">
        <v>0</v>
      </c>
      <c r="E25">
        <v>1</v>
      </c>
      <c r="F25">
        <v>23</v>
      </c>
      <c r="G25" t="b">
        <v>0</v>
      </c>
      <c r="H25">
        <v>6</v>
      </c>
      <c r="I25">
        <v>2</v>
      </c>
      <c r="J25">
        <v>0.46</v>
      </c>
      <c r="K25">
        <v>0.19993489148580987</v>
      </c>
      <c r="L25">
        <v>0.88</v>
      </c>
      <c r="M25">
        <v>0.29849999999999999</v>
      </c>
      <c r="N25">
        <v>15</v>
      </c>
      <c r="O25">
        <v>24</v>
      </c>
      <c r="P25">
        <v>39</v>
      </c>
    </row>
    <row r="26" spans="1:16" x14ac:dyDescent="0.3">
      <c r="A26">
        <v>25</v>
      </c>
      <c r="B26" s="6">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6">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6">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6">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6">
        <v>40545</v>
      </c>
      <c r="C30">
        <v>1</v>
      </c>
      <c r="D30">
        <v>0</v>
      </c>
      <c r="E30">
        <v>1</v>
      </c>
      <c r="F30">
        <v>4</v>
      </c>
      <c r="G30" t="b">
        <v>0</v>
      </c>
      <c r="H30">
        <v>0</v>
      </c>
      <c r="I30">
        <v>2</v>
      </c>
      <c r="J30">
        <v>0.46</v>
      </c>
      <c r="K30">
        <v>0.19993489148580987</v>
      </c>
      <c r="L30">
        <v>0.94</v>
      </c>
      <c r="M30">
        <v>0.19400000000000001</v>
      </c>
      <c r="N30">
        <v>2</v>
      </c>
      <c r="O30">
        <v>1</v>
      </c>
      <c r="P30">
        <v>3</v>
      </c>
    </row>
    <row r="31" spans="1:16" x14ac:dyDescent="0.3">
      <c r="A31">
        <v>30</v>
      </c>
      <c r="B31" s="6">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6">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6">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6">
        <v>40545</v>
      </c>
      <c r="C34">
        <v>1</v>
      </c>
      <c r="D34">
        <v>0</v>
      </c>
      <c r="E34">
        <v>1</v>
      </c>
      <c r="F34">
        <v>9</v>
      </c>
      <c r="G34" t="b">
        <v>0</v>
      </c>
      <c r="H34">
        <v>0</v>
      </c>
      <c r="I34">
        <v>2</v>
      </c>
      <c r="J34">
        <v>0.38</v>
      </c>
      <c r="K34">
        <v>0.19993489148580987</v>
      </c>
      <c r="L34">
        <v>0.76</v>
      </c>
      <c r="M34">
        <v>0.22389999999999999</v>
      </c>
      <c r="N34">
        <v>1</v>
      </c>
      <c r="O34">
        <v>19</v>
      </c>
      <c r="P34">
        <v>20</v>
      </c>
    </row>
    <row r="35" spans="1:16" x14ac:dyDescent="0.3">
      <c r="A35">
        <v>34</v>
      </c>
      <c r="B35" s="6">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6">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6">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6">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6">
        <v>40545</v>
      </c>
      <c r="C39">
        <v>1</v>
      </c>
      <c r="D39">
        <v>0</v>
      </c>
      <c r="E39">
        <v>1</v>
      </c>
      <c r="F39">
        <v>14</v>
      </c>
      <c r="G39" t="b">
        <v>0</v>
      </c>
      <c r="H39">
        <v>0</v>
      </c>
      <c r="I39">
        <v>3</v>
      </c>
      <c r="J39">
        <v>0.36</v>
      </c>
      <c r="K39">
        <v>0.19993489148580987</v>
      </c>
      <c r="L39">
        <v>0.76</v>
      </c>
      <c r="M39">
        <v>0.19400000000000001</v>
      </c>
      <c r="N39">
        <v>4</v>
      </c>
      <c r="O39">
        <v>55</v>
      </c>
      <c r="P39">
        <v>59</v>
      </c>
    </row>
    <row r="40" spans="1:16" x14ac:dyDescent="0.3">
      <c r="A40">
        <v>39</v>
      </c>
      <c r="B40" s="6">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6">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6">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6">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6">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6">
        <v>40545</v>
      </c>
      <c r="C45">
        <v>1</v>
      </c>
      <c r="D45">
        <v>0</v>
      </c>
      <c r="E45">
        <v>1</v>
      </c>
      <c r="F45">
        <v>20</v>
      </c>
      <c r="G45" t="b">
        <v>0</v>
      </c>
      <c r="H45">
        <v>0</v>
      </c>
      <c r="I45">
        <v>1</v>
      </c>
      <c r="J45">
        <v>0.3</v>
      </c>
      <c r="K45">
        <v>0.19993489148580987</v>
      </c>
      <c r="L45">
        <v>0.39</v>
      </c>
      <c r="M45">
        <v>0.35820000000000002</v>
      </c>
      <c r="N45">
        <v>5</v>
      </c>
      <c r="O45">
        <v>17</v>
      </c>
      <c r="P45">
        <v>22</v>
      </c>
    </row>
    <row r="46" spans="1:16" x14ac:dyDescent="0.3">
      <c r="A46">
        <v>45</v>
      </c>
      <c r="B46" s="6">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6">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6">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6">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6">
        <v>40546</v>
      </c>
      <c r="C50">
        <v>1</v>
      </c>
      <c r="D50">
        <v>0</v>
      </c>
      <c r="E50">
        <v>1</v>
      </c>
      <c r="F50">
        <v>1</v>
      </c>
      <c r="G50" t="b">
        <v>0</v>
      </c>
      <c r="H50">
        <v>1</v>
      </c>
      <c r="I50">
        <v>1</v>
      </c>
      <c r="J50">
        <v>0.2</v>
      </c>
      <c r="K50">
        <v>0.19993489148580987</v>
      </c>
      <c r="L50">
        <v>0.44</v>
      </c>
      <c r="M50">
        <v>0.41789999999999999</v>
      </c>
      <c r="N50">
        <v>0</v>
      </c>
      <c r="O50">
        <v>2</v>
      </c>
      <c r="P50">
        <v>2</v>
      </c>
    </row>
    <row r="51" spans="1:16" x14ac:dyDescent="0.3">
      <c r="A51">
        <v>50</v>
      </c>
      <c r="B51" s="6">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6">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6">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6">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6">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6">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6">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6">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6">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6">
        <v>40546</v>
      </c>
      <c r="C60">
        <v>1</v>
      </c>
      <c r="D60">
        <v>0</v>
      </c>
      <c r="E60">
        <v>1</v>
      </c>
      <c r="F60">
        <v>13</v>
      </c>
      <c r="G60" t="b">
        <v>0</v>
      </c>
      <c r="H60">
        <v>1</v>
      </c>
      <c r="I60">
        <v>1</v>
      </c>
      <c r="J60">
        <v>0.24</v>
      </c>
      <c r="K60">
        <v>0.19993489148580987</v>
      </c>
      <c r="L60">
        <v>0.35</v>
      </c>
      <c r="M60">
        <v>0.28360000000000002</v>
      </c>
      <c r="N60">
        <v>8</v>
      </c>
      <c r="O60">
        <v>53</v>
      </c>
      <c r="P60">
        <v>61</v>
      </c>
    </row>
    <row r="61" spans="1:16" x14ac:dyDescent="0.3">
      <c r="A61">
        <v>60</v>
      </c>
      <c r="B61" s="6">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6">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6">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6">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6">
        <v>40546</v>
      </c>
      <c r="C65">
        <v>1</v>
      </c>
      <c r="D65">
        <v>0</v>
      </c>
      <c r="E65">
        <v>1</v>
      </c>
      <c r="F65">
        <v>18</v>
      </c>
      <c r="G65" t="b">
        <v>0</v>
      </c>
      <c r="H65">
        <v>1</v>
      </c>
      <c r="I65">
        <v>1</v>
      </c>
      <c r="J65">
        <v>0.24</v>
      </c>
      <c r="K65">
        <v>0.2576</v>
      </c>
      <c r="L65">
        <v>0.32</v>
      </c>
      <c r="M65">
        <v>0.1045</v>
      </c>
      <c r="N65">
        <v>9</v>
      </c>
      <c r="O65">
        <v>148</v>
      </c>
      <c r="P65">
        <v>157</v>
      </c>
    </row>
    <row r="66" spans="1:16" x14ac:dyDescent="0.3">
      <c r="A66">
        <v>65</v>
      </c>
      <c r="B66" s="6">
        <v>40546</v>
      </c>
      <c r="C66">
        <v>1</v>
      </c>
      <c r="D66">
        <v>0</v>
      </c>
      <c r="E66">
        <v>1</v>
      </c>
      <c r="F66">
        <v>19</v>
      </c>
      <c r="G66" t="b">
        <v>0</v>
      </c>
      <c r="H66">
        <v>1</v>
      </c>
      <c r="I66">
        <v>1</v>
      </c>
      <c r="J66">
        <v>0.2</v>
      </c>
      <c r="K66">
        <v>0.2576</v>
      </c>
      <c r="L66">
        <v>0.47</v>
      </c>
      <c r="M66">
        <v>0</v>
      </c>
      <c r="N66">
        <v>8</v>
      </c>
      <c r="O66">
        <v>102</v>
      </c>
      <c r="P66">
        <v>110</v>
      </c>
    </row>
    <row r="67" spans="1:16" x14ac:dyDescent="0.3">
      <c r="A67">
        <v>66</v>
      </c>
      <c r="B67" s="6">
        <v>40546</v>
      </c>
      <c r="C67">
        <v>1</v>
      </c>
      <c r="D67">
        <v>0</v>
      </c>
      <c r="E67">
        <v>1</v>
      </c>
      <c r="F67">
        <v>20</v>
      </c>
      <c r="G67" t="b">
        <v>0</v>
      </c>
      <c r="H67">
        <v>1</v>
      </c>
      <c r="I67">
        <v>1</v>
      </c>
      <c r="J67">
        <v>0.2</v>
      </c>
      <c r="K67">
        <v>0.19993489148580987</v>
      </c>
      <c r="L67">
        <v>0.47</v>
      </c>
      <c r="M67">
        <v>0.1045</v>
      </c>
      <c r="N67">
        <v>3</v>
      </c>
      <c r="O67">
        <v>49</v>
      </c>
      <c r="P67">
        <v>52</v>
      </c>
    </row>
    <row r="68" spans="1:16" x14ac:dyDescent="0.3">
      <c r="A68">
        <v>67</v>
      </c>
      <c r="B68" s="6">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6">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6">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6">
        <v>40547</v>
      </c>
      <c r="C71">
        <v>1</v>
      </c>
      <c r="D71">
        <v>0</v>
      </c>
      <c r="E71">
        <v>1</v>
      </c>
      <c r="F71">
        <v>0</v>
      </c>
      <c r="G71" t="b">
        <v>0</v>
      </c>
      <c r="H71">
        <v>2</v>
      </c>
      <c r="I71">
        <v>1</v>
      </c>
      <c r="J71">
        <v>0.16</v>
      </c>
      <c r="K71">
        <v>0.19993489148580987</v>
      </c>
      <c r="L71">
        <v>0.55000000000000004</v>
      </c>
      <c r="M71">
        <v>0.1045</v>
      </c>
      <c r="N71">
        <v>0</v>
      </c>
      <c r="O71">
        <v>5</v>
      </c>
      <c r="P71">
        <v>5</v>
      </c>
    </row>
    <row r="72" spans="1:16" x14ac:dyDescent="0.3">
      <c r="A72">
        <v>71</v>
      </c>
      <c r="B72" s="6">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6">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6">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6">
        <v>40547</v>
      </c>
      <c r="C75">
        <v>1</v>
      </c>
      <c r="D75">
        <v>0</v>
      </c>
      <c r="E75">
        <v>1</v>
      </c>
      <c r="F75">
        <v>5</v>
      </c>
      <c r="G75" t="b">
        <v>0</v>
      </c>
      <c r="H75">
        <v>2</v>
      </c>
      <c r="I75">
        <v>1</v>
      </c>
      <c r="J75">
        <v>0.12</v>
      </c>
      <c r="K75">
        <v>0.1515</v>
      </c>
      <c r="L75">
        <v>0.68</v>
      </c>
      <c r="M75">
        <v>0.1045</v>
      </c>
      <c r="N75">
        <v>0</v>
      </c>
      <c r="O75">
        <v>4</v>
      </c>
      <c r="P75">
        <v>4</v>
      </c>
    </row>
    <row r="76" spans="1:16" x14ac:dyDescent="0.3">
      <c r="A76">
        <v>75</v>
      </c>
      <c r="B76" s="6">
        <v>40547</v>
      </c>
      <c r="C76">
        <v>1</v>
      </c>
      <c r="D76">
        <v>0</v>
      </c>
      <c r="E76">
        <v>1</v>
      </c>
      <c r="F76">
        <v>6</v>
      </c>
      <c r="G76" t="b">
        <v>0</v>
      </c>
      <c r="H76">
        <v>2</v>
      </c>
      <c r="I76">
        <v>1</v>
      </c>
      <c r="J76">
        <v>0.12</v>
      </c>
      <c r="K76">
        <v>0.1515</v>
      </c>
      <c r="L76">
        <v>0.74</v>
      </c>
      <c r="M76">
        <v>0.1045</v>
      </c>
      <c r="N76">
        <v>0</v>
      </c>
      <c r="O76">
        <v>36</v>
      </c>
      <c r="P76">
        <v>36</v>
      </c>
    </row>
    <row r="77" spans="1:16" x14ac:dyDescent="0.3">
      <c r="A77">
        <v>76</v>
      </c>
      <c r="B77" s="6">
        <v>40547</v>
      </c>
      <c r="C77">
        <v>1</v>
      </c>
      <c r="D77">
        <v>0</v>
      </c>
      <c r="E77">
        <v>1</v>
      </c>
      <c r="F77">
        <v>7</v>
      </c>
      <c r="G77" t="b">
        <v>0</v>
      </c>
      <c r="H77">
        <v>2</v>
      </c>
      <c r="I77">
        <v>1</v>
      </c>
      <c r="J77">
        <v>0.12</v>
      </c>
      <c r="K77">
        <v>0.1515</v>
      </c>
      <c r="L77">
        <v>0.74</v>
      </c>
      <c r="M77">
        <v>0.1343</v>
      </c>
      <c r="N77">
        <v>2</v>
      </c>
      <c r="O77">
        <v>92</v>
      </c>
      <c r="P77">
        <v>94</v>
      </c>
    </row>
    <row r="78" spans="1:16" x14ac:dyDescent="0.3">
      <c r="A78">
        <v>77</v>
      </c>
      <c r="B78" s="6">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6">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6">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6">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6">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6">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6">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6">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6">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6">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6">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6">
        <v>40547</v>
      </c>
      <c r="C89">
        <v>1</v>
      </c>
      <c r="D89">
        <v>0</v>
      </c>
      <c r="E89">
        <v>1</v>
      </c>
      <c r="F89">
        <v>19</v>
      </c>
      <c r="G89" t="b">
        <v>0</v>
      </c>
      <c r="H89">
        <v>2</v>
      </c>
      <c r="I89">
        <v>1</v>
      </c>
      <c r="J89">
        <v>0.24</v>
      </c>
      <c r="K89">
        <v>0.2576</v>
      </c>
      <c r="L89">
        <v>0.48</v>
      </c>
      <c r="M89">
        <v>0.1045</v>
      </c>
      <c r="N89">
        <v>2</v>
      </c>
      <c r="O89">
        <v>110</v>
      </c>
      <c r="P89">
        <v>112</v>
      </c>
    </row>
    <row r="90" spans="1:16" x14ac:dyDescent="0.3">
      <c r="A90">
        <v>89</v>
      </c>
      <c r="B90" s="6">
        <v>40547</v>
      </c>
      <c r="C90">
        <v>1</v>
      </c>
      <c r="D90">
        <v>0</v>
      </c>
      <c r="E90">
        <v>1</v>
      </c>
      <c r="F90">
        <v>20</v>
      </c>
      <c r="G90" t="b">
        <v>0</v>
      </c>
      <c r="H90">
        <v>2</v>
      </c>
      <c r="I90">
        <v>1</v>
      </c>
      <c r="J90">
        <v>0.24</v>
      </c>
      <c r="K90">
        <v>0.2576</v>
      </c>
      <c r="L90">
        <v>0.48</v>
      </c>
      <c r="M90">
        <v>0.1045</v>
      </c>
      <c r="N90">
        <v>1</v>
      </c>
      <c r="O90">
        <v>53</v>
      </c>
      <c r="P90">
        <v>54</v>
      </c>
    </row>
    <row r="91" spans="1:16" x14ac:dyDescent="0.3">
      <c r="A91">
        <v>90</v>
      </c>
      <c r="B91" s="6">
        <v>40547</v>
      </c>
      <c r="C91">
        <v>1</v>
      </c>
      <c r="D91">
        <v>0</v>
      </c>
      <c r="E91">
        <v>1</v>
      </c>
      <c r="F91">
        <v>21</v>
      </c>
      <c r="G91" t="b">
        <v>0</v>
      </c>
      <c r="H91">
        <v>2</v>
      </c>
      <c r="I91">
        <v>1</v>
      </c>
      <c r="J91">
        <v>0.22</v>
      </c>
      <c r="K91">
        <v>0.2727</v>
      </c>
      <c r="L91">
        <v>0.64</v>
      </c>
      <c r="M91">
        <v>0</v>
      </c>
      <c r="N91">
        <v>0</v>
      </c>
      <c r="O91">
        <v>48</v>
      </c>
      <c r="P91">
        <v>48</v>
      </c>
    </row>
    <row r="92" spans="1:16" x14ac:dyDescent="0.3">
      <c r="A92">
        <v>91</v>
      </c>
      <c r="B92" s="6">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6">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6">
        <v>40548</v>
      </c>
      <c r="C94">
        <v>1</v>
      </c>
      <c r="D94">
        <v>0</v>
      </c>
      <c r="E94">
        <v>1</v>
      </c>
      <c r="F94">
        <v>0</v>
      </c>
      <c r="G94" t="b">
        <v>0</v>
      </c>
      <c r="H94">
        <v>3</v>
      </c>
      <c r="I94">
        <v>1</v>
      </c>
      <c r="J94">
        <v>0.2</v>
      </c>
      <c r="K94">
        <v>0.2576</v>
      </c>
      <c r="L94">
        <v>0.64</v>
      </c>
      <c r="M94">
        <v>0</v>
      </c>
      <c r="N94">
        <v>0</v>
      </c>
      <c r="O94">
        <v>6</v>
      </c>
      <c r="P94">
        <v>6</v>
      </c>
    </row>
    <row r="95" spans="1:16" x14ac:dyDescent="0.3">
      <c r="A95">
        <v>94</v>
      </c>
      <c r="B95" s="6">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6">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6">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6">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6">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6">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6">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6">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6">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6">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6">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6">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6">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6">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6">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6">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6">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6">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6">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6">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6">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6">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6">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6">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6">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6">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6">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6">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6">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6">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6">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6">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6">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6">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6">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6">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6">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6">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6">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6">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6">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6">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6">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6">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6">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6">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6">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6">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6">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6">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6">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6">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6">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6">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6">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6">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6">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6">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6">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6">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6">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6">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6">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6">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6">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6">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6">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6">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6">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6">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6">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6">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6">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6">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6">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6">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6">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6">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6">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6">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6">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6">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6">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6">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6">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6">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6">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6">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6">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6">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6">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6">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6">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6">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6">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6">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6">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6">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6">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6">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6">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6">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6">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6">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6">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6">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6">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6">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6">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6">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6">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6">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6">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6">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6">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6">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6">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6">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6">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6">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6">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6">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6">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6">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6">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6">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6">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6">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6">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6">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6">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6">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6">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6">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6">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6">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6">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6">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6">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6">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6">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6">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6">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6">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6">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6">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6">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6">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6">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6">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6">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6">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6">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6">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6">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6">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6">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6">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6">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6">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6">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6">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6">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6">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6">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6">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6">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6">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6">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6">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6">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6">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6">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6">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6">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6">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6">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6">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6">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6">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6">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6">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6">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6">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6">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6">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6">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6">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6">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6">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6">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6">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6">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6">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6">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6">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6">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6">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6">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6">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6">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6">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6">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6">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6">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6">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6">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6">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6">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6">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6">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6">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6">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6">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6">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6">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6">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6">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6">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6">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6">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6">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6">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6">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6">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6">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6">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6">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6">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6">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6">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6">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6">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6">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6">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6">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6">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6">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6">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6">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6">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6">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6">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6">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6">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6">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6">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6">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6">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6">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6">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6">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6">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6">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6">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6">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6">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6">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6">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6">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6">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6">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6">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6">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6">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6">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6">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6">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6">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6">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6">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6">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6">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6">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6">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6">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6">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6">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6">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6">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6">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6">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6">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6">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6">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6">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6">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6">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6">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6">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6">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6">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6">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6">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6">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6">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6">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6">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6">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6">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6">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6">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6">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6">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6">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6">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6">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6">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6">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6">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6">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6">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6">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6">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6">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6">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6">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6">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6">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6">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6">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6">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6">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6">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6">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6">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6">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6">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6">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6">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6">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6">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6">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6">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6">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6">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6">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6">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6">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6">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6">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6">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6">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6">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6">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6">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6">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6">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6">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6">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6">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6">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6">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6">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6">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6">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6">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6">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6">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6">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6">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6">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6">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6">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6">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6">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6">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6">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6">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6">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6">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6">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6">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6">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6">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6">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6">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6">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6">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6">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6">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6">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6">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6">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6">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6">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6">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6">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6">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6">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6">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6">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6">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6">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6">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6">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6">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6">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6">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6">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6">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6">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6">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6">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6">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6">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6">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6">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6">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6">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6">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6">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6">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6">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6">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6">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6">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6">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6">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6">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6">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6">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6">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6">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6">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6">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6">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6">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6">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6">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6">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6">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6">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6">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6">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6">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6">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6">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6">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6">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6">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6">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6">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6">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6">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6">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6">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6">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6">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6">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6">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6">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6">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6">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6">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6">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6">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6">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6">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6">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6">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6">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6">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6">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6">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6">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6">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6">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6">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6">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6">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6">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6">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6">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6">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6">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6">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6">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6">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6">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6">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6">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6">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6">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6">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6">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6">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6">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6">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6">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6">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6">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6">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6">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6">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6">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6">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6">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6">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6">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6">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6">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6">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6">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6">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6">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6">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6">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6">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6">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6">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6">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6">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6">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6">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6">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6">
        <v>40571</v>
      </c>
      <c r="C611">
        <v>1</v>
      </c>
      <c r="D611">
        <v>0</v>
      </c>
      <c r="E611">
        <v>1</v>
      </c>
      <c r="F611">
        <v>15</v>
      </c>
      <c r="G611" t="b">
        <v>0</v>
      </c>
      <c r="H611">
        <v>5</v>
      </c>
      <c r="I611">
        <v>2</v>
      </c>
      <c r="J611">
        <v>0.2</v>
      </c>
      <c r="K611">
        <v>0.2576</v>
      </c>
      <c r="L611">
        <v>0.86</v>
      </c>
      <c r="M611">
        <v>0</v>
      </c>
      <c r="N611">
        <v>1</v>
      </c>
      <c r="O611">
        <v>40</v>
      </c>
      <c r="P611">
        <v>41</v>
      </c>
    </row>
    <row r="612" spans="1:16" x14ac:dyDescent="0.3">
      <c r="B612" s="6"/>
      <c r="K612">
        <v>0.19993489148580987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FBD11-00CF-449E-AF00-3A91397E436F}">
  <dimension ref="A1:J611"/>
  <sheetViews>
    <sheetView workbookViewId="0">
      <selection activeCell="S20" sqref="S20"/>
    </sheetView>
  </sheetViews>
  <sheetFormatPr defaultRowHeight="14.4" x14ac:dyDescent="0.3"/>
  <cols>
    <col min="2" max="2" width="10.77734375"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s="3">
        <v>1</v>
      </c>
      <c r="B2" s="4">
        <v>40544</v>
      </c>
      <c r="C2" s="3">
        <v>1</v>
      </c>
      <c r="D2" s="3">
        <v>0</v>
      </c>
      <c r="E2" s="3">
        <v>1</v>
      </c>
      <c r="F2" s="3">
        <v>0</v>
      </c>
      <c r="G2" s="3" t="b">
        <v>0</v>
      </c>
      <c r="H2" s="3">
        <v>6</v>
      </c>
      <c r="I2" s="3">
        <v>1</v>
      </c>
      <c r="J2" s="3">
        <v>0.24</v>
      </c>
    </row>
    <row r="3" spans="1:10" x14ac:dyDescent="0.3">
      <c r="A3" s="3">
        <v>2</v>
      </c>
      <c r="B3" s="4">
        <v>40544</v>
      </c>
      <c r="C3" s="3">
        <v>1</v>
      </c>
      <c r="D3" s="3">
        <v>0</v>
      </c>
      <c r="E3" s="3">
        <v>1</v>
      </c>
      <c r="F3" s="3">
        <v>1</v>
      </c>
      <c r="G3" s="3" t="b">
        <v>0</v>
      </c>
      <c r="H3" s="3">
        <v>6</v>
      </c>
      <c r="I3" s="3">
        <v>1</v>
      </c>
      <c r="J3" s="3">
        <v>0.22</v>
      </c>
    </row>
    <row r="4" spans="1:10" x14ac:dyDescent="0.3">
      <c r="A4" s="3">
        <v>3</v>
      </c>
      <c r="B4" s="4">
        <v>40544</v>
      </c>
      <c r="C4" s="3">
        <v>1</v>
      </c>
      <c r="D4" s="3">
        <v>0</v>
      </c>
      <c r="E4" s="3">
        <v>1</v>
      </c>
      <c r="F4" s="3">
        <v>2</v>
      </c>
      <c r="G4" s="3" t="b">
        <v>0</v>
      </c>
      <c r="H4" s="3">
        <v>6</v>
      </c>
      <c r="I4" s="3">
        <v>1</v>
      </c>
      <c r="J4" s="3">
        <v>0.22</v>
      </c>
    </row>
    <row r="5" spans="1:10" x14ac:dyDescent="0.3">
      <c r="A5" s="3">
        <v>4</v>
      </c>
      <c r="B5" s="4">
        <v>40544</v>
      </c>
      <c r="C5" s="3">
        <v>1</v>
      </c>
      <c r="D5" s="3">
        <v>0</v>
      </c>
      <c r="E5" s="3">
        <v>1</v>
      </c>
      <c r="F5" s="3">
        <v>3</v>
      </c>
      <c r="G5" s="3" t="b">
        <v>0</v>
      </c>
      <c r="H5" s="3">
        <v>6</v>
      </c>
      <c r="I5" s="3">
        <v>1</v>
      </c>
      <c r="J5" s="3">
        <v>0.24</v>
      </c>
    </row>
    <row r="6" spans="1:10" x14ac:dyDescent="0.3">
      <c r="A6" s="3">
        <v>5</v>
      </c>
      <c r="B6" s="4">
        <v>40544</v>
      </c>
      <c r="C6" s="3">
        <v>1</v>
      </c>
      <c r="D6" s="3">
        <v>0</v>
      </c>
      <c r="E6" s="3">
        <v>1</v>
      </c>
      <c r="F6" s="3">
        <v>4</v>
      </c>
      <c r="G6" s="3" t="b">
        <v>0</v>
      </c>
      <c r="H6" s="3">
        <v>6</v>
      </c>
      <c r="I6" s="3">
        <v>1</v>
      </c>
      <c r="J6" s="3">
        <v>0.24</v>
      </c>
    </row>
    <row r="7" spans="1:10" x14ac:dyDescent="0.3">
      <c r="A7" s="3">
        <v>6</v>
      </c>
      <c r="B7" s="4">
        <v>40544</v>
      </c>
      <c r="C7" s="3">
        <v>1</v>
      </c>
      <c r="D7" s="3">
        <v>0</v>
      </c>
      <c r="E7" s="3">
        <v>1</v>
      </c>
      <c r="F7" s="3">
        <v>5</v>
      </c>
      <c r="G7" s="3" t="b">
        <v>0</v>
      </c>
      <c r="H7" s="3">
        <v>6</v>
      </c>
      <c r="I7" s="3">
        <v>2</v>
      </c>
      <c r="J7" s="3">
        <v>0.24</v>
      </c>
    </row>
    <row r="8" spans="1:10" x14ac:dyDescent="0.3">
      <c r="A8" s="3">
        <v>7</v>
      </c>
      <c r="B8" s="4">
        <v>40544</v>
      </c>
      <c r="C8" s="3">
        <v>1</v>
      </c>
      <c r="D8" s="3">
        <v>0</v>
      </c>
      <c r="E8" s="3">
        <v>1</v>
      </c>
      <c r="F8" s="3">
        <v>6</v>
      </c>
      <c r="G8" s="3" t="b">
        <v>0</v>
      </c>
      <c r="H8" s="3">
        <v>6</v>
      </c>
      <c r="I8" s="3">
        <v>1</v>
      </c>
      <c r="J8" s="3">
        <v>0.22</v>
      </c>
    </row>
    <row r="9" spans="1:10" x14ac:dyDescent="0.3">
      <c r="A9" s="3">
        <v>8</v>
      </c>
      <c r="B9" s="4">
        <v>40544</v>
      </c>
      <c r="C9" s="3">
        <v>1</v>
      </c>
      <c r="D9" s="3">
        <v>0</v>
      </c>
      <c r="E9" s="3">
        <v>1</v>
      </c>
      <c r="F9" s="3">
        <v>7</v>
      </c>
      <c r="G9" s="3" t="b">
        <v>0</v>
      </c>
      <c r="H9" s="3">
        <v>6</v>
      </c>
      <c r="I9" s="3">
        <v>1</v>
      </c>
      <c r="J9" s="3">
        <v>0.2</v>
      </c>
    </row>
    <row r="10" spans="1:10" x14ac:dyDescent="0.3">
      <c r="A10" s="3">
        <v>9</v>
      </c>
      <c r="B10" s="4">
        <v>40544</v>
      </c>
      <c r="C10" s="3">
        <v>1</v>
      </c>
      <c r="D10" s="3">
        <v>0</v>
      </c>
      <c r="E10" s="3">
        <v>1</v>
      </c>
      <c r="F10" s="3">
        <v>8</v>
      </c>
      <c r="G10" s="3" t="b">
        <v>0</v>
      </c>
      <c r="H10" s="3">
        <v>6</v>
      </c>
      <c r="I10" s="3">
        <v>1</v>
      </c>
      <c r="J10" s="3">
        <v>0.24</v>
      </c>
    </row>
    <row r="11" spans="1:10" x14ac:dyDescent="0.3">
      <c r="A11" s="3">
        <v>10</v>
      </c>
      <c r="B11" s="4">
        <v>40544</v>
      </c>
      <c r="C11" s="3">
        <v>1</v>
      </c>
      <c r="D11" s="3">
        <v>0</v>
      </c>
      <c r="E11" s="3">
        <v>1</v>
      </c>
      <c r="F11" s="3">
        <v>9</v>
      </c>
      <c r="G11" s="3" t="b">
        <v>0</v>
      </c>
      <c r="H11" s="3">
        <v>6</v>
      </c>
      <c r="I11" s="3">
        <v>1</v>
      </c>
      <c r="J11" s="3">
        <v>0.32</v>
      </c>
    </row>
    <row r="12" spans="1:10" x14ac:dyDescent="0.3">
      <c r="A12" s="3">
        <v>11</v>
      </c>
      <c r="B12" s="4">
        <v>40544</v>
      </c>
      <c r="C12" s="3">
        <v>1</v>
      </c>
      <c r="D12" s="3">
        <v>0</v>
      </c>
      <c r="E12" s="3">
        <v>1</v>
      </c>
      <c r="F12" s="3">
        <v>10</v>
      </c>
      <c r="G12" s="3" t="b">
        <v>0</v>
      </c>
      <c r="H12" s="3">
        <v>6</v>
      </c>
      <c r="I12" s="3">
        <v>1</v>
      </c>
      <c r="J12" s="3">
        <v>0.38</v>
      </c>
    </row>
    <row r="13" spans="1:10" x14ac:dyDescent="0.3">
      <c r="A13" s="3">
        <v>12</v>
      </c>
      <c r="B13" s="4">
        <v>40544</v>
      </c>
      <c r="C13" s="3">
        <v>1</v>
      </c>
      <c r="D13" s="3">
        <v>0</v>
      </c>
      <c r="E13" s="3">
        <v>1</v>
      </c>
      <c r="F13" s="3">
        <v>11</v>
      </c>
      <c r="G13" s="3" t="b">
        <v>0</v>
      </c>
      <c r="H13" s="3">
        <v>6</v>
      </c>
      <c r="I13" s="3">
        <v>1</v>
      </c>
      <c r="J13" s="3">
        <v>0.36</v>
      </c>
    </row>
    <row r="14" spans="1:10" x14ac:dyDescent="0.3">
      <c r="A14" s="3">
        <v>13</v>
      </c>
      <c r="B14" s="4">
        <v>40544</v>
      </c>
      <c r="C14" s="3">
        <v>1</v>
      </c>
      <c r="D14" s="3">
        <v>0</v>
      </c>
      <c r="E14" s="3">
        <v>1</v>
      </c>
      <c r="F14" s="3">
        <v>12</v>
      </c>
      <c r="G14" s="3" t="b">
        <v>0</v>
      </c>
      <c r="H14" s="3">
        <v>6</v>
      </c>
      <c r="I14" s="3">
        <v>1</v>
      </c>
      <c r="J14" s="3">
        <v>0.42</v>
      </c>
    </row>
    <row r="15" spans="1:10" x14ac:dyDescent="0.3">
      <c r="A15" s="3">
        <v>14</v>
      </c>
      <c r="B15" s="4">
        <v>40544</v>
      </c>
      <c r="C15" s="3">
        <v>1</v>
      </c>
      <c r="D15" s="3">
        <v>0</v>
      </c>
      <c r="E15" s="3">
        <v>1</v>
      </c>
      <c r="F15" s="3">
        <v>13</v>
      </c>
      <c r="G15" s="3" t="b">
        <v>0</v>
      </c>
      <c r="H15" s="3">
        <v>6</v>
      </c>
      <c r="I15" s="3">
        <v>2</v>
      </c>
      <c r="J15" s="3">
        <v>0.46</v>
      </c>
    </row>
    <row r="16" spans="1:10" x14ac:dyDescent="0.3">
      <c r="A16" s="3">
        <v>15</v>
      </c>
      <c r="B16" s="4">
        <v>40544</v>
      </c>
      <c r="C16" s="3">
        <v>1</v>
      </c>
      <c r="D16" s="3">
        <v>0</v>
      </c>
      <c r="E16" s="3">
        <v>1</v>
      </c>
      <c r="F16" s="3">
        <v>14</v>
      </c>
      <c r="G16" s="3" t="b">
        <v>0</v>
      </c>
      <c r="H16" s="3">
        <v>6</v>
      </c>
      <c r="I16" s="3">
        <v>2</v>
      </c>
      <c r="J16" s="3">
        <v>0.46</v>
      </c>
    </row>
    <row r="17" spans="1:10" x14ac:dyDescent="0.3">
      <c r="A17" s="3">
        <v>16</v>
      </c>
      <c r="B17" s="4">
        <v>40544</v>
      </c>
      <c r="C17" s="3">
        <v>1</v>
      </c>
      <c r="D17" s="3">
        <v>0</v>
      </c>
      <c r="E17" s="3">
        <v>1</v>
      </c>
      <c r="F17" s="3">
        <v>15</v>
      </c>
      <c r="G17" s="3" t="b">
        <v>0</v>
      </c>
      <c r="H17" s="3">
        <v>6</v>
      </c>
      <c r="I17" s="3">
        <v>2</v>
      </c>
      <c r="J17" s="3">
        <v>0.44</v>
      </c>
    </row>
    <row r="18" spans="1:10" x14ac:dyDescent="0.3">
      <c r="A18" s="3">
        <v>17</v>
      </c>
      <c r="B18" s="4">
        <v>40544</v>
      </c>
      <c r="C18" s="3">
        <v>1</v>
      </c>
      <c r="D18" s="3">
        <v>0</v>
      </c>
      <c r="E18" s="3">
        <v>1</v>
      </c>
      <c r="F18" s="3">
        <v>16</v>
      </c>
      <c r="G18" s="3" t="b">
        <v>0</v>
      </c>
      <c r="H18" s="3">
        <v>6</v>
      </c>
      <c r="I18" s="3">
        <v>2</v>
      </c>
      <c r="J18" s="3">
        <v>0.42</v>
      </c>
    </row>
    <row r="19" spans="1:10" x14ac:dyDescent="0.3">
      <c r="A19" s="3">
        <v>18</v>
      </c>
      <c r="B19" s="4">
        <v>40544</v>
      </c>
      <c r="C19" s="3">
        <v>1</v>
      </c>
      <c r="D19" s="3">
        <v>0</v>
      </c>
      <c r="E19" s="3">
        <v>1</v>
      </c>
      <c r="F19" s="3">
        <v>17</v>
      </c>
      <c r="G19" s="3" t="b">
        <v>0</v>
      </c>
      <c r="H19" s="3">
        <v>6</v>
      </c>
      <c r="I19" s="3">
        <v>2</v>
      </c>
      <c r="J19" s="3">
        <v>0.44</v>
      </c>
    </row>
    <row r="20" spans="1:10" x14ac:dyDescent="0.3">
      <c r="A20" s="3">
        <v>19</v>
      </c>
      <c r="B20" s="4">
        <v>40544</v>
      </c>
      <c r="C20" s="3">
        <v>1</v>
      </c>
      <c r="D20" s="3">
        <v>0</v>
      </c>
      <c r="E20" s="3">
        <v>1</v>
      </c>
      <c r="F20" s="3">
        <v>18</v>
      </c>
      <c r="G20" s="3" t="b">
        <v>0</v>
      </c>
      <c r="H20" s="3">
        <v>6</v>
      </c>
      <c r="I20" s="3">
        <v>3</v>
      </c>
      <c r="J20" s="3">
        <v>0.42</v>
      </c>
    </row>
    <row r="21" spans="1:10" x14ac:dyDescent="0.3">
      <c r="A21" s="3">
        <v>20</v>
      </c>
      <c r="B21" s="4">
        <v>40544</v>
      </c>
      <c r="C21" s="3">
        <v>1</v>
      </c>
      <c r="D21" s="3">
        <v>0</v>
      </c>
      <c r="E21" s="3">
        <v>1</v>
      </c>
      <c r="F21" s="3">
        <v>19</v>
      </c>
      <c r="G21" s="3" t="b">
        <v>0</v>
      </c>
      <c r="H21" s="3">
        <v>6</v>
      </c>
      <c r="I21" s="3">
        <v>3</v>
      </c>
      <c r="J21" s="3">
        <v>0.42</v>
      </c>
    </row>
    <row r="22" spans="1:10" x14ac:dyDescent="0.3">
      <c r="A22" s="3">
        <v>21</v>
      </c>
      <c r="B22" s="4">
        <v>40544</v>
      </c>
      <c r="C22" s="3">
        <v>1</v>
      </c>
      <c r="D22" s="3">
        <v>0</v>
      </c>
      <c r="E22" s="3">
        <v>1</v>
      </c>
      <c r="F22" s="3">
        <v>20</v>
      </c>
      <c r="G22" s="3" t="b">
        <v>0</v>
      </c>
      <c r="H22" s="3">
        <v>6</v>
      </c>
      <c r="I22" s="3">
        <v>2</v>
      </c>
      <c r="J22" s="3">
        <v>0.4</v>
      </c>
    </row>
    <row r="23" spans="1:10" x14ac:dyDescent="0.3">
      <c r="A23" s="3">
        <v>22</v>
      </c>
      <c r="B23" s="4">
        <v>40544</v>
      </c>
      <c r="C23" s="3">
        <v>1</v>
      </c>
      <c r="D23" s="3">
        <v>0</v>
      </c>
      <c r="E23" s="3">
        <v>1</v>
      </c>
      <c r="F23" s="3">
        <v>21</v>
      </c>
      <c r="G23" s="3" t="b">
        <v>0</v>
      </c>
      <c r="H23" s="3">
        <v>6</v>
      </c>
      <c r="I23" s="3">
        <v>2</v>
      </c>
      <c r="J23" s="3">
        <v>0.4</v>
      </c>
    </row>
    <row r="24" spans="1:10" x14ac:dyDescent="0.3">
      <c r="A24" s="3">
        <v>23</v>
      </c>
      <c r="B24" s="4">
        <v>40544</v>
      </c>
      <c r="C24" s="3">
        <v>1</v>
      </c>
      <c r="D24" s="3">
        <v>0</v>
      </c>
      <c r="E24" s="3">
        <v>1</v>
      </c>
      <c r="F24" s="3">
        <v>22</v>
      </c>
      <c r="G24" s="3" t="b">
        <v>0</v>
      </c>
      <c r="H24" s="3">
        <v>6</v>
      </c>
      <c r="I24" s="3">
        <v>2</v>
      </c>
      <c r="J24" s="3">
        <v>0.4</v>
      </c>
    </row>
    <row r="25" spans="1:10" x14ac:dyDescent="0.3">
      <c r="A25" s="3">
        <v>24</v>
      </c>
      <c r="B25" s="4">
        <v>40544</v>
      </c>
      <c r="C25" s="3">
        <v>1</v>
      </c>
      <c r="D25" s="3">
        <v>0</v>
      </c>
      <c r="E25" s="3">
        <v>1</v>
      </c>
      <c r="F25" s="3">
        <v>23</v>
      </c>
      <c r="G25" s="3" t="b">
        <v>0</v>
      </c>
      <c r="H25" s="3">
        <v>6</v>
      </c>
      <c r="I25" s="3">
        <v>2</v>
      </c>
      <c r="J25" s="3">
        <v>0.46</v>
      </c>
    </row>
    <row r="26" spans="1:10" x14ac:dyDescent="0.3">
      <c r="A26" s="3">
        <v>25</v>
      </c>
      <c r="B26" s="4">
        <v>40545</v>
      </c>
      <c r="C26" s="3">
        <v>1</v>
      </c>
      <c r="D26" s="3">
        <v>0</v>
      </c>
      <c r="E26" s="3">
        <v>1</v>
      </c>
      <c r="F26" s="3">
        <v>0</v>
      </c>
      <c r="G26" s="3" t="b">
        <v>0</v>
      </c>
      <c r="H26" s="3">
        <v>0</v>
      </c>
      <c r="I26" s="3">
        <v>2</v>
      </c>
      <c r="J26" s="3">
        <v>0.46</v>
      </c>
    </row>
    <row r="27" spans="1:10" x14ac:dyDescent="0.3">
      <c r="A27" s="3">
        <v>26</v>
      </c>
      <c r="B27" s="4">
        <v>40545</v>
      </c>
      <c r="C27" s="3">
        <v>1</v>
      </c>
      <c r="D27" s="3">
        <v>0</v>
      </c>
      <c r="E27" s="3">
        <v>1</v>
      </c>
      <c r="F27" s="3">
        <v>1</v>
      </c>
      <c r="G27" s="3" t="b">
        <v>0</v>
      </c>
      <c r="H27" s="3">
        <v>0</v>
      </c>
      <c r="I27" s="3">
        <v>2</v>
      </c>
      <c r="J27" s="3">
        <v>0.44</v>
      </c>
    </row>
    <row r="28" spans="1:10" x14ac:dyDescent="0.3">
      <c r="A28" s="3">
        <v>27</v>
      </c>
      <c r="B28" s="4">
        <v>40545</v>
      </c>
      <c r="C28" s="3">
        <v>1</v>
      </c>
      <c r="D28" s="3">
        <v>0</v>
      </c>
      <c r="E28" s="3">
        <v>1</v>
      </c>
      <c r="F28" s="3">
        <v>2</v>
      </c>
      <c r="G28" s="3" t="b">
        <v>0</v>
      </c>
      <c r="H28" s="3">
        <v>0</v>
      </c>
      <c r="I28" s="3">
        <v>2</v>
      </c>
      <c r="J28" s="3">
        <v>0.42</v>
      </c>
    </row>
    <row r="29" spans="1:10" x14ac:dyDescent="0.3">
      <c r="A29" s="3">
        <v>28</v>
      </c>
      <c r="B29" s="4">
        <v>40545</v>
      </c>
      <c r="C29" s="3">
        <v>1</v>
      </c>
      <c r="D29" s="3">
        <v>0</v>
      </c>
      <c r="E29" s="3">
        <v>1</v>
      </c>
      <c r="F29" s="3">
        <v>3</v>
      </c>
      <c r="G29" s="3" t="b">
        <v>0</v>
      </c>
      <c r="H29" s="3">
        <v>0</v>
      </c>
      <c r="I29" s="3">
        <v>2</v>
      </c>
      <c r="J29" s="3">
        <v>0.46</v>
      </c>
    </row>
    <row r="30" spans="1:10" x14ac:dyDescent="0.3">
      <c r="A30" s="3">
        <v>29</v>
      </c>
      <c r="B30" s="4">
        <v>40545</v>
      </c>
      <c r="C30" s="3">
        <v>1</v>
      </c>
      <c r="D30" s="3">
        <v>0</v>
      </c>
      <c r="E30" s="3">
        <v>1</v>
      </c>
      <c r="F30" s="3">
        <v>4</v>
      </c>
      <c r="G30" s="3" t="b">
        <v>0</v>
      </c>
      <c r="H30" s="3">
        <v>0</v>
      </c>
      <c r="I30" s="3">
        <v>2</v>
      </c>
      <c r="J30" s="3">
        <v>0.46</v>
      </c>
    </row>
    <row r="31" spans="1:10" x14ac:dyDescent="0.3">
      <c r="A31" s="3">
        <v>30</v>
      </c>
      <c r="B31" s="4">
        <v>40545</v>
      </c>
      <c r="C31" s="3">
        <v>1</v>
      </c>
      <c r="D31" s="3">
        <v>0</v>
      </c>
      <c r="E31" s="3">
        <v>1</v>
      </c>
      <c r="F31" s="3">
        <v>6</v>
      </c>
      <c r="G31" s="3" t="b">
        <v>0</v>
      </c>
      <c r="H31" s="3">
        <v>0</v>
      </c>
      <c r="I31" s="3">
        <v>3</v>
      </c>
      <c r="J31" s="3">
        <v>0.42</v>
      </c>
    </row>
    <row r="32" spans="1:10" x14ac:dyDescent="0.3">
      <c r="A32" s="3">
        <v>31</v>
      </c>
      <c r="B32" s="4">
        <v>40545</v>
      </c>
      <c r="C32" s="3">
        <v>1</v>
      </c>
      <c r="D32" s="3">
        <v>0</v>
      </c>
      <c r="E32" s="3">
        <v>1</v>
      </c>
      <c r="F32" s="3">
        <v>7</v>
      </c>
      <c r="G32" s="3" t="b">
        <v>0</v>
      </c>
      <c r="H32" s="3">
        <v>0</v>
      </c>
      <c r="I32" s="3">
        <v>2</v>
      </c>
      <c r="J32" s="3">
        <v>0.4</v>
      </c>
    </row>
    <row r="33" spans="1:10" x14ac:dyDescent="0.3">
      <c r="A33" s="3">
        <v>32</v>
      </c>
      <c r="B33" s="4">
        <v>40545</v>
      </c>
      <c r="C33" s="3">
        <v>1</v>
      </c>
      <c r="D33" s="3">
        <v>0</v>
      </c>
      <c r="E33" s="3">
        <v>1</v>
      </c>
      <c r="F33" s="3">
        <v>8</v>
      </c>
      <c r="G33" s="3" t="b">
        <v>0</v>
      </c>
      <c r="H33" s="3">
        <v>0</v>
      </c>
      <c r="I33" s="3">
        <v>3</v>
      </c>
      <c r="J33" s="3">
        <v>0.4</v>
      </c>
    </row>
    <row r="34" spans="1:10" x14ac:dyDescent="0.3">
      <c r="A34" s="3">
        <v>33</v>
      </c>
      <c r="B34" s="4">
        <v>40545</v>
      </c>
      <c r="C34" s="3">
        <v>1</v>
      </c>
      <c r="D34" s="3">
        <v>0</v>
      </c>
      <c r="E34" s="3">
        <v>1</v>
      </c>
      <c r="F34" s="3">
        <v>9</v>
      </c>
      <c r="G34" s="3" t="b">
        <v>0</v>
      </c>
      <c r="H34" s="3">
        <v>0</v>
      </c>
      <c r="I34" s="3">
        <v>2</v>
      </c>
      <c r="J34" s="3">
        <v>0.38</v>
      </c>
    </row>
    <row r="35" spans="1:10" x14ac:dyDescent="0.3">
      <c r="A35" s="3">
        <v>34</v>
      </c>
      <c r="B35" s="4">
        <v>40545</v>
      </c>
      <c r="C35" s="3">
        <v>1</v>
      </c>
      <c r="D35" s="3">
        <v>0</v>
      </c>
      <c r="E35" s="3">
        <v>1</v>
      </c>
      <c r="F35" s="3">
        <v>10</v>
      </c>
      <c r="G35" s="3" t="b">
        <v>0</v>
      </c>
      <c r="H35" s="3">
        <v>0</v>
      </c>
      <c r="I35" s="3">
        <v>2</v>
      </c>
      <c r="J35" s="3">
        <v>0.36</v>
      </c>
    </row>
    <row r="36" spans="1:10" x14ac:dyDescent="0.3">
      <c r="A36" s="3">
        <v>35</v>
      </c>
      <c r="B36" s="4">
        <v>40545</v>
      </c>
      <c r="C36" s="3">
        <v>1</v>
      </c>
      <c r="D36" s="3">
        <v>0</v>
      </c>
      <c r="E36" s="3">
        <v>1</v>
      </c>
      <c r="F36" s="3">
        <v>11</v>
      </c>
      <c r="G36" s="3" t="b">
        <v>0</v>
      </c>
      <c r="H36" s="3">
        <v>0</v>
      </c>
      <c r="I36" s="3">
        <v>2</v>
      </c>
      <c r="J36" s="3">
        <v>0.36</v>
      </c>
    </row>
    <row r="37" spans="1:10" x14ac:dyDescent="0.3">
      <c r="A37" s="3">
        <v>36</v>
      </c>
      <c r="B37" s="4">
        <v>40545</v>
      </c>
      <c r="C37" s="3">
        <v>1</v>
      </c>
      <c r="D37" s="3">
        <v>0</v>
      </c>
      <c r="E37" s="3">
        <v>1</v>
      </c>
      <c r="F37" s="3">
        <v>12</v>
      </c>
      <c r="G37" s="3" t="b">
        <v>0</v>
      </c>
      <c r="H37" s="3">
        <v>0</v>
      </c>
      <c r="I37" s="3">
        <v>2</v>
      </c>
      <c r="J37" s="3">
        <v>0.36</v>
      </c>
    </row>
    <row r="38" spans="1:10" x14ac:dyDescent="0.3">
      <c r="A38" s="3">
        <v>37</v>
      </c>
      <c r="B38" s="4">
        <v>40545</v>
      </c>
      <c r="C38" s="3">
        <v>1</v>
      </c>
      <c r="D38" s="3">
        <v>0</v>
      </c>
      <c r="E38" s="3">
        <v>1</v>
      </c>
      <c r="F38" s="3">
        <v>13</v>
      </c>
      <c r="G38" s="3" t="b">
        <v>0</v>
      </c>
      <c r="H38" s="3">
        <v>0</v>
      </c>
      <c r="I38" s="3">
        <v>2</v>
      </c>
      <c r="J38" s="3">
        <v>0.36</v>
      </c>
    </row>
    <row r="39" spans="1:10" x14ac:dyDescent="0.3">
      <c r="A39" s="3">
        <v>38</v>
      </c>
      <c r="B39" s="4">
        <v>40545</v>
      </c>
      <c r="C39" s="3">
        <v>1</v>
      </c>
      <c r="D39" s="3">
        <v>0</v>
      </c>
      <c r="E39" s="3">
        <v>1</v>
      </c>
      <c r="F39" s="3">
        <v>14</v>
      </c>
      <c r="G39" s="3" t="b">
        <v>0</v>
      </c>
      <c r="H39" s="3">
        <v>0</v>
      </c>
      <c r="I39" s="3">
        <v>3</v>
      </c>
      <c r="J39" s="3">
        <v>0.36</v>
      </c>
    </row>
    <row r="40" spans="1:10" x14ac:dyDescent="0.3">
      <c r="A40" s="3">
        <v>39</v>
      </c>
      <c r="B40" s="4">
        <v>40545</v>
      </c>
      <c r="C40" s="3">
        <v>1</v>
      </c>
      <c r="D40" s="3">
        <v>0</v>
      </c>
      <c r="E40" s="3">
        <v>1</v>
      </c>
      <c r="F40" s="3">
        <v>15</v>
      </c>
      <c r="G40" s="3" t="b">
        <v>0</v>
      </c>
      <c r="H40" s="3">
        <v>0</v>
      </c>
      <c r="I40" s="3">
        <v>3</v>
      </c>
      <c r="J40" s="3">
        <v>0.34</v>
      </c>
    </row>
    <row r="41" spans="1:10" x14ac:dyDescent="0.3">
      <c r="A41" s="3">
        <v>40</v>
      </c>
      <c r="B41" s="4">
        <v>40545</v>
      </c>
      <c r="C41" s="3">
        <v>1</v>
      </c>
      <c r="D41" s="3">
        <v>0</v>
      </c>
      <c r="E41" s="3">
        <v>1</v>
      </c>
      <c r="F41" s="3">
        <v>16</v>
      </c>
      <c r="G41" s="3" t="b">
        <v>0</v>
      </c>
      <c r="H41" s="3">
        <v>0</v>
      </c>
      <c r="I41" s="3">
        <v>3</v>
      </c>
      <c r="J41" s="3">
        <v>0.34</v>
      </c>
    </row>
    <row r="42" spans="1:10" x14ac:dyDescent="0.3">
      <c r="A42" s="3">
        <v>41</v>
      </c>
      <c r="B42" s="4">
        <v>40545</v>
      </c>
      <c r="C42" s="3">
        <v>1</v>
      </c>
      <c r="D42" s="3">
        <v>0</v>
      </c>
      <c r="E42" s="3">
        <v>1</v>
      </c>
      <c r="F42" s="3">
        <v>17</v>
      </c>
      <c r="G42" s="3" t="b">
        <v>0</v>
      </c>
      <c r="H42" s="3">
        <v>0</v>
      </c>
      <c r="I42" s="3">
        <v>1</v>
      </c>
      <c r="J42" s="3">
        <v>0.34</v>
      </c>
    </row>
    <row r="43" spans="1:10" x14ac:dyDescent="0.3">
      <c r="A43" s="3">
        <v>42</v>
      </c>
      <c r="B43" s="4">
        <v>40545</v>
      </c>
      <c r="C43" s="3">
        <v>1</v>
      </c>
      <c r="D43" s="3">
        <v>0</v>
      </c>
      <c r="E43" s="3">
        <v>1</v>
      </c>
      <c r="F43" s="3">
        <v>18</v>
      </c>
      <c r="G43" s="3" t="b">
        <v>0</v>
      </c>
      <c r="H43" s="3">
        <v>0</v>
      </c>
      <c r="I43" s="3">
        <v>2</v>
      </c>
      <c r="J43" s="3">
        <v>0.36</v>
      </c>
    </row>
    <row r="44" spans="1:10" x14ac:dyDescent="0.3">
      <c r="A44" s="3">
        <v>43</v>
      </c>
      <c r="B44" s="4">
        <v>40545</v>
      </c>
      <c r="C44" s="3">
        <v>1</v>
      </c>
      <c r="D44" s="3">
        <v>0</v>
      </c>
      <c r="E44" s="3">
        <v>1</v>
      </c>
      <c r="F44" s="3">
        <v>19</v>
      </c>
      <c r="G44" s="3" t="b">
        <v>0</v>
      </c>
      <c r="H44" s="3">
        <v>0</v>
      </c>
      <c r="I44" s="3">
        <v>1</v>
      </c>
      <c r="J44" s="3">
        <v>0.32</v>
      </c>
    </row>
    <row r="45" spans="1:10" x14ac:dyDescent="0.3">
      <c r="A45" s="3">
        <v>44</v>
      </c>
      <c r="B45" s="4">
        <v>40545</v>
      </c>
      <c r="C45" s="3">
        <v>1</v>
      </c>
      <c r="D45" s="3">
        <v>0</v>
      </c>
      <c r="E45" s="3">
        <v>1</v>
      </c>
      <c r="F45" s="3">
        <v>20</v>
      </c>
      <c r="G45" s="3" t="b">
        <v>0</v>
      </c>
      <c r="H45" s="3">
        <v>0</v>
      </c>
      <c r="I45" s="3">
        <v>1</v>
      </c>
      <c r="J45" s="3">
        <v>0.3</v>
      </c>
    </row>
    <row r="46" spans="1:10" x14ac:dyDescent="0.3">
      <c r="A46" s="3">
        <v>45</v>
      </c>
      <c r="B46" s="4">
        <v>40545</v>
      </c>
      <c r="C46" s="3">
        <v>1</v>
      </c>
      <c r="D46" s="3">
        <v>0</v>
      </c>
      <c r="E46" s="3">
        <v>1</v>
      </c>
      <c r="F46" s="3">
        <v>21</v>
      </c>
      <c r="G46" s="3" t="b">
        <v>0</v>
      </c>
      <c r="H46" s="3">
        <v>0</v>
      </c>
      <c r="I46" s="3">
        <v>1</v>
      </c>
      <c r="J46" s="3">
        <v>0.26</v>
      </c>
    </row>
    <row r="47" spans="1:10" x14ac:dyDescent="0.3">
      <c r="A47" s="3">
        <v>46</v>
      </c>
      <c r="B47" s="4">
        <v>40545</v>
      </c>
      <c r="C47" s="3">
        <v>1</v>
      </c>
      <c r="D47" s="3">
        <v>0</v>
      </c>
      <c r="E47" s="3">
        <v>1</v>
      </c>
      <c r="F47" s="3">
        <v>22</v>
      </c>
      <c r="G47" s="3" t="b">
        <v>0</v>
      </c>
      <c r="H47" s="3">
        <v>0</v>
      </c>
      <c r="I47" s="3">
        <v>1</v>
      </c>
      <c r="J47" s="3">
        <v>0.24</v>
      </c>
    </row>
    <row r="48" spans="1:10" x14ac:dyDescent="0.3">
      <c r="A48" s="3">
        <v>47</v>
      </c>
      <c r="B48" s="4">
        <v>40545</v>
      </c>
      <c r="C48" s="3">
        <v>1</v>
      </c>
      <c r="D48" s="3">
        <v>0</v>
      </c>
      <c r="E48" s="3">
        <v>1</v>
      </c>
      <c r="F48" s="3">
        <v>23</v>
      </c>
      <c r="G48" s="3" t="b">
        <v>0</v>
      </c>
      <c r="H48" s="3">
        <v>0</v>
      </c>
      <c r="I48" s="3">
        <v>1</v>
      </c>
      <c r="J48" s="3">
        <v>0.22</v>
      </c>
    </row>
    <row r="49" spans="1:10" x14ac:dyDescent="0.3">
      <c r="A49" s="3">
        <v>48</v>
      </c>
      <c r="B49" s="4">
        <v>40546</v>
      </c>
      <c r="C49" s="3">
        <v>1</v>
      </c>
      <c r="D49" s="3">
        <v>0</v>
      </c>
      <c r="E49" s="3">
        <v>1</v>
      </c>
      <c r="F49" s="3">
        <v>0</v>
      </c>
      <c r="G49" s="3" t="b">
        <v>0</v>
      </c>
      <c r="H49" s="3">
        <v>1</v>
      </c>
      <c r="I49" s="3">
        <v>1</v>
      </c>
      <c r="J49" s="3">
        <v>0.22</v>
      </c>
    </row>
    <row r="50" spans="1:10" x14ac:dyDescent="0.3">
      <c r="A50" s="3">
        <v>49</v>
      </c>
      <c r="B50" s="4">
        <v>40546</v>
      </c>
      <c r="C50" s="3">
        <v>1</v>
      </c>
      <c r="D50" s="3">
        <v>0</v>
      </c>
      <c r="E50" s="3">
        <v>1</v>
      </c>
      <c r="F50" s="3">
        <v>1</v>
      </c>
      <c r="G50" s="3" t="b">
        <v>0</v>
      </c>
      <c r="H50" s="3">
        <v>1</v>
      </c>
      <c r="I50" s="3">
        <v>1</v>
      </c>
      <c r="J50" s="3">
        <v>0.2</v>
      </c>
    </row>
    <row r="51" spans="1:10" x14ac:dyDescent="0.3">
      <c r="A51" s="3">
        <v>50</v>
      </c>
      <c r="B51" s="4">
        <v>40546</v>
      </c>
      <c r="C51" s="3">
        <v>1</v>
      </c>
      <c r="D51" s="3">
        <v>0</v>
      </c>
      <c r="E51" s="3">
        <v>1</v>
      </c>
      <c r="F51" s="3">
        <v>4</v>
      </c>
      <c r="G51" s="3" t="b">
        <v>0</v>
      </c>
      <c r="H51" s="3">
        <v>1</v>
      </c>
      <c r="I51" s="3">
        <v>1</v>
      </c>
      <c r="J51" s="3">
        <v>0.16</v>
      </c>
    </row>
    <row r="52" spans="1:10" x14ac:dyDescent="0.3">
      <c r="A52" s="3">
        <v>51</v>
      </c>
      <c r="B52" s="4">
        <v>40546</v>
      </c>
      <c r="C52" s="3">
        <v>1</v>
      </c>
      <c r="D52" s="3">
        <v>0</v>
      </c>
      <c r="E52" s="3">
        <v>1</v>
      </c>
      <c r="F52" s="3">
        <v>5</v>
      </c>
      <c r="G52" s="3" t="b">
        <v>0</v>
      </c>
      <c r="H52" s="3">
        <v>1</v>
      </c>
      <c r="I52" s="3">
        <v>1</v>
      </c>
      <c r="J52" s="3">
        <v>0.16</v>
      </c>
    </row>
    <row r="53" spans="1:10" x14ac:dyDescent="0.3">
      <c r="A53" s="3">
        <v>52</v>
      </c>
      <c r="B53" s="4">
        <v>40546</v>
      </c>
      <c r="C53" s="3">
        <v>1</v>
      </c>
      <c r="D53" s="3">
        <v>0</v>
      </c>
      <c r="E53" s="3">
        <v>1</v>
      </c>
      <c r="F53" s="3">
        <v>6</v>
      </c>
      <c r="G53" s="3" t="b">
        <v>0</v>
      </c>
      <c r="H53" s="3">
        <v>1</v>
      </c>
      <c r="I53" s="3">
        <v>1</v>
      </c>
      <c r="J53" s="3">
        <v>0.14000000000000001</v>
      </c>
    </row>
    <row r="54" spans="1:10" x14ac:dyDescent="0.3">
      <c r="A54" s="3">
        <v>53</v>
      </c>
      <c r="B54" s="4">
        <v>40546</v>
      </c>
      <c r="C54" s="3">
        <v>1</v>
      </c>
      <c r="D54" s="3">
        <v>0</v>
      </c>
      <c r="E54" s="3">
        <v>1</v>
      </c>
      <c r="F54" s="3">
        <v>7</v>
      </c>
      <c r="G54" s="3" t="b">
        <v>0</v>
      </c>
      <c r="H54" s="3">
        <v>1</v>
      </c>
      <c r="I54" s="3">
        <v>1</v>
      </c>
      <c r="J54" s="3">
        <v>0.14000000000000001</v>
      </c>
    </row>
    <row r="55" spans="1:10" x14ac:dyDescent="0.3">
      <c r="A55" s="3">
        <v>54</v>
      </c>
      <c r="B55" s="4">
        <v>40546</v>
      </c>
      <c r="C55" s="3">
        <v>1</v>
      </c>
      <c r="D55" s="3">
        <v>0</v>
      </c>
      <c r="E55" s="3">
        <v>1</v>
      </c>
      <c r="F55" s="3">
        <v>8</v>
      </c>
      <c r="G55" s="3" t="b">
        <v>0</v>
      </c>
      <c r="H55" s="3">
        <v>1</v>
      </c>
      <c r="I55" s="3">
        <v>1</v>
      </c>
      <c r="J55" s="3">
        <v>0.14000000000000001</v>
      </c>
    </row>
    <row r="56" spans="1:10" x14ac:dyDescent="0.3">
      <c r="A56" s="3">
        <v>55</v>
      </c>
      <c r="B56" s="4">
        <v>40546</v>
      </c>
      <c r="C56" s="3">
        <v>1</v>
      </c>
      <c r="D56" s="3">
        <v>0</v>
      </c>
      <c r="E56" s="3">
        <v>1</v>
      </c>
      <c r="F56" s="3">
        <v>9</v>
      </c>
      <c r="G56" s="3" t="b">
        <v>0</v>
      </c>
      <c r="H56" s="3">
        <v>1</v>
      </c>
      <c r="I56" s="3">
        <v>1</v>
      </c>
      <c r="J56" s="3">
        <v>0.16</v>
      </c>
    </row>
    <row r="57" spans="1:10" x14ac:dyDescent="0.3">
      <c r="A57" s="3">
        <v>56</v>
      </c>
      <c r="B57" s="4">
        <v>40546</v>
      </c>
      <c r="C57" s="3">
        <v>1</v>
      </c>
      <c r="D57" s="3">
        <v>0</v>
      </c>
      <c r="E57" s="3">
        <v>1</v>
      </c>
      <c r="F57" s="3">
        <v>10</v>
      </c>
      <c r="G57" s="3" t="b">
        <v>0</v>
      </c>
      <c r="H57" s="3">
        <v>1</v>
      </c>
      <c r="I57" s="3">
        <v>1</v>
      </c>
      <c r="J57" s="3">
        <v>0.18</v>
      </c>
    </row>
    <row r="58" spans="1:10" x14ac:dyDescent="0.3">
      <c r="A58" s="3">
        <v>57</v>
      </c>
      <c r="B58" s="4">
        <v>40546</v>
      </c>
      <c r="C58" s="3">
        <v>1</v>
      </c>
      <c r="D58" s="3">
        <v>0</v>
      </c>
      <c r="E58" s="3">
        <v>1</v>
      </c>
      <c r="F58" s="3">
        <v>11</v>
      </c>
      <c r="G58" s="3" t="b">
        <v>0</v>
      </c>
      <c r="H58" s="3">
        <v>1</v>
      </c>
      <c r="I58" s="3">
        <v>1</v>
      </c>
      <c r="J58" s="3">
        <v>0.2</v>
      </c>
    </row>
    <row r="59" spans="1:10" x14ac:dyDescent="0.3">
      <c r="A59" s="3">
        <v>58</v>
      </c>
      <c r="B59" s="4">
        <v>40546</v>
      </c>
      <c r="C59" s="3">
        <v>1</v>
      </c>
      <c r="D59" s="3">
        <v>0</v>
      </c>
      <c r="E59" s="3">
        <v>1</v>
      </c>
      <c r="F59" s="3">
        <v>12</v>
      </c>
      <c r="G59" s="3" t="b">
        <v>0</v>
      </c>
      <c r="H59" s="3">
        <v>1</v>
      </c>
      <c r="I59" s="3">
        <v>1</v>
      </c>
      <c r="J59" s="3">
        <v>0.22</v>
      </c>
    </row>
    <row r="60" spans="1:10" x14ac:dyDescent="0.3">
      <c r="A60" s="3">
        <v>59</v>
      </c>
      <c r="B60" s="4">
        <v>40546</v>
      </c>
      <c r="C60" s="3">
        <v>1</v>
      </c>
      <c r="D60" s="3">
        <v>0</v>
      </c>
      <c r="E60" s="3">
        <v>1</v>
      </c>
      <c r="F60" s="3">
        <v>13</v>
      </c>
      <c r="G60" s="3" t="b">
        <v>0</v>
      </c>
      <c r="H60" s="3">
        <v>1</v>
      </c>
      <c r="I60" s="3">
        <v>1</v>
      </c>
      <c r="J60" s="3">
        <v>0.24</v>
      </c>
    </row>
    <row r="61" spans="1:10" x14ac:dyDescent="0.3">
      <c r="A61" s="3">
        <v>60</v>
      </c>
      <c r="B61" s="4">
        <v>40546</v>
      </c>
      <c r="C61" s="3">
        <v>1</v>
      </c>
      <c r="D61" s="3">
        <v>0</v>
      </c>
      <c r="E61" s="3">
        <v>1</v>
      </c>
      <c r="F61" s="3">
        <v>14</v>
      </c>
      <c r="G61" s="3" t="b">
        <v>0</v>
      </c>
      <c r="H61" s="3">
        <v>1</v>
      </c>
      <c r="I61" s="3">
        <v>1</v>
      </c>
      <c r="J61" s="3">
        <v>0.26</v>
      </c>
    </row>
    <row r="62" spans="1:10" x14ac:dyDescent="0.3">
      <c r="A62" s="3">
        <v>61</v>
      </c>
      <c r="B62" s="4">
        <v>40546</v>
      </c>
      <c r="C62" s="3">
        <v>1</v>
      </c>
      <c r="D62" s="3">
        <v>0</v>
      </c>
      <c r="E62" s="3">
        <v>1</v>
      </c>
      <c r="F62" s="3">
        <v>15</v>
      </c>
      <c r="G62" s="3" t="b">
        <v>0</v>
      </c>
      <c r="H62" s="3">
        <v>1</v>
      </c>
      <c r="I62" s="3">
        <v>1</v>
      </c>
      <c r="J62" s="3">
        <v>0.26</v>
      </c>
    </row>
    <row r="63" spans="1:10" x14ac:dyDescent="0.3">
      <c r="A63" s="3">
        <v>62</v>
      </c>
      <c r="B63" s="4">
        <v>40546</v>
      </c>
      <c r="C63" s="3">
        <v>1</v>
      </c>
      <c r="D63" s="3">
        <v>0</v>
      </c>
      <c r="E63" s="3">
        <v>1</v>
      </c>
      <c r="F63" s="3">
        <v>16</v>
      </c>
      <c r="G63" s="3" t="b">
        <v>0</v>
      </c>
      <c r="H63" s="3">
        <v>1</v>
      </c>
      <c r="I63" s="3">
        <v>1</v>
      </c>
      <c r="J63" s="3">
        <v>0.26</v>
      </c>
    </row>
    <row r="64" spans="1:10" x14ac:dyDescent="0.3">
      <c r="A64" s="3">
        <v>63</v>
      </c>
      <c r="B64" s="4">
        <v>40546</v>
      </c>
      <c r="C64" s="3">
        <v>1</v>
      </c>
      <c r="D64" s="3">
        <v>0</v>
      </c>
      <c r="E64" s="3">
        <v>1</v>
      </c>
      <c r="F64" s="3">
        <v>17</v>
      </c>
      <c r="G64" s="3" t="b">
        <v>0</v>
      </c>
      <c r="H64" s="3">
        <v>1</v>
      </c>
      <c r="I64" s="3">
        <v>1</v>
      </c>
      <c r="J64" s="3">
        <v>0.24</v>
      </c>
    </row>
    <row r="65" spans="1:10" x14ac:dyDescent="0.3">
      <c r="A65" s="3">
        <v>64</v>
      </c>
      <c r="B65" s="4">
        <v>40546</v>
      </c>
      <c r="C65" s="3">
        <v>1</v>
      </c>
      <c r="D65" s="3">
        <v>0</v>
      </c>
      <c r="E65" s="3">
        <v>1</v>
      </c>
      <c r="F65" s="3">
        <v>18</v>
      </c>
      <c r="G65" s="3" t="b">
        <v>0</v>
      </c>
      <c r="H65" s="3">
        <v>1</v>
      </c>
      <c r="I65" s="3">
        <v>1</v>
      </c>
      <c r="J65" s="3">
        <v>0.24</v>
      </c>
    </row>
    <row r="66" spans="1:10" x14ac:dyDescent="0.3">
      <c r="A66" s="3">
        <v>65</v>
      </c>
      <c r="B66" s="4">
        <v>40546</v>
      </c>
      <c r="C66" s="3">
        <v>1</v>
      </c>
      <c r="D66" s="3">
        <v>0</v>
      </c>
      <c r="E66" s="3">
        <v>1</v>
      </c>
      <c r="F66" s="3">
        <v>19</v>
      </c>
      <c r="G66" s="3" t="b">
        <v>0</v>
      </c>
      <c r="H66" s="3">
        <v>1</v>
      </c>
      <c r="I66" s="3">
        <v>1</v>
      </c>
      <c r="J66" s="3">
        <v>0.2</v>
      </c>
    </row>
    <row r="67" spans="1:10" x14ac:dyDescent="0.3">
      <c r="A67" s="3">
        <v>66</v>
      </c>
      <c r="B67" s="4">
        <v>40546</v>
      </c>
      <c r="C67" s="3">
        <v>1</v>
      </c>
      <c r="D67" s="3">
        <v>0</v>
      </c>
      <c r="E67" s="3">
        <v>1</v>
      </c>
      <c r="F67" s="3">
        <v>20</v>
      </c>
      <c r="G67" s="3" t="b">
        <v>0</v>
      </c>
      <c r="H67" s="3">
        <v>1</v>
      </c>
      <c r="I67" s="3">
        <v>1</v>
      </c>
      <c r="J67" s="3">
        <v>0.2</v>
      </c>
    </row>
    <row r="68" spans="1:10" x14ac:dyDescent="0.3">
      <c r="A68" s="3">
        <v>67</v>
      </c>
      <c r="B68" s="4">
        <v>40546</v>
      </c>
      <c r="C68" s="3">
        <v>1</v>
      </c>
      <c r="D68" s="3">
        <v>0</v>
      </c>
      <c r="E68" s="3">
        <v>1</v>
      </c>
      <c r="F68" s="3">
        <v>21</v>
      </c>
      <c r="G68" s="3" t="b">
        <v>0</v>
      </c>
      <c r="H68" s="3">
        <v>1</v>
      </c>
      <c r="I68" s="3">
        <v>1</v>
      </c>
      <c r="J68" s="3">
        <v>0.18</v>
      </c>
    </row>
    <row r="69" spans="1:10" x14ac:dyDescent="0.3">
      <c r="A69" s="3">
        <v>68</v>
      </c>
      <c r="B69" s="4">
        <v>40546</v>
      </c>
      <c r="C69" s="3">
        <v>1</v>
      </c>
      <c r="D69" s="3">
        <v>0</v>
      </c>
      <c r="E69" s="3">
        <v>1</v>
      </c>
      <c r="F69" s="3">
        <v>22</v>
      </c>
      <c r="G69" s="3" t="b">
        <v>0</v>
      </c>
      <c r="H69" s="3">
        <v>1</v>
      </c>
      <c r="I69" s="3">
        <v>1</v>
      </c>
      <c r="J69" s="3">
        <v>0.14000000000000001</v>
      </c>
    </row>
    <row r="70" spans="1:10" x14ac:dyDescent="0.3">
      <c r="A70" s="3">
        <v>69</v>
      </c>
      <c r="B70" s="4">
        <v>40546</v>
      </c>
      <c r="C70" s="3">
        <v>1</v>
      </c>
      <c r="D70" s="3">
        <v>0</v>
      </c>
      <c r="E70" s="3">
        <v>1</v>
      </c>
      <c r="F70" s="3">
        <v>23</v>
      </c>
      <c r="G70" s="3" t="b">
        <v>0</v>
      </c>
      <c r="H70" s="3">
        <v>1</v>
      </c>
      <c r="I70" s="3">
        <v>1</v>
      </c>
      <c r="J70" s="3">
        <v>0.18</v>
      </c>
    </row>
    <row r="71" spans="1:10" x14ac:dyDescent="0.3">
      <c r="A71" s="3">
        <v>70</v>
      </c>
      <c r="B71" s="4">
        <v>40547</v>
      </c>
      <c r="C71" s="3">
        <v>1</v>
      </c>
      <c r="D71" s="3">
        <v>0</v>
      </c>
      <c r="E71" s="3">
        <v>1</v>
      </c>
      <c r="F71" s="3">
        <v>0</v>
      </c>
      <c r="G71" s="3" t="b">
        <v>0</v>
      </c>
      <c r="H71" s="3">
        <v>2</v>
      </c>
      <c r="I71" s="3">
        <v>1</v>
      </c>
      <c r="J71" s="3">
        <v>0.16</v>
      </c>
    </row>
    <row r="72" spans="1:10" x14ac:dyDescent="0.3">
      <c r="A72" s="3">
        <v>71</v>
      </c>
      <c r="B72" s="4">
        <v>40547</v>
      </c>
      <c r="C72" s="3">
        <v>1</v>
      </c>
      <c r="D72" s="3">
        <v>0</v>
      </c>
      <c r="E72" s="3">
        <v>1</v>
      </c>
      <c r="F72" s="3">
        <v>1</v>
      </c>
      <c r="G72" s="3" t="b">
        <v>0</v>
      </c>
      <c r="H72" s="3">
        <v>2</v>
      </c>
      <c r="I72" s="3">
        <v>1</v>
      </c>
      <c r="J72" s="3">
        <v>0.16</v>
      </c>
    </row>
    <row r="73" spans="1:10" x14ac:dyDescent="0.3">
      <c r="A73" s="3">
        <v>72</v>
      </c>
      <c r="B73" s="4">
        <v>40547</v>
      </c>
      <c r="C73" s="3">
        <v>1</v>
      </c>
      <c r="D73" s="3">
        <v>0</v>
      </c>
      <c r="E73" s="3">
        <v>1</v>
      </c>
      <c r="F73" s="3">
        <v>2</v>
      </c>
      <c r="G73" s="3" t="b">
        <v>0</v>
      </c>
      <c r="H73" s="3">
        <v>2</v>
      </c>
      <c r="I73" s="3">
        <v>1</v>
      </c>
      <c r="J73" s="3">
        <v>0.14000000000000001</v>
      </c>
    </row>
    <row r="74" spans="1:10" x14ac:dyDescent="0.3">
      <c r="A74" s="3">
        <v>73</v>
      </c>
      <c r="B74" s="4">
        <v>40547</v>
      </c>
      <c r="C74" s="3">
        <v>1</v>
      </c>
      <c r="D74" s="3">
        <v>0</v>
      </c>
      <c r="E74" s="3">
        <v>1</v>
      </c>
      <c r="F74" s="3">
        <v>4</v>
      </c>
      <c r="G74" s="3" t="b">
        <v>0</v>
      </c>
      <c r="H74" s="3">
        <v>2</v>
      </c>
      <c r="I74" s="3">
        <v>1</v>
      </c>
      <c r="J74" s="3">
        <v>0.14000000000000001</v>
      </c>
    </row>
    <row r="75" spans="1:10" x14ac:dyDescent="0.3">
      <c r="A75" s="3">
        <v>74</v>
      </c>
      <c r="B75" s="4">
        <v>40547</v>
      </c>
      <c r="C75" s="3">
        <v>1</v>
      </c>
      <c r="D75" s="3">
        <v>0</v>
      </c>
      <c r="E75" s="3">
        <v>1</v>
      </c>
      <c r="F75" s="3">
        <v>5</v>
      </c>
      <c r="G75" s="3" t="b">
        <v>0</v>
      </c>
      <c r="H75" s="3">
        <v>2</v>
      </c>
      <c r="I75" s="3">
        <v>1</v>
      </c>
      <c r="J75" s="3">
        <v>0.12</v>
      </c>
    </row>
    <row r="76" spans="1:10" x14ac:dyDescent="0.3">
      <c r="A76" s="3">
        <v>75</v>
      </c>
      <c r="B76" s="4">
        <v>40547</v>
      </c>
      <c r="C76" s="3">
        <v>1</v>
      </c>
      <c r="D76" s="3">
        <v>0</v>
      </c>
      <c r="E76" s="3">
        <v>1</v>
      </c>
      <c r="F76" s="3">
        <v>6</v>
      </c>
      <c r="G76" s="3" t="b">
        <v>0</v>
      </c>
      <c r="H76" s="3">
        <v>2</v>
      </c>
      <c r="I76" s="3">
        <v>1</v>
      </c>
      <c r="J76" s="3">
        <v>0.12</v>
      </c>
    </row>
    <row r="77" spans="1:10" x14ac:dyDescent="0.3">
      <c r="A77" s="3">
        <v>76</v>
      </c>
      <c r="B77" s="4">
        <v>40547</v>
      </c>
      <c r="C77" s="3">
        <v>1</v>
      </c>
      <c r="D77" s="3">
        <v>0</v>
      </c>
      <c r="E77" s="3">
        <v>1</v>
      </c>
      <c r="F77" s="3">
        <v>7</v>
      </c>
      <c r="G77" s="3" t="b">
        <v>0</v>
      </c>
      <c r="H77" s="3">
        <v>2</v>
      </c>
      <c r="I77" s="3">
        <v>1</v>
      </c>
      <c r="J77" s="3">
        <v>0.12</v>
      </c>
    </row>
    <row r="78" spans="1:10" x14ac:dyDescent="0.3">
      <c r="A78" s="3">
        <v>77</v>
      </c>
      <c r="B78" s="4">
        <v>40547</v>
      </c>
      <c r="C78" s="3">
        <v>1</v>
      </c>
      <c r="D78" s="3">
        <v>0</v>
      </c>
      <c r="E78" s="3">
        <v>1</v>
      </c>
      <c r="F78" s="3">
        <v>8</v>
      </c>
      <c r="G78" s="3" t="b">
        <v>0</v>
      </c>
      <c r="H78" s="3">
        <v>2</v>
      </c>
      <c r="I78" s="3">
        <v>1</v>
      </c>
      <c r="J78" s="3">
        <v>0.14000000000000001</v>
      </c>
    </row>
    <row r="79" spans="1:10" x14ac:dyDescent="0.3">
      <c r="A79" s="3">
        <v>78</v>
      </c>
      <c r="B79" s="4">
        <v>40547</v>
      </c>
      <c r="C79" s="3">
        <v>1</v>
      </c>
      <c r="D79" s="3">
        <v>0</v>
      </c>
      <c r="E79" s="3">
        <v>1</v>
      </c>
      <c r="F79" s="3">
        <v>9</v>
      </c>
      <c r="G79" s="3" t="b">
        <v>0</v>
      </c>
      <c r="H79" s="3">
        <v>2</v>
      </c>
      <c r="I79" s="3">
        <v>1</v>
      </c>
      <c r="J79" s="3">
        <v>0.16</v>
      </c>
    </row>
    <row r="80" spans="1:10" x14ac:dyDescent="0.3">
      <c r="A80" s="3">
        <v>79</v>
      </c>
      <c r="B80" s="4">
        <v>40547</v>
      </c>
      <c r="C80" s="3">
        <v>1</v>
      </c>
      <c r="D80" s="3">
        <v>0</v>
      </c>
      <c r="E80" s="3">
        <v>1</v>
      </c>
      <c r="F80" s="3">
        <v>10</v>
      </c>
      <c r="G80" s="3" t="b">
        <v>0</v>
      </c>
      <c r="H80" s="3">
        <v>2</v>
      </c>
      <c r="I80" s="3">
        <v>2</v>
      </c>
      <c r="J80" s="3">
        <v>0.16</v>
      </c>
    </row>
    <row r="81" spans="1:10" x14ac:dyDescent="0.3">
      <c r="A81" s="3">
        <v>80</v>
      </c>
      <c r="B81" s="4">
        <v>40547</v>
      </c>
      <c r="C81" s="3">
        <v>1</v>
      </c>
      <c r="D81" s="3">
        <v>0</v>
      </c>
      <c r="E81" s="3">
        <v>1</v>
      </c>
      <c r="F81" s="3">
        <v>11</v>
      </c>
      <c r="G81" s="3" t="b">
        <v>0</v>
      </c>
      <c r="H81" s="3">
        <v>2</v>
      </c>
      <c r="I81" s="3">
        <v>1</v>
      </c>
      <c r="J81" s="3">
        <v>0.22</v>
      </c>
    </row>
    <row r="82" spans="1:10" x14ac:dyDescent="0.3">
      <c r="A82" s="3">
        <v>81</v>
      </c>
      <c r="B82" s="4">
        <v>40547</v>
      </c>
      <c r="C82" s="3">
        <v>1</v>
      </c>
      <c r="D82" s="3">
        <v>0</v>
      </c>
      <c r="E82" s="3">
        <v>1</v>
      </c>
      <c r="F82" s="3">
        <v>12</v>
      </c>
      <c r="G82" s="3" t="b">
        <v>0</v>
      </c>
      <c r="H82" s="3">
        <v>2</v>
      </c>
      <c r="I82" s="3">
        <v>1</v>
      </c>
      <c r="J82" s="3">
        <v>0.22</v>
      </c>
    </row>
    <row r="83" spans="1:10" x14ac:dyDescent="0.3">
      <c r="A83" s="3">
        <v>82</v>
      </c>
      <c r="B83" s="4">
        <v>40547</v>
      </c>
      <c r="C83" s="3">
        <v>1</v>
      </c>
      <c r="D83" s="3">
        <v>0</v>
      </c>
      <c r="E83" s="3">
        <v>1</v>
      </c>
      <c r="F83" s="3">
        <v>13</v>
      </c>
      <c r="G83" s="3" t="b">
        <v>0</v>
      </c>
      <c r="H83" s="3">
        <v>2</v>
      </c>
      <c r="I83" s="3">
        <v>1</v>
      </c>
      <c r="J83" s="3">
        <v>0.24</v>
      </c>
    </row>
    <row r="84" spans="1:10" x14ac:dyDescent="0.3">
      <c r="A84" s="3">
        <v>83</v>
      </c>
      <c r="B84" s="4">
        <v>40547</v>
      </c>
      <c r="C84" s="3">
        <v>1</v>
      </c>
      <c r="D84" s="3">
        <v>0</v>
      </c>
      <c r="E84" s="3">
        <v>1</v>
      </c>
      <c r="F84" s="3">
        <v>14</v>
      </c>
      <c r="G84" s="3" t="b">
        <v>0</v>
      </c>
      <c r="H84" s="3">
        <v>2</v>
      </c>
      <c r="I84" s="3">
        <v>1</v>
      </c>
      <c r="J84" s="3">
        <v>0.26</v>
      </c>
    </row>
    <row r="85" spans="1:10" x14ac:dyDescent="0.3">
      <c r="A85" s="3">
        <v>84</v>
      </c>
      <c r="B85" s="4">
        <v>40547</v>
      </c>
      <c r="C85" s="3">
        <v>1</v>
      </c>
      <c r="D85" s="3">
        <v>0</v>
      </c>
      <c r="E85" s="3">
        <v>1</v>
      </c>
      <c r="F85" s="3">
        <v>15</v>
      </c>
      <c r="G85" s="3" t="b">
        <v>0</v>
      </c>
      <c r="H85" s="3">
        <v>2</v>
      </c>
      <c r="I85" s="3">
        <v>1</v>
      </c>
      <c r="J85" s="3">
        <v>0.28000000000000003</v>
      </c>
    </row>
    <row r="86" spans="1:10" x14ac:dyDescent="0.3">
      <c r="A86" s="3">
        <v>85</v>
      </c>
      <c r="B86" s="4">
        <v>40547</v>
      </c>
      <c r="C86" s="3">
        <v>1</v>
      </c>
      <c r="D86" s="3">
        <v>0</v>
      </c>
      <c r="E86" s="3">
        <v>1</v>
      </c>
      <c r="F86" s="3">
        <v>16</v>
      </c>
      <c r="G86" s="3" t="b">
        <v>0</v>
      </c>
      <c r="H86" s="3">
        <v>2</v>
      </c>
      <c r="I86" s="3">
        <v>1</v>
      </c>
      <c r="J86" s="3">
        <v>0.3</v>
      </c>
    </row>
    <row r="87" spans="1:10" x14ac:dyDescent="0.3">
      <c r="A87" s="3">
        <v>86</v>
      </c>
      <c r="B87" s="4">
        <v>40547</v>
      </c>
      <c r="C87" s="3">
        <v>1</v>
      </c>
      <c r="D87" s="3">
        <v>0</v>
      </c>
      <c r="E87" s="3">
        <v>1</v>
      </c>
      <c r="F87" s="3">
        <v>17</v>
      </c>
      <c r="G87" s="3" t="b">
        <v>0</v>
      </c>
      <c r="H87" s="3">
        <v>2</v>
      </c>
      <c r="I87" s="3">
        <v>1</v>
      </c>
      <c r="J87" s="3">
        <v>0.28000000000000003</v>
      </c>
    </row>
    <row r="88" spans="1:10" x14ac:dyDescent="0.3">
      <c r="A88" s="3">
        <v>87</v>
      </c>
      <c r="B88" s="4">
        <v>40547</v>
      </c>
      <c r="C88" s="3">
        <v>1</v>
      </c>
      <c r="D88" s="3">
        <v>0</v>
      </c>
      <c r="E88" s="3">
        <v>1</v>
      </c>
      <c r="F88" s="3">
        <v>18</v>
      </c>
      <c r="G88" s="3" t="b">
        <v>0</v>
      </c>
      <c r="H88" s="3">
        <v>2</v>
      </c>
      <c r="I88" s="3">
        <v>1</v>
      </c>
      <c r="J88" s="3">
        <v>0.26</v>
      </c>
    </row>
    <row r="89" spans="1:10" x14ac:dyDescent="0.3">
      <c r="A89" s="3">
        <v>88</v>
      </c>
      <c r="B89" s="4">
        <v>40547</v>
      </c>
      <c r="C89" s="3">
        <v>1</v>
      </c>
      <c r="D89" s="3">
        <v>0</v>
      </c>
      <c r="E89" s="3">
        <v>1</v>
      </c>
      <c r="F89" s="3">
        <v>19</v>
      </c>
      <c r="G89" s="3" t="b">
        <v>0</v>
      </c>
      <c r="H89" s="3">
        <v>2</v>
      </c>
      <c r="I89" s="3">
        <v>1</v>
      </c>
      <c r="J89" s="3">
        <v>0.24</v>
      </c>
    </row>
    <row r="90" spans="1:10" x14ac:dyDescent="0.3">
      <c r="A90" s="3">
        <v>89</v>
      </c>
      <c r="B90" s="4">
        <v>40547</v>
      </c>
      <c r="C90" s="3">
        <v>1</v>
      </c>
      <c r="D90" s="3">
        <v>0</v>
      </c>
      <c r="E90" s="3">
        <v>1</v>
      </c>
      <c r="F90" s="3">
        <v>20</v>
      </c>
      <c r="G90" s="3" t="b">
        <v>0</v>
      </c>
      <c r="H90" s="3">
        <v>2</v>
      </c>
      <c r="I90" s="3">
        <v>1</v>
      </c>
      <c r="J90" s="3">
        <v>0.24</v>
      </c>
    </row>
    <row r="91" spans="1:10" x14ac:dyDescent="0.3">
      <c r="A91" s="3">
        <v>90</v>
      </c>
      <c r="B91" s="4">
        <v>40547</v>
      </c>
      <c r="C91" s="3">
        <v>1</v>
      </c>
      <c r="D91" s="3">
        <v>0</v>
      </c>
      <c r="E91" s="3">
        <v>1</v>
      </c>
      <c r="F91" s="3">
        <v>21</v>
      </c>
      <c r="G91" s="3" t="b">
        <v>0</v>
      </c>
      <c r="H91" s="3">
        <v>2</v>
      </c>
      <c r="I91" s="3">
        <v>1</v>
      </c>
      <c r="J91" s="3">
        <v>0.22</v>
      </c>
    </row>
    <row r="92" spans="1:10" x14ac:dyDescent="0.3">
      <c r="A92" s="3">
        <v>91</v>
      </c>
      <c r="B92" s="4">
        <v>40547</v>
      </c>
      <c r="C92" s="3">
        <v>1</v>
      </c>
      <c r="D92" s="3">
        <v>0</v>
      </c>
      <c r="E92" s="3">
        <v>1</v>
      </c>
      <c r="F92" s="3">
        <v>22</v>
      </c>
      <c r="G92" s="3" t="b">
        <v>0</v>
      </c>
      <c r="H92" s="3">
        <v>2</v>
      </c>
      <c r="I92" s="3">
        <v>1</v>
      </c>
      <c r="J92" s="3">
        <v>0.22</v>
      </c>
    </row>
    <row r="93" spans="1:10" x14ac:dyDescent="0.3">
      <c r="A93" s="3">
        <v>92</v>
      </c>
      <c r="B93" s="4">
        <v>40547</v>
      </c>
      <c r="C93" s="3">
        <v>1</v>
      </c>
      <c r="D93" s="3">
        <v>0</v>
      </c>
      <c r="E93" s="3">
        <v>1</v>
      </c>
      <c r="F93" s="3">
        <v>23</v>
      </c>
      <c r="G93" s="3" t="b">
        <v>0</v>
      </c>
      <c r="H93" s="3">
        <v>2</v>
      </c>
      <c r="I93" s="3">
        <v>1</v>
      </c>
      <c r="J93" s="3">
        <v>0.2</v>
      </c>
    </row>
    <row r="94" spans="1:10" x14ac:dyDescent="0.3">
      <c r="A94" s="3">
        <v>93</v>
      </c>
      <c r="B94" s="4">
        <v>40548</v>
      </c>
      <c r="C94" s="3">
        <v>1</v>
      </c>
      <c r="D94" s="3">
        <v>0</v>
      </c>
      <c r="E94" s="3">
        <v>1</v>
      </c>
      <c r="F94" s="3">
        <v>0</v>
      </c>
      <c r="G94" s="3" t="b">
        <v>0</v>
      </c>
      <c r="H94" s="3">
        <v>3</v>
      </c>
      <c r="I94" s="3">
        <v>1</v>
      </c>
      <c r="J94" s="3">
        <v>0.2</v>
      </c>
    </row>
    <row r="95" spans="1:10" x14ac:dyDescent="0.3">
      <c r="A95" s="3">
        <v>94</v>
      </c>
      <c r="B95" s="4">
        <v>40548</v>
      </c>
      <c r="C95" s="3">
        <v>1</v>
      </c>
      <c r="D95" s="3">
        <v>0</v>
      </c>
      <c r="E95" s="3">
        <v>1</v>
      </c>
      <c r="F95" s="3">
        <v>1</v>
      </c>
      <c r="G95" s="3" t="b">
        <v>0</v>
      </c>
      <c r="H95" s="3">
        <v>3</v>
      </c>
      <c r="I95" s="3">
        <v>1</v>
      </c>
      <c r="J95" s="3">
        <v>0.16</v>
      </c>
    </row>
    <row r="96" spans="1:10" x14ac:dyDescent="0.3">
      <c r="A96" s="3">
        <v>95</v>
      </c>
      <c r="B96" s="4">
        <v>40548</v>
      </c>
      <c r="C96" s="3">
        <v>1</v>
      </c>
      <c r="D96" s="3">
        <v>0</v>
      </c>
      <c r="E96" s="3">
        <v>1</v>
      </c>
      <c r="F96" s="3">
        <v>2</v>
      </c>
      <c r="G96" s="3" t="b">
        <v>0</v>
      </c>
      <c r="H96" s="3">
        <v>3</v>
      </c>
      <c r="I96" s="3">
        <v>1</v>
      </c>
      <c r="J96" s="3">
        <v>0.16</v>
      </c>
    </row>
    <row r="97" spans="1:10" x14ac:dyDescent="0.3">
      <c r="A97" s="3">
        <v>96</v>
      </c>
      <c r="B97" s="4">
        <v>40548</v>
      </c>
      <c r="C97" s="3">
        <v>1</v>
      </c>
      <c r="D97" s="3">
        <v>0</v>
      </c>
      <c r="E97" s="3">
        <v>1</v>
      </c>
      <c r="F97" s="3">
        <v>4</v>
      </c>
      <c r="G97" s="3" t="b">
        <v>0</v>
      </c>
      <c r="H97" s="3">
        <v>3</v>
      </c>
      <c r="I97" s="3">
        <v>1</v>
      </c>
      <c r="J97" s="3">
        <v>0.24</v>
      </c>
    </row>
    <row r="98" spans="1:10" x14ac:dyDescent="0.3">
      <c r="A98" s="3">
        <v>97</v>
      </c>
      <c r="B98" s="4">
        <v>40548</v>
      </c>
      <c r="C98" s="3">
        <v>1</v>
      </c>
      <c r="D98" s="3">
        <v>0</v>
      </c>
      <c r="E98" s="3">
        <v>1</v>
      </c>
      <c r="F98" s="3">
        <v>5</v>
      </c>
      <c r="G98" s="3" t="b">
        <v>0</v>
      </c>
      <c r="H98" s="3">
        <v>3</v>
      </c>
      <c r="I98" s="3">
        <v>1</v>
      </c>
      <c r="J98" s="3">
        <v>0.22</v>
      </c>
    </row>
    <row r="99" spans="1:10" x14ac:dyDescent="0.3">
      <c r="A99" s="3">
        <v>98</v>
      </c>
      <c r="B99" s="4">
        <v>40548</v>
      </c>
      <c r="C99" s="3">
        <v>1</v>
      </c>
      <c r="D99" s="3">
        <v>0</v>
      </c>
      <c r="E99" s="3">
        <v>1</v>
      </c>
      <c r="F99" s="3">
        <v>6</v>
      </c>
      <c r="G99" s="3" t="b">
        <v>0</v>
      </c>
      <c r="H99" s="3">
        <v>3</v>
      </c>
      <c r="I99" s="3">
        <v>1</v>
      </c>
      <c r="J99" s="3">
        <v>0.2</v>
      </c>
    </row>
    <row r="100" spans="1:10" x14ac:dyDescent="0.3">
      <c r="A100" s="3">
        <v>99</v>
      </c>
      <c r="B100" s="4">
        <v>40548</v>
      </c>
      <c r="C100" s="3">
        <v>1</v>
      </c>
      <c r="D100" s="3">
        <v>0</v>
      </c>
      <c r="E100" s="3">
        <v>1</v>
      </c>
      <c r="F100" s="3">
        <v>7</v>
      </c>
      <c r="G100" s="3" t="b">
        <v>0</v>
      </c>
      <c r="H100" s="3">
        <v>3</v>
      </c>
      <c r="I100" s="3">
        <v>1</v>
      </c>
      <c r="J100" s="3">
        <v>0.18</v>
      </c>
    </row>
    <row r="101" spans="1:10" x14ac:dyDescent="0.3">
      <c r="A101" s="3">
        <v>100</v>
      </c>
      <c r="B101" s="4">
        <v>40548</v>
      </c>
      <c r="C101" s="3">
        <v>1</v>
      </c>
      <c r="D101" s="3">
        <v>0</v>
      </c>
      <c r="E101" s="3">
        <v>1</v>
      </c>
      <c r="F101" s="3">
        <v>8</v>
      </c>
      <c r="G101" s="3" t="b">
        <v>0</v>
      </c>
      <c r="H101" s="3">
        <v>3</v>
      </c>
      <c r="I101" s="3">
        <v>1</v>
      </c>
      <c r="J101" s="3">
        <v>0.2</v>
      </c>
    </row>
    <row r="102" spans="1:10" x14ac:dyDescent="0.3">
      <c r="A102" s="3">
        <v>101</v>
      </c>
      <c r="B102" s="4">
        <v>40548</v>
      </c>
      <c r="C102" s="3">
        <v>1</v>
      </c>
      <c r="D102" s="3">
        <v>0</v>
      </c>
      <c r="E102" s="3">
        <v>1</v>
      </c>
      <c r="F102" s="3">
        <v>9</v>
      </c>
      <c r="G102" s="3" t="b">
        <v>0</v>
      </c>
      <c r="H102" s="3">
        <v>3</v>
      </c>
      <c r="I102" s="3">
        <v>1</v>
      </c>
      <c r="J102" s="3">
        <v>0.22</v>
      </c>
    </row>
    <row r="103" spans="1:10" x14ac:dyDescent="0.3">
      <c r="A103" s="3">
        <v>102</v>
      </c>
      <c r="B103" s="4">
        <v>40548</v>
      </c>
      <c r="C103" s="3">
        <v>1</v>
      </c>
      <c r="D103" s="3">
        <v>0</v>
      </c>
      <c r="E103" s="3">
        <v>1</v>
      </c>
      <c r="F103" s="3">
        <v>10</v>
      </c>
      <c r="G103" s="3" t="b">
        <v>0</v>
      </c>
      <c r="H103" s="3">
        <v>3</v>
      </c>
      <c r="I103" s="3">
        <v>1</v>
      </c>
      <c r="J103" s="3">
        <v>0.22</v>
      </c>
    </row>
    <row r="104" spans="1:10" x14ac:dyDescent="0.3">
      <c r="A104" s="3">
        <v>103</v>
      </c>
      <c r="B104" s="4">
        <v>40548</v>
      </c>
      <c r="C104" s="3">
        <v>1</v>
      </c>
      <c r="D104" s="3">
        <v>0</v>
      </c>
      <c r="E104" s="3">
        <v>1</v>
      </c>
      <c r="F104" s="3">
        <v>11</v>
      </c>
      <c r="G104" s="3" t="b">
        <v>0</v>
      </c>
      <c r="H104" s="3">
        <v>3</v>
      </c>
      <c r="I104" s="3">
        <v>1</v>
      </c>
      <c r="J104" s="3">
        <v>0.26</v>
      </c>
    </row>
    <row r="105" spans="1:10" x14ac:dyDescent="0.3">
      <c r="A105" s="3">
        <v>104</v>
      </c>
      <c r="B105" s="4">
        <v>40548</v>
      </c>
      <c r="C105" s="3">
        <v>1</v>
      </c>
      <c r="D105" s="3">
        <v>0</v>
      </c>
      <c r="E105" s="3">
        <v>1</v>
      </c>
      <c r="F105" s="3">
        <v>12</v>
      </c>
      <c r="G105" s="3" t="b">
        <v>0</v>
      </c>
      <c r="H105" s="3">
        <v>3</v>
      </c>
      <c r="I105" s="3">
        <v>1</v>
      </c>
      <c r="J105" s="3">
        <v>0.26</v>
      </c>
    </row>
    <row r="106" spans="1:10" x14ac:dyDescent="0.3">
      <c r="A106" s="3">
        <v>105</v>
      </c>
      <c r="B106" s="4">
        <v>40548</v>
      </c>
      <c r="C106" s="3">
        <v>1</v>
      </c>
      <c r="D106" s="3">
        <v>0</v>
      </c>
      <c r="E106" s="3">
        <v>1</v>
      </c>
      <c r="F106" s="3">
        <v>13</v>
      </c>
      <c r="G106" s="3" t="b">
        <v>0</v>
      </c>
      <c r="H106" s="3">
        <v>3</v>
      </c>
      <c r="I106" s="3">
        <v>1</v>
      </c>
      <c r="J106" s="3">
        <v>0.28000000000000003</v>
      </c>
    </row>
    <row r="107" spans="1:10" x14ac:dyDescent="0.3">
      <c r="A107" s="3">
        <v>106</v>
      </c>
      <c r="B107" s="4">
        <v>40548</v>
      </c>
      <c r="C107" s="3">
        <v>1</v>
      </c>
      <c r="D107" s="3">
        <v>0</v>
      </c>
      <c r="E107" s="3">
        <v>1</v>
      </c>
      <c r="F107" s="3">
        <v>14</v>
      </c>
      <c r="G107" s="3" t="b">
        <v>0</v>
      </c>
      <c r="H107" s="3">
        <v>3</v>
      </c>
      <c r="I107" s="3">
        <v>1</v>
      </c>
      <c r="J107" s="3">
        <v>0.3</v>
      </c>
    </row>
    <row r="108" spans="1:10" x14ac:dyDescent="0.3">
      <c r="A108" s="3">
        <v>107</v>
      </c>
      <c r="B108" s="4">
        <v>40548</v>
      </c>
      <c r="C108" s="3">
        <v>1</v>
      </c>
      <c r="D108" s="3">
        <v>0</v>
      </c>
      <c r="E108" s="3">
        <v>1</v>
      </c>
      <c r="F108" s="3">
        <v>15</v>
      </c>
      <c r="G108" s="3" t="b">
        <v>0</v>
      </c>
      <c r="H108" s="3">
        <v>3</v>
      </c>
      <c r="I108" s="3">
        <v>1</v>
      </c>
      <c r="J108" s="3">
        <v>0.3</v>
      </c>
    </row>
    <row r="109" spans="1:10" x14ac:dyDescent="0.3">
      <c r="A109" s="3">
        <v>108</v>
      </c>
      <c r="B109" s="4">
        <v>40548</v>
      </c>
      <c r="C109" s="3">
        <v>1</v>
      </c>
      <c r="D109" s="3">
        <v>0</v>
      </c>
      <c r="E109" s="3">
        <v>1</v>
      </c>
      <c r="F109" s="3">
        <v>16</v>
      </c>
      <c r="G109" s="3" t="b">
        <v>0</v>
      </c>
      <c r="H109" s="3">
        <v>3</v>
      </c>
      <c r="I109" s="3">
        <v>1</v>
      </c>
      <c r="J109" s="3">
        <v>0.3</v>
      </c>
    </row>
    <row r="110" spans="1:10" x14ac:dyDescent="0.3">
      <c r="A110" s="3">
        <v>109</v>
      </c>
      <c r="B110" s="4">
        <v>40548</v>
      </c>
      <c r="C110" s="3">
        <v>1</v>
      </c>
      <c r="D110" s="3">
        <v>0</v>
      </c>
      <c r="E110" s="3">
        <v>1</v>
      </c>
      <c r="F110" s="3">
        <v>17</v>
      </c>
      <c r="G110" s="3" t="b">
        <v>0</v>
      </c>
      <c r="H110" s="3">
        <v>3</v>
      </c>
      <c r="I110" s="3">
        <v>1</v>
      </c>
      <c r="J110" s="3">
        <v>0.24</v>
      </c>
    </row>
    <row r="111" spans="1:10" x14ac:dyDescent="0.3">
      <c r="A111" s="3">
        <v>110</v>
      </c>
      <c r="B111" s="4">
        <v>40548</v>
      </c>
      <c r="C111" s="3">
        <v>1</v>
      </c>
      <c r="D111" s="3">
        <v>0</v>
      </c>
      <c r="E111" s="3">
        <v>1</v>
      </c>
      <c r="F111" s="3">
        <v>18</v>
      </c>
      <c r="G111" s="3" t="b">
        <v>0</v>
      </c>
      <c r="H111" s="3">
        <v>3</v>
      </c>
      <c r="I111" s="3">
        <v>1</v>
      </c>
      <c r="J111" s="3">
        <v>0.24</v>
      </c>
    </row>
    <row r="112" spans="1:10" x14ac:dyDescent="0.3">
      <c r="A112" s="3">
        <v>111</v>
      </c>
      <c r="B112" s="4">
        <v>40548</v>
      </c>
      <c r="C112" s="3">
        <v>1</v>
      </c>
      <c r="D112" s="3">
        <v>0</v>
      </c>
      <c r="E112" s="3">
        <v>1</v>
      </c>
      <c r="F112" s="3">
        <v>19</v>
      </c>
      <c r="G112" s="3" t="b">
        <v>0</v>
      </c>
      <c r="H112" s="3">
        <v>3</v>
      </c>
      <c r="I112" s="3">
        <v>1</v>
      </c>
      <c r="J112" s="3">
        <v>0.24</v>
      </c>
    </row>
    <row r="113" spans="1:10" x14ac:dyDescent="0.3">
      <c r="A113" s="3">
        <v>112</v>
      </c>
      <c r="B113" s="4">
        <v>40548</v>
      </c>
      <c r="C113" s="3">
        <v>1</v>
      </c>
      <c r="D113" s="3">
        <v>0</v>
      </c>
      <c r="E113" s="3">
        <v>1</v>
      </c>
      <c r="F113" s="3">
        <v>20</v>
      </c>
      <c r="G113" s="3" t="b">
        <v>0</v>
      </c>
      <c r="H113" s="3">
        <v>3</v>
      </c>
      <c r="I113" s="3">
        <v>1</v>
      </c>
      <c r="J113" s="3">
        <v>0.22</v>
      </c>
    </row>
    <row r="114" spans="1:10" x14ac:dyDescent="0.3">
      <c r="A114" s="3">
        <v>113</v>
      </c>
      <c r="B114" s="4">
        <v>40548</v>
      </c>
      <c r="C114" s="3">
        <v>1</v>
      </c>
      <c r="D114" s="3">
        <v>0</v>
      </c>
      <c r="E114" s="3">
        <v>1</v>
      </c>
      <c r="F114" s="3">
        <v>21</v>
      </c>
      <c r="G114" s="3" t="b">
        <v>0</v>
      </c>
      <c r="H114" s="3">
        <v>3</v>
      </c>
      <c r="I114" s="3">
        <v>1</v>
      </c>
      <c r="J114" s="3">
        <v>0.2</v>
      </c>
    </row>
    <row r="115" spans="1:10" x14ac:dyDescent="0.3">
      <c r="A115" s="3">
        <v>114</v>
      </c>
      <c r="B115" s="4">
        <v>40548</v>
      </c>
      <c r="C115" s="3">
        <v>1</v>
      </c>
      <c r="D115" s="3">
        <v>0</v>
      </c>
      <c r="E115" s="3">
        <v>1</v>
      </c>
      <c r="F115" s="3">
        <v>22</v>
      </c>
      <c r="G115" s="3" t="b">
        <v>0</v>
      </c>
      <c r="H115" s="3">
        <v>3</v>
      </c>
      <c r="I115" s="3">
        <v>1</v>
      </c>
      <c r="J115" s="3">
        <v>0.18</v>
      </c>
    </row>
    <row r="116" spans="1:10" x14ac:dyDescent="0.3">
      <c r="A116" s="3">
        <v>115</v>
      </c>
      <c r="B116" s="4">
        <v>40548</v>
      </c>
      <c r="C116" s="3">
        <v>1</v>
      </c>
      <c r="D116" s="3">
        <v>0</v>
      </c>
      <c r="E116" s="3">
        <v>1</v>
      </c>
      <c r="F116" s="3">
        <v>23</v>
      </c>
      <c r="G116" s="3" t="b">
        <v>0</v>
      </c>
      <c r="H116" s="3">
        <v>3</v>
      </c>
      <c r="I116" s="3">
        <v>1</v>
      </c>
      <c r="J116" s="3">
        <v>0.2</v>
      </c>
    </row>
    <row r="117" spans="1:10" x14ac:dyDescent="0.3">
      <c r="A117" s="3">
        <v>116</v>
      </c>
      <c r="B117" s="4">
        <v>40549</v>
      </c>
      <c r="C117" s="3">
        <v>1</v>
      </c>
      <c r="D117" s="3">
        <v>0</v>
      </c>
      <c r="E117" s="3">
        <v>1</v>
      </c>
      <c r="F117" s="3">
        <v>0</v>
      </c>
      <c r="G117" s="3" t="b">
        <v>0</v>
      </c>
      <c r="H117" s="3">
        <v>4</v>
      </c>
      <c r="I117" s="3">
        <v>1</v>
      </c>
      <c r="J117" s="3">
        <v>0.18</v>
      </c>
    </row>
    <row r="118" spans="1:10" x14ac:dyDescent="0.3">
      <c r="A118" s="3">
        <v>117</v>
      </c>
      <c r="B118" s="4">
        <v>40549</v>
      </c>
      <c r="C118" s="3">
        <v>1</v>
      </c>
      <c r="D118" s="3">
        <v>0</v>
      </c>
      <c r="E118" s="3">
        <v>1</v>
      </c>
      <c r="F118" s="3">
        <v>1</v>
      </c>
      <c r="G118" s="3" t="b">
        <v>0</v>
      </c>
      <c r="H118" s="3">
        <v>4</v>
      </c>
      <c r="I118" s="3">
        <v>1</v>
      </c>
      <c r="J118" s="3">
        <v>0.16</v>
      </c>
    </row>
    <row r="119" spans="1:10" x14ac:dyDescent="0.3">
      <c r="A119" s="3">
        <v>118</v>
      </c>
      <c r="B119" s="4">
        <v>40549</v>
      </c>
      <c r="C119" s="3">
        <v>1</v>
      </c>
      <c r="D119" s="3">
        <v>0</v>
      </c>
      <c r="E119" s="3">
        <v>1</v>
      </c>
      <c r="F119" s="3">
        <v>2</v>
      </c>
      <c r="G119" s="3" t="b">
        <v>0</v>
      </c>
      <c r="H119" s="3">
        <v>4</v>
      </c>
      <c r="I119" s="3">
        <v>1</v>
      </c>
      <c r="J119" s="3">
        <v>0.16</v>
      </c>
    </row>
    <row r="120" spans="1:10" x14ac:dyDescent="0.3">
      <c r="A120" s="3">
        <v>119</v>
      </c>
      <c r="B120" s="4">
        <v>40549</v>
      </c>
      <c r="C120" s="3">
        <v>1</v>
      </c>
      <c r="D120" s="3">
        <v>0</v>
      </c>
      <c r="E120" s="3">
        <v>1</v>
      </c>
      <c r="F120" s="3">
        <v>4</v>
      </c>
      <c r="G120" s="3" t="b">
        <v>0</v>
      </c>
      <c r="H120" s="3">
        <v>4</v>
      </c>
      <c r="I120" s="3">
        <v>2</v>
      </c>
      <c r="J120" s="3">
        <v>0.16</v>
      </c>
    </row>
    <row r="121" spans="1:10" x14ac:dyDescent="0.3">
      <c r="A121" s="3">
        <v>120</v>
      </c>
      <c r="B121" s="4">
        <v>40549</v>
      </c>
      <c r="C121" s="3">
        <v>1</v>
      </c>
      <c r="D121" s="3">
        <v>0</v>
      </c>
      <c r="E121" s="3">
        <v>1</v>
      </c>
      <c r="F121" s="3">
        <v>5</v>
      </c>
      <c r="G121" s="3" t="b">
        <v>0</v>
      </c>
      <c r="H121" s="3">
        <v>4</v>
      </c>
      <c r="I121" s="3">
        <v>2</v>
      </c>
      <c r="J121" s="3">
        <v>0.14000000000000001</v>
      </c>
    </row>
    <row r="122" spans="1:10" x14ac:dyDescent="0.3">
      <c r="A122" s="3">
        <v>121</v>
      </c>
      <c r="B122" s="4">
        <v>40549</v>
      </c>
      <c r="C122" s="3">
        <v>1</v>
      </c>
      <c r="D122" s="3">
        <v>0</v>
      </c>
      <c r="E122" s="3">
        <v>1</v>
      </c>
      <c r="F122" s="3">
        <v>6</v>
      </c>
      <c r="G122" s="3" t="b">
        <v>0</v>
      </c>
      <c r="H122" s="3">
        <v>4</v>
      </c>
      <c r="I122" s="3">
        <v>2</v>
      </c>
      <c r="J122" s="3">
        <v>0.14000000000000001</v>
      </c>
    </row>
    <row r="123" spans="1:10" x14ac:dyDescent="0.3">
      <c r="A123" s="3">
        <v>122</v>
      </c>
      <c r="B123" s="4">
        <v>40549</v>
      </c>
      <c r="C123" s="3">
        <v>1</v>
      </c>
      <c r="D123" s="3">
        <v>0</v>
      </c>
      <c r="E123" s="3">
        <v>1</v>
      </c>
      <c r="F123" s="3">
        <v>7</v>
      </c>
      <c r="G123" s="3" t="b">
        <v>0</v>
      </c>
      <c r="H123" s="3">
        <v>4</v>
      </c>
      <c r="I123" s="3">
        <v>2</v>
      </c>
      <c r="J123" s="3">
        <v>0.16</v>
      </c>
    </row>
    <row r="124" spans="1:10" x14ac:dyDescent="0.3">
      <c r="A124" s="3">
        <v>123</v>
      </c>
      <c r="B124" s="4">
        <v>40549</v>
      </c>
      <c r="C124" s="3">
        <v>1</v>
      </c>
      <c r="D124" s="3">
        <v>0</v>
      </c>
      <c r="E124" s="3">
        <v>1</v>
      </c>
      <c r="F124" s="3">
        <v>8</v>
      </c>
      <c r="G124" s="3" t="b">
        <v>0</v>
      </c>
      <c r="H124" s="3">
        <v>4</v>
      </c>
      <c r="I124" s="3">
        <v>1</v>
      </c>
      <c r="J124" s="3">
        <v>0.16</v>
      </c>
    </row>
    <row r="125" spans="1:10" x14ac:dyDescent="0.3">
      <c r="A125" s="3">
        <v>124</v>
      </c>
      <c r="B125" s="4">
        <v>40549</v>
      </c>
      <c r="C125" s="3">
        <v>1</v>
      </c>
      <c r="D125" s="3">
        <v>0</v>
      </c>
      <c r="E125" s="3">
        <v>1</v>
      </c>
      <c r="F125" s="3">
        <v>9</v>
      </c>
      <c r="G125" s="3" t="b">
        <v>0</v>
      </c>
      <c r="H125" s="3">
        <v>4</v>
      </c>
      <c r="I125" s="3">
        <v>2</v>
      </c>
      <c r="J125" s="3">
        <v>0.18</v>
      </c>
    </row>
    <row r="126" spans="1:10" x14ac:dyDescent="0.3">
      <c r="A126" s="3">
        <v>125</v>
      </c>
      <c r="B126" s="4">
        <v>40549</v>
      </c>
      <c r="C126" s="3">
        <v>1</v>
      </c>
      <c r="D126" s="3">
        <v>0</v>
      </c>
      <c r="E126" s="3">
        <v>1</v>
      </c>
      <c r="F126" s="3">
        <v>10</v>
      </c>
      <c r="G126" s="3" t="b">
        <v>0</v>
      </c>
      <c r="H126" s="3">
        <v>4</v>
      </c>
      <c r="I126" s="3">
        <v>1</v>
      </c>
      <c r="J126" s="3">
        <v>0.2</v>
      </c>
    </row>
    <row r="127" spans="1:10" x14ac:dyDescent="0.3">
      <c r="A127" s="3">
        <v>126</v>
      </c>
      <c r="B127" s="4">
        <v>40549</v>
      </c>
      <c r="C127" s="3">
        <v>1</v>
      </c>
      <c r="D127" s="3">
        <v>0</v>
      </c>
      <c r="E127" s="3">
        <v>1</v>
      </c>
      <c r="F127" s="3">
        <v>11</v>
      </c>
      <c r="G127" s="3" t="b">
        <v>0</v>
      </c>
      <c r="H127" s="3">
        <v>4</v>
      </c>
      <c r="I127" s="3">
        <v>1</v>
      </c>
      <c r="J127" s="3">
        <v>0.22</v>
      </c>
    </row>
    <row r="128" spans="1:10" x14ac:dyDescent="0.3">
      <c r="A128" s="3">
        <v>127</v>
      </c>
      <c r="B128" s="4">
        <v>40549</v>
      </c>
      <c r="C128" s="3">
        <v>1</v>
      </c>
      <c r="D128" s="3">
        <v>0</v>
      </c>
      <c r="E128" s="3">
        <v>1</v>
      </c>
      <c r="F128" s="3">
        <v>12</v>
      </c>
      <c r="G128" s="3" t="b">
        <v>0</v>
      </c>
      <c r="H128" s="3">
        <v>4</v>
      </c>
      <c r="I128" s="3">
        <v>1</v>
      </c>
      <c r="J128" s="3">
        <v>0.26</v>
      </c>
    </row>
    <row r="129" spans="1:10" x14ac:dyDescent="0.3">
      <c r="A129" s="3">
        <v>128</v>
      </c>
      <c r="B129" s="4">
        <v>40549</v>
      </c>
      <c r="C129" s="3">
        <v>1</v>
      </c>
      <c r="D129" s="3">
        <v>0</v>
      </c>
      <c r="E129" s="3">
        <v>1</v>
      </c>
      <c r="F129" s="3">
        <v>13</v>
      </c>
      <c r="G129" s="3" t="b">
        <v>0</v>
      </c>
      <c r="H129" s="3">
        <v>4</v>
      </c>
      <c r="I129" s="3">
        <v>1</v>
      </c>
      <c r="J129" s="3">
        <v>0.26</v>
      </c>
    </row>
    <row r="130" spans="1:10" x14ac:dyDescent="0.3">
      <c r="A130" s="3">
        <v>129</v>
      </c>
      <c r="B130" s="4">
        <v>40549</v>
      </c>
      <c r="C130" s="3">
        <v>1</v>
      </c>
      <c r="D130" s="3">
        <v>0</v>
      </c>
      <c r="E130" s="3">
        <v>1</v>
      </c>
      <c r="F130" s="3">
        <v>14</v>
      </c>
      <c r="G130" s="3" t="b">
        <v>0</v>
      </c>
      <c r="H130" s="3">
        <v>4</v>
      </c>
      <c r="I130" s="3">
        <v>1</v>
      </c>
      <c r="J130" s="3">
        <v>0.28000000000000003</v>
      </c>
    </row>
    <row r="131" spans="1:10" x14ac:dyDescent="0.3">
      <c r="A131" s="3">
        <v>130</v>
      </c>
      <c r="B131" s="4">
        <v>40549</v>
      </c>
      <c r="C131" s="3">
        <v>1</v>
      </c>
      <c r="D131" s="3">
        <v>0</v>
      </c>
      <c r="E131" s="3">
        <v>1</v>
      </c>
      <c r="F131" s="3">
        <v>15</v>
      </c>
      <c r="G131" s="3" t="b">
        <v>0</v>
      </c>
      <c r="H131" s="3">
        <v>4</v>
      </c>
      <c r="I131" s="3">
        <v>1</v>
      </c>
      <c r="J131" s="3">
        <v>0.28000000000000003</v>
      </c>
    </row>
    <row r="132" spans="1:10" x14ac:dyDescent="0.3">
      <c r="A132" s="3">
        <v>131</v>
      </c>
      <c r="B132" s="4">
        <v>40549</v>
      </c>
      <c r="C132" s="3">
        <v>1</v>
      </c>
      <c r="D132" s="3">
        <v>0</v>
      </c>
      <c r="E132" s="3">
        <v>1</v>
      </c>
      <c r="F132" s="3">
        <v>16</v>
      </c>
      <c r="G132" s="3" t="b">
        <v>0</v>
      </c>
      <c r="H132" s="3">
        <v>4</v>
      </c>
      <c r="I132" s="3">
        <v>1</v>
      </c>
      <c r="J132" s="3">
        <v>0.26</v>
      </c>
    </row>
    <row r="133" spans="1:10" x14ac:dyDescent="0.3">
      <c r="A133" s="3">
        <v>132</v>
      </c>
      <c r="B133" s="4">
        <v>40549</v>
      </c>
      <c r="C133" s="3">
        <v>1</v>
      </c>
      <c r="D133" s="3">
        <v>0</v>
      </c>
      <c r="E133" s="3">
        <v>1</v>
      </c>
      <c r="F133" s="3">
        <v>17</v>
      </c>
      <c r="G133" s="3" t="b">
        <v>0</v>
      </c>
      <c r="H133" s="3">
        <v>4</v>
      </c>
      <c r="I133" s="3">
        <v>1</v>
      </c>
      <c r="J133" s="3">
        <v>0.22</v>
      </c>
    </row>
    <row r="134" spans="1:10" x14ac:dyDescent="0.3">
      <c r="A134" s="3">
        <v>133</v>
      </c>
      <c r="B134" s="4">
        <v>40549</v>
      </c>
      <c r="C134" s="3">
        <v>1</v>
      </c>
      <c r="D134" s="3">
        <v>0</v>
      </c>
      <c r="E134" s="3">
        <v>1</v>
      </c>
      <c r="F134" s="3">
        <v>18</v>
      </c>
      <c r="G134" s="3" t="b">
        <v>0</v>
      </c>
      <c r="H134" s="3">
        <v>4</v>
      </c>
      <c r="I134" s="3">
        <v>1</v>
      </c>
      <c r="J134" s="3">
        <v>0.22</v>
      </c>
    </row>
    <row r="135" spans="1:10" x14ac:dyDescent="0.3">
      <c r="A135" s="3">
        <v>134</v>
      </c>
      <c r="B135" s="4">
        <v>40549</v>
      </c>
      <c r="C135" s="3">
        <v>1</v>
      </c>
      <c r="D135" s="3">
        <v>0</v>
      </c>
      <c r="E135" s="3">
        <v>1</v>
      </c>
      <c r="F135" s="3">
        <v>19</v>
      </c>
      <c r="G135" s="3" t="b">
        <v>0</v>
      </c>
      <c r="H135" s="3">
        <v>4</v>
      </c>
      <c r="I135" s="3">
        <v>1</v>
      </c>
      <c r="J135" s="3">
        <v>0.22</v>
      </c>
    </row>
    <row r="136" spans="1:10" x14ac:dyDescent="0.3">
      <c r="A136" s="3">
        <v>135</v>
      </c>
      <c r="B136" s="4">
        <v>40549</v>
      </c>
      <c r="C136" s="3">
        <v>1</v>
      </c>
      <c r="D136" s="3">
        <v>0</v>
      </c>
      <c r="E136" s="3">
        <v>1</v>
      </c>
      <c r="F136" s="3">
        <v>20</v>
      </c>
      <c r="G136" s="3" t="b">
        <v>0</v>
      </c>
      <c r="H136" s="3">
        <v>4</v>
      </c>
      <c r="I136" s="3">
        <v>1</v>
      </c>
      <c r="J136" s="3">
        <v>0.2</v>
      </c>
    </row>
    <row r="137" spans="1:10" x14ac:dyDescent="0.3">
      <c r="A137" s="3">
        <v>136</v>
      </c>
      <c r="B137" s="4">
        <v>40549</v>
      </c>
      <c r="C137" s="3">
        <v>1</v>
      </c>
      <c r="D137" s="3">
        <v>0</v>
      </c>
      <c r="E137" s="3">
        <v>1</v>
      </c>
      <c r="F137" s="3">
        <v>21</v>
      </c>
      <c r="G137" s="3" t="b">
        <v>0</v>
      </c>
      <c r="H137" s="3">
        <v>4</v>
      </c>
      <c r="I137" s="3">
        <v>2</v>
      </c>
      <c r="J137" s="3">
        <v>0.22</v>
      </c>
    </row>
    <row r="138" spans="1:10" x14ac:dyDescent="0.3">
      <c r="A138" s="3">
        <v>137</v>
      </c>
      <c r="B138" s="4">
        <v>40549</v>
      </c>
      <c r="C138" s="3">
        <v>1</v>
      </c>
      <c r="D138" s="3">
        <v>0</v>
      </c>
      <c r="E138" s="3">
        <v>1</v>
      </c>
      <c r="F138" s="3">
        <v>22</v>
      </c>
      <c r="G138" s="3" t="b">
        <v>0</v>
      </c>
      <c r="H138" s="3">
        <v>4</v>
      </c>
      <c r="I138" s="3">
        <v>2</v>
      </c>
      <c r="J138" s="3">
        <v>0.22</v>
      </c>
    </row>
    <row r="139" spans="1:10" x14ac:dyDescent="0.3">
      <c r="A139" s="3">
        <v>138</v>
      </c>
      <c r="B139" s="4">
        <v>40549</v>
      </c>
      <c r="C139" s="3">
        <v>1</v>
      </c>
      <c r="D139" s="3">
        <v>0</v>
      </c>
      <c r="E139" s="3">
        <v>1</v>
      </c>
      <c r="F139" s="3">
        <v>23</v>
      </c>
      <c r="G139" s="3" t="b">
        <v>0</v>
      </c>
      <c r="H139" s="3">
        <v>4</v>
      </c>
      <c r="I139" s="3">
        <v>2</v>
      </c>
      <c r="J139" s="3">
        <v>0.2</v>
      </c>
    </row>
    <row r="140" spans="1:10" x14ac:dyDescent="0.3">
      <c r="A140" s="3">
        <v>139</v>
      </c>
      <c r="B140" s="4">
        <v>40550</v>
      </c>
      <c r="C140" s="3">
        <v>1</v>
      </c>
      <c r="D140" s="3">
        <v>0</v>
      </c>
      <c r="E140" s="3">
        <v>1</v>
      </c>
      <c r="F140" s="3">
        <v>0</v>
      </c>
      <c r="G140" s="3" t="b">
        <v>0</v>
      </c>
      <c r="H140" s="3">
        <v>5</v>
      </c>
      <c r="I140" s="3">
        <v>2</v>
      </c>
      <c r="J140" s="3">
        <v>0.2</v>
      </c>
    </row>
    <row r="141" spans="1:10" x14ac:dyDescent="0.3">
      <c r="A141" s="3">
        <v>140</v>
      </c>
      <c r="B141" s="4">
        <v>40550</v>
      </c>
      <c r="C141" s="3">
        <v>1</v>
      </c>
      <c r="D141" s="3">
        <v>0</v>
      </c>
      <c r="E141" s="3">
        <v>1</v>
      </c>
      <c r="F141" s="3">
        <v>1</v>
      </c>
      <c r="G141" s="3" t="b">
        <v>0</v>
      </c>
      <c r="H141" s="3">
        <v>5</v>
      </c>
      <c r="I141" s="3">
        <v>2</v>
      </c>
      <c r="J141" s="3">
        <v>0.2</v>
      </c>
    </row>
    <row r="142" spans="1:10" x14ac:dyDescent="0.3">
      <c r="A142" s="3">
        <v>141</v>
      </c>
      <c r="B142" s="4">
        <v>40550</v>
      </c>
      <c r="C142" s="3">
        <v>1</v>
      </c>
      <c r="D142" s="3">
        <v>0</v>
      </c>
      <c r="E142" s="3">
        <v>1</v>
      </c>
      <c r="F142" s="3">
        <v>2</v>
      </c>
      <c r="G142" s="3" t="b">
        <v>0</v>
      </c>
      <c r="H142" s="3">
        <v>5</v>
      </c>
      <c r="I142" s="3">
        <v>2</v>
      </c>
      <c r="J142" s="3">
        <v>0.2</v>
      </c>
    </row>
    <row r="143" spans="1:10" x14ac:dyDescent="0.3">
      <c r="A143" s="3">
        <v>142</v>
      </c>
      <c r="B143" s="4">
        <v>40550</v>
      </c>
      <c r="C143" s="3">
        <v>1</v>
      </c>
      <c r="D143" s="3">
        <v>0</v>
      </c>
      <c r="E143" s="3">
        <v>1</v>
      </c>
      <c r="F143" s="3">
        <v>4</v>
      </c>
      <c r="G143" s="3" t="b">
        <v>0</v>
      </c>
      <c r="H143" s="3">
        <v>5</v>
      </c>
      <c r="I143" s="3">
        <v>2</v>
      </c>
      <c r="J143" s="3">
        <v>0.2</v>
      </c>
    </row>
    <row r="144" spans="1:10" x14ac:dyDescent="0.3">
      <c r="A144" s="3">
        <v>143</v>
      </c>
      <c r="B144" s="4">
        <v>40550</v>
      </c>
      <c r="C144" s="3">
        <v>1</v>
      </c>
      <c r="D144" s="3">
        <v>0</v>
      </c>
      <c r="E144" s="3">
        <v>1</v>
      </c>
      <c r="F144" s="3">
        <v>5</v>
      </c>
      <c r="G144" s="3" t="b">
        <v>0</v>
      </c>
      <c r="H144" s="3">
        <v>5</v>
      </c>
      <c r="I144" s="3">
        <v>3</v>
      </c>
      <c r="J144" s="3">
        <v>0.22</v>
      </c>
    </row>
    <row r="145" spans="1:10" x14ac:dyDescent="0.3">
      <c r="A145" s="3">
        <v>144</v>
      </c>
      <c r="B145" s="4">
        <v>40550</v>
      </c>
      <c r="C145" s="3">
        <v>1</v>
      </c>
      <c r="D145" s="3">
        <v>0</v>
      </c>
      <c r="E145" s="3">
        <v>1</v>
      </c>
      <c r="F145" s="3">
        <v>6</v>
      </c>
      <c r="G145" s="3" t="b">
        <v>0</v>
      </c>
      <c r="H145" s="3">
        <v>5</v>
      </c>
      <c r="I145" s="3">
        <v>2</v>
      </c>
      <c r="J145" s="3">
        <v>0.2</v>
      </c>
    </row>
    <row r="146" spans="1:10" x14ac:dyDescent="0.3">
      <c r="A146" s="3">
        <v>145</v>
      </c>
      <c r="B146" s="4">
        <v>40550</v>
      </c>
      <c r="C146" s="3">
        <v>1</v>
      </c>
      <c r="D146" s="3">
        <v>0</v>
      </c>
      <c r="E146" s="3">
        <v>1</v>
      </c>
      <c r="F146" s="3">
        <v>7</v>
      </c>
      <c r="G146" s="3" t="b">
        <v>0</v>
      </c>
      <c r="H146" s="3">
        <v>5</v>
      </c>
      <c r="I146" s="3">
        <v>1</v>
      </c>
      <c r="J146" s="3">
        <v>0.2</v>
      </c>
    </row>
    <row r="147" spans="1:10" x14ac:dyDescent="0.3">
      <c r="A147" s="3">
        <v>146</v>
      </c>
      <c r="B147" s="4">
        <v>40550</v>
      </c>
      <c r="C147" s="3">
        <v>1</v>
      </c>
      <c r="D147" s="3">
        <v>0</v>
      </c>
      <c r="E147" s="3">
        <v>1</v>
      </c>
      <c r="F147" s="3">
        <v>8</v>
      </c>
      <c r="G147" s="3" t="b">
        <v>0</v>
      </c>
      <c r="H147" s="3">
        <v>5</v>
      </c>
      <c r="I147" s="3">
        <v>1</v>
      </c>
      <c r="J147" s="3">
        <v>0.2</v>
      </c>
    </row>
    <row r="148" spans="1:10" x14ac:dyDescent="0.3">
      <c r="A148" s="3">
        <v>147</v>
      </c>
      <c r="B148" s="4">
        <v>40550</v>
      </c>
      <c r="C148" s="3">
        <v>1</v>
      </c>
      <c r="D148" s="3">
        <v>0</v>
      </c>
      <c r="E148" s="3">
        <v>1</v>
      </c>
      <c r="F148" s="3">
        <v>9</v>
      </c>
      <c r="G148" s="3" t="b">
        <v>0</v>
      </c>
      <c r="H148" s="3">
        <v>5</v>
      </c>
      <c r="I148" s="3">
        <v>1</v>
      </c>
      <c r="J148" s="3">
        <v>0.2</v>
      </c>
    </row>
    <row r="149" spans="1:10" x14ac:dyDescent="0.3">
      <c r="A149" s="3">
        <v>148</v>
      </c>
      <c r="B149" s="4">
        <v>40550</v>
      </c>
      <c r="C149" s="3">
        <v>1</v>
      </c>
      <c r="D149" s="3">
        <v>0</v>
      </c>
      <c r="E149" s="3">
        <v>1</v>
      </c>
      <c r="F149" s="3">
        <v>10</v>
      </c>
      <c r="G149" s="3" t="b">
        <v>0</v>
      </c>
      <c r="H149" s="3">
        <v>5</v>
      </c>
      <c r="I149" s="3">
        <v>1</v>
      </c>
      <c r="J149" s="3">
        <v>0.22</v>
      </c>
    </row>
    <row r="150" spans="1:10" x14ac:dyDescent="0.3">
      <c r="A150" s="3">
        <v>149</v>
      </c>
      <c r="B150" s="4">
        <v>40550</v>
      </c>
      <c r="C150" s="3">
        <v>1</v>
      </c>
      <c r="D150" s="3">
        <v>0</v>
      </c>
      <c r="E150" s="3">
        <v>1</v>
      </c>
      <c r="F150" s="3">
        <v>11</v>
      </c>
      <c r="G150" s="3" t="b">
        <v>0</v>
      </c>
      <c r="H150" s="3">
        <v>5</v>
      </c>
      <c r="I150" s="3">
        <v>2</v>
      </c>
      <c r="J150" s="3">
        <v>0.2</v>
      </c>
    </row>
    <row r="151" spans="1:10" x14ac:dyDescent="0.3">
      <c r="A151" s="3">
        <v>150</v>
      </c>
      <c r="B151" s="4">
        <v>40550</v>
      </c>
      <c r="C151" s="3">
        <v>1</v>
      </c>
      <c r="D151" s="3">
        <v>0</v>
      </c>
      <c r="E151" s="3">
        <v>1</v>
      </c>
      <c r="F151" s="3">
        <v>12</v>
      </c>
      <c r="G151" s="3" t="b">
        <v>0</v>
      </c>
      <c r="H151" s="3">
        <v>5</v>
      </c>
      <c r="I151" s="3">
        <v>2</v>
      </c>
      <c r="J151" s="3">
        <v>0.2</v>
      </c>
    </row>
    <row r="152" spans="1:10" x14ac:dyDescent="0.3">
      <c r="A152" s="3">
        <v>151</v>
      </c>
      <c r="B152" s="4">
        <v>40550</v>
      </c>
      <c r="C152" s="3">
        <v>1</v>
      </c>
      <c r="D152" s="3">
        <v>0</v>
      </c>
      <c r="E152" s="3">
        <v>1</v>
      </c>
      <c r="F152" s="3">
        <v>13</v>
      </c>
      <c r="G152" s="3" t="b">
        <v>0</v>
      </c>
      <c r="H152" s="3">
        <v>5</v>
      </c>
      <c r="I152" s="3">
        <v>2</v>
      </c>
      <c r="J152" s="3">
        <v>0.2</v>
      </c>
    </row>
    <row r="153" spans="1:10" x14ac:dyDescent="0.3">
      <c r="A153" s="3">
        <v>152</v>
      </c>
      <c r="B153" s="4">
        <v>40550</v>
      </c>
      <c r="C153" s="3">
        <v>1</v>
      </c>
      <c r="D153" s="3">
        <v>0</v>
      </c>
      <c r="E153" s="3">
        <v>1</v>
      </c>
      <c r="F153" s="3">
        <v>14</v>
      </c>
      <c r="G153" s="3" t="b">
        <v>0</v>
      </c>
      <c r="H153" s="3">
        <v>5</v>
      </c>
      <c r="I153" s="3">
        <v>2</v>
      </c>
      <c r="J153" s="3">
        <v>0.2</v>
      </c>
    </row>
    <row r="154" spans="1:10" x14ac:dyDescent="0.3">
      <c r="A154" s="3">
        <v>153</v>
      </c>
      <c r="B154" s="4">
        <v>40550</v>
      </c>
      <c r="C154" s="3">
        <v>1</v>
      </c>
      <c r="D154" s="3">
        <v>0</v>
      </c>
      <c r="E154" s="3">
        <v>1</v>
      </c>
      <c r="F154" s="3">
        <v>15</v>
      </c>
      <c r="G154" s="3" t="b">
        <v>0</v>
      </c>
      <c r="H154" s="3">
        <v>5</v>
      </c>
      <c r="I154" s="3">
        <v>2</v>
      </c>
      <c r="J154" s="3">
        <v>0.2</v>
      </c>
    </row>
    <row r="155" spans="1:10" x14ac:dyDescent="0.3">
      <c r="A155" s="3">
        <v>154</v>
      </c>
      <c r="B155" s="4">
        <v>40550</v>
      </c>
      <c r="C155" s="3">
        <v>1</v>
      </c>
      <c r="D155" s="3">
        <v>0</v>
      </c>
      <c r="E155" s="3">
        <v>1</v>
      </c>
      <c r="F155" s="3">
        <v>16</v>
      </c>
      <c r="G155" s="3" t="b">
        <v>0</v>
      </c>
      <c r="H155" s="3">
        <v>5</v>
      </c>
      <c r="I155" s="3">
        <v>2</v>
      </c>
      <c r="J155" s="3">
        <v>0.2</v>
      </c>
    </row>
    <row r="156" spans="1:10" x14ac:dyDescent="0.3">
      <c r="A156" s="3">
        <v>155</v>
      </c>
      <c r="B156" s="4">
        <v>40550</v>
      </c>
      <c r="C156" s="3">
        <v>1</v>
      </c>
      <c r="D156" s="3">
        <v>0</v>
      </c>
      <c r="E156" s="3">
        <v>1</v>
      </c>
      <c r="F156" s="3">
        <v>17</v>
      </c>
      <c r="G156" s="3" t="b">
        <v>0</v>
      </c>
      <c r="H156" s="3">
        <v>5</v>
      </c>
      <c r="I156" s="3">
        <v>2</v>
      </c>
      <c r="J156" s="3">
        <v>0.2</v>
      </c>
    </row>
    <row r="157" spans="1:10" x14ac:dyDescent="0.3">
      <c r="A157" s="3">
        <v>156</v>
      </c>
      <c r="B157" s="4">
        <v>40550</v>
      </c>
      <c r="C157" s="3">
        <v>1</v>
      </c>
      <c r="D157" s="3">
        <v>0</v>
      </c>
      <c r="E157" s="3">
        <v>1</v>
      </c>
      <c r="F157" s="3">
        <v>18</v>
      </c>
      <c r="G157" s="3" t="b">
        <v>0</v>
      </c>
      <c r="H157" s="3">
        <v>5</v>
      </c>
      <c r="I157" s="3">
        <v>1</v>
      </c>
      <c r="J157" s="3">
        <v>0.2</v>
      </c>
    </row>
    <row r="158" spans="1:10" x14ac:dyDescent="0.3">
      <c r="A158" s="3">
        <v>157</v>
      </c>
      <c r="B158" s="4">
        <v>40550</v>
      </c>
      <c r="C158" s="3">
        <v>1</v>
      </c>
      <c r="D158" s="3">
        <v>0</v>
      </c>
      <c r="E158" s="3">
        <v>1</v>
      </c>
      <c r="F158" s="3">
        <v>19</v>
      </c>
      <c r="G158" s="3" t="b">
        <v>0</v>
      </c>
      <c r="H158" s="3">
        <v>5</v>
      </c>
      <c r="I158" s="3">
        <v>1</v>
      </c>
      <c r="J158" s="3">
        <v>0.16</v>
      </c>
    </row>
    <row r="159" spans="1:10" x14ac:dyDescent="0.3">
      <c r="A159" s="3">
        <v>158</v>
      </c>
      <c r="B159" s="4">
        <v>40550</v>
      </c>
      <c r="C159" s="3">
        <v>1</v>
      </c>
      <c r="D159" s="3">
        <v>0</v>
      </c>
      <c r="E159" s="3">
        <v>1</v>
      </c>
      <c r="F159" s="3">
        <v>20</v>
      </c>
      <c r="G159" s="3" t="b">
        <v>0</v>
      </c>
      <c r="H159" s="3">
        <v>5</v>
      </c>
      <c r="I159" s="3">
        <v>1</v>
      </c>
      <c r="J159" s="3">
        <v>0.18</v>
      </c>
    </row>
    <row r="160" spans="1:10" x14ac:dyDescent="0.3">
      <c r="A160" s="3">
        <v>159</v>
      </c>
      <c r="B160" s="4">
        <v>40550</v>
      </c>
      <c r="C160" s="3">
        <v>1</v>
      </c>
      <c r="D160" s="3">
        <v>0</v>
      </c>
      <c r="E160" s="3">
        <v>1</v>
      </c>
      <c r="F160" s="3">
        <v>21</v>
      </c>
      <c r="G160" s="3" t="b">
        <v>0</v>
      </c>
      <c r="H160" s="3">
        <v>5</v>
      </c>
      <c r="I160" s="3">
        <v>1</v>
      </c>
      <c r="J160" s="3">
        <v>0.18</v>
      </c>
    </row>
    <row r="161" spans="1:10" x14ac:dyDescent="0.3">
      <c r="A161" s="3">
        <v>160</v>
      </c>
      <c r="B161" s="4">
        <v>40550</v>
      </c>
      <c r="C161" s="3">
        <v>1</v>
      </c>
      <c r="D161" s="3">
        <v>0</v>
      </c>
      <c r="E161" s="3">
        <v>1</v>
      </c>
      <c r="F161" s="3">
        <v>22</v>
      </c>
      <c r="G161" s="3" t="b">
        <v>0</v>
      </c>
      <c r="H161" s="3">
        <v>5</v>
      </c>
      <c r="I161" s="3">
        <v>2</v>
      </c>
      <c r="J161" s="3">
        <v>0.18</v>
      </c>
    </row>
    <row r="162" spans="1:10" x14ac:dyDescent="0.3">
      <c r="A162" s="3">
        <v>161</v>
      </c>
      <c r="B162" s="4">
        <v>40550</v>
      </c>
      <c r="C162" s="3">
        <v>1</v>
      </c>
      <c r="D162" s="3">
        <v>0</v>
      </c>
      <c r="E162" s="3">
        <v>1</v>
      </c>
      <c r="F162" s="3">
        <v>23</v>
      </c>
      <c r="G162" s="3" t="b">
        <v>0</v>
      </c>
      <c r="H162" s="3">
        <v>5</v>
      </c>
      <c r="I162" s="3">
        <v>2</v>
      </c>
      <c r="J162" s="3">
        <v>0.18</v>
      </c>
    </row>
    <row r="163" spans="1:10" x14ac:dyDescent="0.3">
      <c r="A163" s="3">
        <v>162</v>
      </c>
      <c r="B163" s="4">
        <v>40551</v>
      </c>
      <c r="C163" s="3">
        <v>1</v>
      </c>
      <c r="D163" s="3">
        <v>0</v>
      </c>
      <c r="E163" s="3">
        <v>1</v>
      </c>
      <c r="F163" s="3">
        <v>0</v>
      </c>
      <c r="G163" s="3" t="b">
        <v>0</v>
      </c>
      <c r="H163" s="3">
        <v>6</v>
      </c>
      <c r="I163" s="3">
        <v>2</v>
      </c>
      <c r="J163" s="3">
        <v>0.18</v>
      </c>
    </row>
    <row r="164" spans="1:10" x14ac:dyDescent="0.3">
      <c r="A164" s="3">
        <v>163</v>
      </c>
      <c r="B164" s="4">
        <v>40551</v>
      </c>
      <c r="C164" s="3">
        <v>1</v>
      </c>
      <c r="D164" s="3">
        <v>0</v>
      </c>
      <c r="E164" s="3">
        <v>1</v>
      </c>
      <c r="F164" s="3">
        <v>1</v>
      </c>
      <c r="G164" s="3" t="b">
        <v>0</v>
      </c>
      <c r="H164" s="3">
        <v>6</v>
      </c>
      <c r="I164" s="3">
        <v>2</v>
      </c>
      <c r="J164" s="3">
        <v>0.18</v>
      </c>
    </row>
    <row r="165" spans="1:10" x14ac:dyDescent="0.3">
      <c r="A165" s="3">
        <v>164</v>
      </c>
      <c r="B165" s="4">
        <v>40551</v>
      </c>
      <c r="C165" s="3">
        <v>1</v>
      </c>
      <c r="D165" s="3">
        <v>0</v>
      </c>
      <c r="E165" s="3">
        <v>1</v>
      </c>
      <c r="F165" s="3">
        <v>2</v>
      </c>
      <c r="G165" s="3" t="b">
        <v>0</v>
      </c>
      <c r="H165" s="3">
        <v>6</v>
      </c>
      <c r="I165" s="3">
        <v>2</v>
      </c>
      <c r="J165" s="3">
        <v>0.18</v>
      </c>
    </row>
    <row r="166" spans="1:10" x14ac:dyDescent="0.3">
      <c r="A166" s="3">
        <v>165</v>
      </c>
      <c r="B166" s="4">
        <v>40551</v>
      </c>
      <c r="C166" s="3">
        <v>1</v>
      </c>
      <c r="D166" s="3">
        <v>0</v>
      </c>
      <c r="E166" s="3">
        <v>1</v>
      </c>
      <c r="F166" s="3">
        <v>3</v>
      </c>
      <c r="G166" s="3" t="b">
        <v>0</v>
      </c>
      <c r="H166" s="3">
        <v>6</v>
      </c>
      <c r="I166" s="3">
        <v>3</v>
      </c>
      <c r="J166" s="3">
        <v>0.18</v>
      </c>
    </row>
    <row r="167" spans="1:10" x14ac:dyDescent="0.3">
      <c r="A167" s="3">
        <v>166</v>
      </c>
      <c r="B167" s="4">
        <v>40551</v>
      </c>
      <c r="C167" s="3">
        <v>1</v>
      </c>
      <c r="D167" s="3">
        <v>0</v>
      </c>
      <c r="E167" s="3">
        <v>1</v>
      </c>
      <c r="F167" s="3">
        <v>4</v>
      </c>
      <c r="G167" s="3" t="b">
        <v>0</v>
      </c>
      <c r="H167" s="3">
        <v>6</v>
      </c>
      <c r="I167" s="3">
        <v>3</v>
      </c>
      <c r="J167" s="3">
        <v>0.18</v>
      </c>
    </row>
    <row r="168" spans="1:10" x14ac:dyDescent="0.3">
      <c r="A168" s="3">
        <v>167</v>
      </c>
      <c r="B168" s="4">
        <v>40551</v>
      </c>
      <c r="C168" s="3">
        <v>1</v>
      </c>
      <c r="D168" s="3">
        <v>0</v>
      </c>
      <c r="E168" s="3">
        <v>1</v>
      </c>
      <c r="F168" s="3">
        <v>5</v>
      </c>
      <c r="G168" s="3" t="b">
        <v>0</v>
      </c>
      <c r="H168" s="3">
        <v>6</v>
      </c>
      <c r="I168" s="3">
        <v>2</v>
      </c>
      <c r="J168" s="3">
        <v>0.16</v>
      </c>
    </row>
    <row r="169" spans="1:10" x14ac:dyDescent="0.3">
      <c r="A169" s="3">
        <v>168</v>
      </c>
      <c r="B169" s="4">
        <v>40551</v>
      </c>
      <c r="C169" s="3">
        <v>1</v>
      </c>
      <c r="D169" s="3">
        <v>0</v>
      </c>
      <c r="E169" s="3">
        <v>1</v>
      </c>
      <c r="F169" s="3">
        <v>6</v>
      </c>
      <c r="G169" s="3" t="b">
        <v>0</v>
      </c>
      <c r="H169" s="3">
        <v>6</v>
      </c>
      <c r="I169" s="3">
        <v>2</v>
      </c>
      <c r="J169" s="3">
        <v>0.16</v>
      </c>
    </row>
    <row r="170" spans="1:10" x14ac:dyDescent="0.3">
      <c r="A170" s="3">
        <v>169</v>
      </c>
      <c r="B170" s="4">
        <v>40551</v>
      </c>
      <c r="C170" s="3">
        <v>1</v>
      </c>
      <c r="D170" s="3">
        <v>0</v>
      </c>
      <c r="E170" s="3">
        <v>1</v>
      </c>
      <c r="F170" s="3">
        <v>7</v>
      </c>
      <c r="G170" s="3" t="b">
        <v>0</v>
      </c>
      <c r="H170" s="3">
        <v>6</v>
      </c>
      <c r="I170" s="3">
        <v>2</v>
      </c>
      <c r="J170" s="3">
        <v>0.16</v>
      </c>
    </row>
    <row r="171" spans="1:10" x14ac:dyDescent="0.3">
      <c r="A171" s="3">
        <v>170</v>
      </c>
      <c r="B171" s="4">
        <v>40551</v>
      </c>
      <c r="C171" s="3">
        <v>1</v>
      </c>
      <c r="D171" s="3">
        <v>0</v>
      </c>
      <c r="E171" s="3">
        <v>1</v>
      </c>
      <c r="F171" s="3">
        <v>8</v>
      </c>
      <c r="G171" s="3" t="b">
        <v>0</v>
      </c>
      <c r="H171" s="3">
        <v>6</v>
      </c>
      <c r="I171" s="3">
        <v>3</v>
      </c>
      <c r="J171" s="3">
        <v>0.16</v>
      </c>
    </row>
    <row r="172" spans="1:10" x14ac:dyDescent="0.3">
      <c r="A172" s="3">
        <v>171</v>
      </c>
      <c r="B172" s="4">
        <v>40551</v>
      </c>
      <c r="C172" s="3">
        <v>1</v>
      </c>
      <c r="D172" s="3">
        <v>0</v>
      </c>
      <c r="E172" s="3">
        <v>1</v>
      </c>
      <c r="F172" s="3">
        <v>9</v>
      </c>
      <c r="G172" s="3" t="b">
        <v>0</v>
      </c>
      <c r="H172" s="3">
        <v>6</v>
      </c>
      <c r="I172" s="3">
        <v>3</v>
      </c>
      <c r="J172" s="3">
        <v>0.16</v>
      </c>
    </row>
    <row r="173" spans="1:10" x14ac:dyDescent="0.3">
      <c r="A173" s="3">
        <v>172</v>
      </c>
      <c r="B173" s="4">
        <v>40551</v>
      </c>
      <c r="C173" s="3">
        <v>1</v>
      </c>
      <c r="D173" s="3">
        <v>0</v>
      </c>
      <c r="E173" s="3">
        <v>1</v>
      </c>
      <c r="F173" s="3">
        <v>10</v>
      </c>
      <c r="G173" s="3" t="b">
        <v>0</v>
      </c>
      <c r="H173" s="3">
        <v>6</v>
      </c>
      <c r="I173" s="3">
        <v>2</v>
      </c>
      <c r="J173" s="3">
        <v>0.18</v>
      </c>
    </row>
    <row r="174" spans="1:10" x14ac:dyDescent="0.3">
      <c r="A174" s="3">
        <v>173</v>
      </c>
      <c r="B174" s="4">
        <v>40551</v>
      </c>
      <c r="C174" s="3">
        <v>1</v>
      </c>
      <c r="D174" s="3">
        <v>0</v>
      </c>
      <c r="E174" s="3">
        <v>1</v>
      </c>
      <c r="F174" s="3">
        <v>11</v>
      </c>
      <c r="G174" s="3" t="b">
        <v>0</v>
      </c>
      <c r="H174" s="3">
        <v>6</v>
      </c>
      <c r="I174" s="3">
        <v>2</v>
      </c>
      <c r="J174" s="3">
        <v>0.2</v>
      </c>
    </row>
    <row r="175" spans="1:10" x14ac:dyDescent="0.3">
      <c r="A175" s="3">
        <v>174</v>
      </c>
      <c r="B175" s="4">
        <v>40551</v>
      </c>
      <c r="C175" s="3">
        <v>1</v>
      </c>
      <c r="D175" s="3">
        <v>0</v>
      </c>
      <c r="E175" s="3">
        <v>1</v>
      </c>
      <c r="F175" s="3">
        <v>12</v>
      </c>
      <c r="G175" s="3" t="b">
        <v>0</v>
      </c>
      <c r="H175" s="3">
        <v>6</v>
      </c>
      <c r="I175" s="3">
        <v>2</v>
      </c>
      <c r="J175" s="3">
        <v>0.2</v>
      </c>
    </row>
    <row r="176" spans="1:10" x14ac:dyDescent="0.3">
      <c r="A176" s="3">
        <v>175</v>
      </c>
      <c r="B176" s="4">
        <v>40551</v>
      </c>
      <c r="C176" s="3">
        <v>1</v>
      </c>
      <c r="D176" s="3">
        <v>0</v>
      </c>
      <c r="E176" s="3">
        <v>1</v>
      </c>
      <c r="F176" s="3">
        <v>13</v>
      </c>
      <c r="G176" s="3" t="b">
        <v>0</v>
      </c>
      <c r="H176" s="3">
        <v>6</v>
      </c>
      <c r="I176" s="3">
        <v>1</v>
      </c>
      <c r="J176" s="3">
        <v>0.2</v>
      </c>
    </row>
    <row r="177" spans="1:10" x14ac:dyDescent="0.3">
      <c r="A177" s="3">
        <v>176</v>
      </c>
      <c r="B177" s="4">
        <v>40551</v>
      </c>
      <c r="C177" s="3">
        <v>1</v>
      </c>
      <c r="D177" s="3">
        <v>0</v>
      </c>
      <c r="E177" s="3">
        <v>1</v>
      </c>
      <c r="F177" s="3">
        <v>14</v>
      </c>
      <c r="G177" s="3" t="b">
        <v>0</v>
      </c>
      <c r="H177" s="3">
        <v>6</v>
      </c>
      <c r="I177" s="3">
        <v>1</v>
      </c>
      <c r="J177" s="3">
        <v>0.2</v>
      </c>
    </row>
    <row r="178" spans="1:10" x14ac:dyDescent="0.3">
      <c r="A178" s="3">
        <v>177</v>
      </c>
      <c r="B178" s="4">
        <v>40551</v>
      </c>
      <c r="C178" s="3">
        <v>1</v>
      </c>
      <c r="D178" s="3">
        <v>0</v>
      </c>
      <c r="E178" s="3">
        <v>1</v>
      </c>
      <c r="F178" s="3">
        <v>15</v>
      </c>
      <c r="G178" s="3" t="b">
        <v>0</v>
      </c>
      <c r="H178" s="3">
        <v>6</v>
      </c>
      <c r="I178" s="3">
        <v>1</v>
      </c>
      <c r="J178" s="3">
        <v>0.2</v>
      </c>
    </row>
    <row r="179" spans="1:10" x14ac:dyDescent="0.3">
      <c r="A179" s="3">
        <v>178</v>
      </c>
      <c r="B179" s="4">
        <v>40551</v>
      </c>
      <c r="C179" s="3">
        <v>1</v>
      </c>
      <c r="D179" s="3">
        <v>0</v>
      </c>
      <c r="E179" s="3">
        <v>1</v>
      </c>
      <c r="F179" s="3">
        <v>16</v>
      </c>
      <c r="G179" s="3" t="b">
        <v>0</v>
      </c>
      <c r="H179" s="3">
        <v>6</v>
      </c>
      <c r="I179" s="3">
        <v>1</v>
      </c>
      <c r="J179" s="3">
        <v>0.18</v>
      </c>
    </row>
    <row r="180" spans="1:10" x14ac:dyDescent="0.3">
      <c r="A180" s="3">
        <v>179</v>
      </c>
      <c r="B180" s="4">
        <v>40551</v>
      </c>
      <c r="C180" s="3">
        <v>1</v>
      </c>
      <c r="D180" s="3">
        <v>0</v>
      </c>
      <c r="E180" s="3">
        <v>1</v>
      </c>
      <c r="F180" s="3">
        <v>17</v>
      </c>
      <c r="G180" s="3" t="b">
        <v>0</v>
      </c>
      <c r="H180" s="3">
        <v>6</v>
      </c>
      <c r="I180" s="3">
        <v>1</v>
      </c>
      <c r="J180" s="3">
        <v>0.16</v>
      </c>
    </row>
    <row r="181" spans="1:10" x14ac:dyDescent="0.3">
      <c r="A181" s="3">
        <v>180</v>
      </c>
      <c r="B181" s="4">
        <v>40551</v>
      </c>
      <c r="C181" s="3">
        <v>1</v>
      </c>
      <c r="D181" s="3">
        <v>0</v>
      </c>
      <c r="E181" s="3">
        <v>1</v>
      </c>
      <c r="F181" s="3">
        <v>18</v>
      </c>
      <c r="G181" s="3" t="b">
        <v>0</v>
      </c>
      <c r="H181" s="3">
        <v>6</v>
      </c>
      <c r="I181" s="3">
        <v>1</v>
      </c>
      <c r="J181" s="3">
        <v>0.14000000000000001</v>
      </c>
    </row>
    <row r="182" spans="1:10" x14ac:dyDescent="0.3">
      <c r="A182" s="3">
        <v>181</v>
      </c>
      <c r="B182" s="4">
        <v>40551</v>
      </c>
      <c r="C182" s="3">
        <v>1</v>
      </c>
      <c r="D182" s="3">
        <v>0</v>
      </c>
      <c r="E182" s="3">
        <v>1</v>
      </c>
      <c r="F182" s="3">
        <v>19</v>
      </c>
      <c r="G182" s="3" t="b">
        <v>0</v>
      </c>
      <c r="H182" s="3">
        <v>6</v>
      </c>
      <c r="I182" s="3">
        <v>1</v>
      </c>
      <c r="J182" s="3">
        <v>0.14000000000000001</v>
      </c>
    </row>
    <row r="183" spans="1:10" x14ac:dyDescent="0.3">
      <c r="A183" s="3">
        <v>182</v>
      </c>
      <c r="B183" s="4">
        <v>40551</v>
      </c>
      <c r="C183" s="3">
        <v>1</v>
      </c>
      <c r="D183" s="3">
        <v>0</v>
      </c>
      <c r="E183" s="3">
        <v>1</v>
      </c>
      <c r="F183" s="3">
        <v>20</v>
      </c>
      <c r="G183" s="3" t="b">
        <v>0</v>
      </c>
      <c r="H183" s="3">
        <v>6</v>
      </c>
      <c r="I183" s="3">
        <v>1</v>
      </c>
      <c r="J183" s="3">
        <v>0.12</v>
      </c>
    </row>
    <row r="184" spans="1:10" x14ac:dyDescent="0.3">
      <c r="A184" s="3">
        <v>183</v>
      </c>
      <c r="B184" s="4">
        <v>40551</v>
      </c>
      <c r="C184" s="3">
        <v>1</v>
      </c>
      <c r="D184" s="3">
        <v>0</v>
      </c>
      <c r="E184" s="3">
        <v>1</v>
      </c>
      <c r="F184" s="3">
        <v>21</v>
      </c>
      <c r="G184" s="3" t="b">
        <v>0</v>
      </c>
      <c r="H184" s="3">
        <v>6</v>
      </c>
      <c r="I184" s="3">
        <v>1</v>
      </c>
      <c r="J184" s="3">
        <v>0.12</v>
      </c>
    </row>
    <row r="185" spans="1:10" x14ac:dyDescent="0.3">
      <c r="A185" s="3">
        <v>184</v>
      </c>
      <c r="B185" s="4">
        <v>40551</v>
      </c>
      <c r="C185" s="3">
        <v>1</v>
      </c>
      <c r="D185" s="3">
        <v>0</v>
      </c>
      <c r="E185" s="3">
        <v>1</v>
      </c>
      <c r="F185" s="3">
        <v>22</v>
      </c>
      <c r="G185" s="3" t="b">
        <v>0</v>
      </c>
      <c r="H185" s="3">
        <v>6</v>
      </c>
      <c r="I185" s="3">
        <v>1</v>
      </c>
      <c r="J185" s="3">
        <v>0.12</v>
      </c>
    </row>
    <row r="186" spans="1:10" x14ac:dyDescent="0.3">
      <c r="A186" s="3">
        <v>185</v>
      </c>
      <c r="B186" s="4">
        <v>40551</v>
      </c>
      <c r="C186" s="3">
        <v>1</v>
      </c>
      <c r="D186" s="3">
        <v>0</v>
      </c>
      <c r="E186" s="3">
        <v>1</v>
      </c>
      <c r="F186" s="3">
        <v>23</v>
      </c>
      <c r="G186" s="3" t="b">
        <v>0</v>
      </c>
      <c r="H186" s="3">
        <v>6</v>
      </c>
      <c r="I186" s="3">
        <v>1</v>
      </c>
      <c r="J186" s="3">
        <v>0.1</v>
      </c>
    </row>
    <row r="187" spans="1:10" x14ac:dyDescent="0.3">
      <c r="A187" s="3">
        <v>186</v>
      </c>
      <c r="B187" s="4">
        <v>40552</v>
      </c>
      <c r="C187" s="3">
        <v>1</v>
      </c>
      <c r="D187" s="3">
        <v>0</v>
      </c>
      <c r="E187" s="3">
        <v>1</v>
      </c>
      <c r="F187" s="3">
        <v>0</v>
      </c>
      <c r="G187" s="3" t="b">
        <v>0</v>
      </c>
      <c r="H187" s="3">
        <v>0</v>
      </c>
      <c r="I187" s="3">
        <v>1</v>
      </c>
      <c r="J187" s="3">
        <v>0.1</v>
      </c>
    </row>
    <row r="188" spans="1:10" x14ac:dyDescent="0.3">
      <c r="A188" s="3">
        <v>187</v>
      </c>
      <c r="B188" s="4">
        <v>40552</v>
      </c>
      <c r="C188" s="3">
        <v>1</v>
      </c>
      <c r="D188" s="3">
        <v>0</v>
      </c>
      <c r="E188" s="3">
        <v>1</v>
      </c>
      <c r="F188" s="3">
        <v>1</v>
      </c>
      <c r="G188" s="3" t="b">
        <v>0</v>
      </c>
      <c r="H188" s="3">
        <v>0</v>
      </c>
      <c r="I188" s="3">
        <v>1</v>
      </c>
      <c r="J188" s="3">
        <v>0.1</v>
      </c>
    </row>
    <row r="189" spans="1:10" x14ac:dyDescent="0.3">
      <c r="A189" s="3">
        <v>188</v>
      </c>
      <c r="B189" s="4">
        <v>40552</v>
      </c>
      <c r="C189" s="3">
        <v>1</v>
      </c>
      <c r="D189" s="3">
        <v>0</v>
      </c>
      <c r="E189" s="3">
        <v>1</v>
      </c>
      <c r="F189" s="3">
        <v>2</v>
      </c>
      <c r="G189" s="3" t="b">
        <v>0</v>
      </c>
      <c r="H189" s="3">
        <v>0</v>
      </c>
      <c r="I189" s="3">
        <v>1</v>
      </c>
      <c r="J189" s="3">
        <v>0.1</v>
      </c>
    </row>
    <row r="190" spans="1:10" x14ac:dyDescent="0.3">
      <c r="A190" s="3">
        <v>189</v>
      </c>
      <c r="B190" s="4">
        <v>40552</v>
      </c>
      <c r="C190" s="3">
        <v>1</v>
      </c>
      <c r="D190" s="3">
        <v>0</v>
      </c>
      <c r="E190" s="3">
        <v>1</v>
      </c>
      <c r="F190" s="3">
        <v>3</v>
      </c>
      <c r="G190" s="3" t="b">
        <v>0</v>
      </c>
      <c r="H190" s="3">
        <v>0</v>
      </c>
      <c r="I190" s="3">
        <v>1</v>
      </c>
      <c r="J190" s="3">
        <v>0.1</v>
      </c>
    </row>
    <row r="191" spans="1:10" x14ac:dyDescent="0.3">
      <c r="A191" s="3">
        <v>190</v>
      </c>
      <c r="B191" s="4">
        <v>40552</v>
      </c>
      <c r="C191" s="3">
        <v>1</v>
      </c>
      <c r="D191" s="3">
        <v>0</v>
      </c>
      <c r="E191" s="3">
        <v>1</v>
      </c>
      <c r="F191" s="3">
        <v>4</v>
      </c>
      <c r="G191" s="3" t="b">
        <v>0</v>
      </c>
      <c r="H191" s="3">
        <v>0</v>
      </c>
      <c r="I191" s="3">
        <v>1</v>
      </c>
      <c r="J191" s="3">
        <v>0.08</v>
      </c>
    </row>
    <row r="192" spans="1:10" x14ac:dyDescent="0.3">
      <c r="A192" s="3">
        <v>191</v>
      </c>
      <c r="B192" s="4">
        <v>40552</v>
      </c>
      <c r="C192" s="3">
        <v>1</v>
      </c>
      <c r="D192" s="3">
        <v>0</v>
      </c>
      <c r="E192" s="3">
        <v>1</v>
      </c>
      <c r="F192" s="3">
        <v>5</v>
      </c>
      <c r="G192" s="3" t="b">
        <v>0</v>
      </c>
      <c r="H192" s="3">
        <v>0</v>
      </c>
      <c r="I192" s="3">
        <v>1</v>
      </c>
      <c r="J192" s="3">
        <v>0.08</v>
      </c>
    </row>
    <row r="193" spans="1:10" x14ac:dyDescent="0.3">
      <c r="A193" s="3">
        <v>192</v>
      </c>
      <c r="B193" s="4">
        <v>40552</v>
      </c>
      <c r="C193" s="3">
        <v>1</v>
      </c>
      <c r="D193" s="3">
        <v>0</v>
      </c>
      <c r="E193" s="3">
        <v>1</v>
      </c>
      <c r="F193" s="3">
        <v>6</v>
      </c>
      <c r="G193" s="3" t="b">
        <v>0</v>
      </c>
      <c r="H193" s="3">
        <v>0</v>
      </c>
      <c r="I193" s="3">
        <v>1</v>
      </c>
      <c r="J193" s="3">
        <v>0.1</v>
      </c>
    </row>
    <row r="194" spans="1:10" x14ac:dyDescent="0.3">
      <c r="A194" s="3">
        <v>193</v>
      </c>
      <c r="B194" s="4">
        <v>40552</v>
      </c>
      <c r="C194" s="3">
        <v>1</v>
      </c>
      <c r="D194" s="3">
        <v>0</v>
      </c>
      <c r="E194" s="3">
        <v>1</v>
      </c>
      <c r="F194" s="3">
        <v>7</v>
      </c>
      <c r="G194" s="3" t="b">
        <v>0</v>
      </c>
      <c r="H194" s="3">
        <v>0</v>
      </c>
      <c r="I194" s="3">
        <v>1</v>
      </c>
      <c r="J194" s="3">
        <v>0.08</v>
      </c>
    </row>
    <row r="195" spans="1:10" x14ac:dyDescent="0.3">
      <c r="A195" s="3">
        <v>194</v>
      </c>
      <c r="B195" s="4">
        <v>40552</v>
      </c>
      <c r="C195" s="3">
        <v>1</v>
      </c>
      <c r="D195" s="3">
        <v>0</v>
      </c>
      <c r="E195" s="3">
        <v>1</v>
      </c>
      <c r="F195" s="3">
        <v>8</v>
      </c>
      <c r="G195" s="3" t="b">
        <v>0</v>
      </c>
      <c r="H195" s="3">
        <v>0</v>
      </c>
      <c r="I195" s="3">
        <v>1</v>
      </c>
      <c r="J195" s="3">
        <v>0.1</v>
      </c>
    </row>
    <row r="196" spans="1:10" x14ac:dyDescent="0.3">
      <c r="A196" s="3">
        <v>195</v>
      </c>
      <c r="B196" s="4">
        <v>40552</v>
      </c>
      <c r="C196" s="3">
        <v>1</v>
      </c>
      <c r="D196" s="3">
        <v>0</v>
      </c>
      <c r="E196" s="3">
        <v>1</v>
      </c>
      <c r="F196" s="3">
        <v>9</v>
      </c>
      <c r="G196" s="3" t="b">
        <v>0</v>
      </c>
      <c r="H196" s="3">
        <v>0</v>
      </c>
      <c r="I196" s="3">
        <v>1</v>
      </c>
      <c r="J196" s="3">
        <v>0.12</v>
      </c>
    </row>
    <row r="197" spans="1:10" x14ac:dyDescent="0.3">
      <c r="A197" s="3">
        <v>196</v>
      </c>
      <c r="B197" s="4">
        <v>40552</v>
      </c>
      <c r="C197" s="3">
        <v>1</v>
      </c>
      <c r="D197" s="3">
        <v>0</v>
      </c>
      <c r="E197" s="3">
        <v>1</v>
      </c>
      <c r="F197" s="3">
        <v>10</v>
      </c>
      <c r="G197" s="3" t="b">
        <v>0</v>
      </c>
      <c r="H197" s="3">
        <v>0</v>
      </c>
      <c r="I197" s="3">
        <v>1</v>
      </c>
      <c r="J197" s="3">
        <v>0.14000000000000001</v>
      </c>
    </row>
    <row r="198" spans="1:10" x14ac:dyDescent="0.3">
      <c r="A198" s="3">
        <v>197</v>
      </c>
      <c r="B198" s="4">
        <v>40552</v>
      </c>
      <c r="C198" s="3">
        <v>1</v>
      </c>
      <c r="D198" s="3">
        <v>0</v>
      </c>
      <c r="E198" s="3">
        <v>1</v>
      </c>
      <c r="F198" s="3">
        <v>11</v>
      </c>
      <c r="G198" s="3" t="b">
        <v>0</v>
      </c>
      <c r="H198" s="3">
        <v>0</v>
      </c>
      <c r="I198" s="3">
        <v>1</v>
      </c>
      <c r="J198" s="3">
        <v>0.16</v>
      </c>
    </row>
    <row r="199" spans="1:10" x14ac:dyDescent="0.3">
      <c r="A199" s="3">
        <v>198</v>
      </c>
      <c r="B199" s="4">
        <v>40552</v>
      </c>
      <c r="C199" s="3">
        <v>1</v>
      </c>
      <c r="D199" s="3">
        <v>0</v>
      </c>
      <c r="E199" s="3">
        <v>1</v>
      </c>
      <c r="F199" s="3">
        <v>12</v>
      </c>
      <c r="G199" s="3" t="b">
        <v>0</v>
      </c>
      <c r="H199" s="3">
        <v>0</v>
      </c>
      <c r="I199" s="3">
        <v>1</v>
      </c>
      <c r="J199" s="3">
        <v>0.18</v>
      </c>
    </row>
    <row r="200" spans="1:10" x14ac:dyDescent="0.3">
      <c r="A200" s="3">
        <v>199</v>
      </c>
      <c r="B200" s="4">
        <v>40552</v>
      </c>
      <c r="C200" s="3">
        <v>1</v>
      </c>
      <c r="D200" s="3">
        <v>0</v>
      </c>
      <c r="E200" s="3">
        <v>1</v>
      </c>
      <c r="F200" s="3">
        <v>13</v>
      </c>
      <c r="G200" s="3" t="b">
        <v>0</v>
      </c>
      <c r="H200" s="3">
        <v>0</v>
      </c>
      <c r="I200" s="3">
        <v>1</v>
      </c>
      <c r="J200" s="3">
        <v>0.2</v>
      </c>
    </row>
    <row r="201" spans="1:10" x14ac:dyDescent="0.3">
      <c r="A201" s="3">
        <v>200</v>
      </c>
      <c r="B201" s="4">
        <v>40552</v>
      </c>
      <c r="C201" s="3">
        <v>1</v>
      </c>
      <c r="D201" s="3">
        <v>0</v>
      </c>
      <c r="E201" s="3">
        <v>1</v>
      </c>
      <c r="F201" s="3">
        <v>14</v>
      </c>
      <c r="G201" s="3" t="b">
        <v>0</v>
      </c>
      <c r="H201" s="3">
        <v>0</v>
      </c>
      <c r="I201" s="3">
        <v>1</v>
      </c>
      <c r="J201" s="3">
        <v>0.22</v>
      </c>
    </row>
    <row r="202" spans="1:10" x14ac:dyDescent="0.3">
      <c r="A202" s="3">
        <v>201</v>
      </c>
      <c r="B202" s="4">
        <v>40552</v>
      </c>
      <c r="C202" s="3">
        <v>1</v>
      </c>
      <c r="D202" s="3">
        <v>0</v>
      </c>
      <c r="E202" s="3">
        <v>1</v>
      </c>
      <c r="F202" s="3">
        <v>15</v>
      </c>
      <c r="G202" s="3" t="b">
        <v>0</v>
      </c>
      <c r="H202" s="3">
        <v>0</v>
      </c>
      <c r="I202" s="3">
        <v>1</v>
      </c>
      <c r="J202" s="3">
        <v>0.22</v>
      </c>
    </row>
    <row r="203" spans="1:10" x14ac:dyDescent="0.3">
      <c r="A203" s="3">
        <v>202</v>
      </c>
      <c r="B203" s="4">
        <v>40552</v>
      </c>
      <c r="C203" s="3">
        <v>1</v>
      </c>
      <c r="D203" s="3">
        <v>0</v>
      </c>
      <c r="E203" s="3">
        <v>1</v>
      </c>
      <c r="F203" s="3">
        <v>16</v>
      </c>
      <c r="G203" s="3" t="b">
        <v>0</v>
      </c>
      <c r="H203" s="3">
        <v>0</v>
      </c>
      <c r="I203" s="3">
        <v>1</v>
      </c>
      <c r="J203" s="3">
        <v>0.2</v>
      </c>
    </row>
    <row r="204" spans="1:10" x14ac:dyDescent="0.3">
      <c r="A204" s="3">
        <v>203</v>
      </c>
      <c r="B204" s="4">
        <v>40552</v>
      </c>
      <c r="C204" s="3">
        <v>1</v>
      </c>
      <c r="D204" s="3">
        <v>0</v>
      </c>
      <c r="E204" s="3">
        <v>1</v>
      </c>
      <c r="F204" s="3">
        <v>17</v>
      </c>
      <c r="G204" s="3" t="b">
        <v>0</v>
      </c>
      <c r="H204" s="3">
        <v>0</v>
      </c>
      <c r="I204" s="3">
        <v>1</v>
      </c>
      <c r="J204" s="3">
        <v>0.18</v>
      </c>
    </row>
    <row r="205" spans="1:10" x14ac:dyDescent="0.3">
      <c r="A205" s="3">
        <v>204</v>
      </c>
      <c r="B205" s="4">
        <v>40552</v>
      </c>
      <c r="C205" s="3">
        <v>1</v>
      </c>
      <c r="D205" s="3">
        <v>0</v>
      </c>
      <c r="E205" s="3">
        <v>1</v>
      </c>
      <c r="F205" s="3">
        <v>18</v>
      </c>
      <c r="G205" s="3" t="b">
        <v>0</v>
      </c>
      <c r="H205" s="3">
        <v>0</v>
      </c>
      <c r="I205" s="3">
        <v>1</v>
      </c>
      <c r="J205" s="3">
        <v>0.16</v>
      </c>
    </row>
    <row r="206" spans="1:10" x14ac:dyDescent="0.3">
      <c r="A206" s="3">
        <v>205</v>
      </c>
      <c r="B206" s="4">
        <v>40552</v>
      </c>
      <c r="C206" s="3">
        <v>1</v>
      </c>
      <c r="D206" s="3">
        <v>0</v>
      </c>
      <c r="E206" s="3">
        <v>1</v>
      </c>
      <c r="F206" s="3">
        <v>19</v>
      </c>
      <c r="G206" s="3" t="b">
        <v>0</v>
      </c>
      <c r="H206" s="3">
        <v>0</v>
      </c>
      <c r="I206" s="3">
        <v>1</v>
      </c>
      <c r="J206" s="3">
        <v>0.16</v>
      </c>
    </row>
    <row r="207" spans="1:10" x14ac:dyDescent="0.3">
      <c r="A207" s="3">
        <v>206</v>
      </c>
      <c r="B207" s="4">
        <v>40552</v>
      </c>
      <c r="C207" s="3">
        <v>1</v>
      </c>
      <c r="D207" s="3">
        <v>0</v>
      </c>
      <c r="E207" s="3">
        <v>1</v>
      </c>
      <c r="F207" s="3">
        <v>20</v>
      </c>
      <c r="G207" s="3" t="b">
        <v>0</v>
      </c>
      <c r="H207" s="3">
        <v>0</v>
      </c>
      <c r="I207" s="3">
        <v>1</v>
      </c>
      <c r="J207" s="3">
        <v>0.14000000000000001</v>
      </c>
    </row>
    <row r="208" spans="1:10" x14ac:dyDescent="0.3">
      <c r="A208" s="3">
        <v>207</v>
      </c>
      <c r="B208" s="4">
        <v>40552</v>
      </c>
      <c r="C208" s="3">
        <v>1</v>
      </c>
      <c r="D208" s="3">
        <v>0</v>
      </c>
      <c r="E208" s="3">
        <v>1</v>
      </c>
      <c r="F208" s="3">
        <v>21</v>
      </c>
      <c r="G208" s="3" t="b">
        <v>0</v>
      </c>
      <c r="H208" s="3">
        <v>0</v>
      </c>
      <c r="I208" s="3">
        <v>1</v>
      </c>
      <c r="J208" s="3">
        <v>0.14000000000000001</v>
      </c>
    </row>
    <row r="209" spans="1:10" x14ac:dyDescent="0.3">
      <c r="A209" s="3">
        <v>208</v>
      </c>
      <c r="B209" s="4">
        <v>40552</v>
      </c>
      <c r="C209" s="3">
        <v>1</v>
      </c>
      <c r="D209" s="3">
        <v>0</v>
      </c>
      <c r="E209" s="3">
        <v>1</v>
      </c>
      <c r="F209" s="3">
        <v>22</v>
      </c>
      <c r="G209" s="3" t="b">
        <v>0</v>
      </c>
      <c r="H209" s="3">
        <v>0</v>
      </c>
      <c r="I209" s="3">
        <v>1</v>
      </c>
      <c r="J209" s="3">
        <v>0.14000000000000001</v>
      </c>
    </row>
    <row r="210" spans="1:10" x14ac:dyDescent="0.3">
      <c r="A210" s="3">
        <v>209</v>
      </c>
      <c r="B210" s="4">
        <v>40552</v>
      </c>
      <c r="C210" s="3">
        <v>1</v>
      </c>
      <c r="D210" s="3">
        <v>0</v>
      </c>
      <c r="E210" s="3">
        <v>1</v>
      </c>
      <c r="F210" s="3">
        <v>23</v>
      </c>
      <c r="G210" s="3" t="b">
        <v>0</v>
      </c>
      <c r="H210" s="3">
        <v>0</v>
      </c>
      <c r="I210" s="3">
        <v>1</v>
      </c>
      <c r="J210" s="3">
        <v>0.12</v>
      </c>
    </row>
    <row r="211" spans="1:10" x14ac:dyDescent="0.3">
      <c r="A211" s="3">
        <v>210</v>
      </c>
      <c r="B211" s="4">
        <v>40553</v>
      </c>
      <c r="C211" s="3">
        <v>1</v>
      </c>
      <c r="D211" s="3">
        <v>0</v>
      </c>
      <c r="E211" s="3">
        <v>1</v>
      </c>
      <c r="F211" s="3">
        <v>0</v>
      </c>
      <c r="G211" s="3" t="b">
        <v>0</v>
      </c>
      <c r="H211" s="3">
        <v>1</v>
      </c>
      <c r="I211" s="3">
        <v>1</v>
      </c>
      <c r="J211" s="3">
        <v>0.12</v>
      </c>
    </row>
    <row r="212" spans="1:10" x14ac:dyDescent="0.3">
      <c r="A212" s="3">
        <v>211</v>
      </c>
      <c r="B212" s="4">
        <v>40553</v>
      </c>
      <c r="C212" s="3">
        <v>1</v>
      </c>
      <c r="D212" s="3">
        <v>0</v>
      </c>
      <c r="E212" s="3">
        <v>1</v>
      </c>
      <c r="F212" s="3">
        <v>1</v>
      </c>
      <c r="G212" s="3" t="b">
        <v>0</v>
      </c>
      <c r="H212" s="3">
        <v>1</v>
      </c>
      <c r="I212" s="3">
        <v>1</v>
      </c>
      <c r="J212" s="3">
        <v>0.12</v>
      </c>
    </row>
    <row r="213" spans="1:10" x14ac:dyDescent="0.3">
      <c r="A213" s="3">
        <v>212</v>
      </c>
      <c r="B213" s="4">
        <v>40553</v>
      </c>
      <c r="C213" s="3">
        <v>1</v>
      </c>
      <c r="D213" s="3">
        <v>0</v>
      </c>
      <c r="E213" s="3">
        <v>1</v>
      </c>
      <c r="F213" s="3">
        <v>2</v>
      </c>
      <c r="G213" s="3" t="b">
        <v>0</v>
      </c>
      <c r="H213" s="3">
        <v>1</v>
      </c>
      <c r="I213" s="3">
        <v>1</v>
      </c>
      <c r="J213" s="3">
        <v>0.12</v>
      </c>
    </row>
    <row r="214" spans="1:10" x14ac:dyDescent="0.3">
      <c r="A214" s="3">
        <v>213</v>
      </c>
      <c r="B214" s="4">
        <v>40553</v>
      </c>
      <c r="C214" s="3">
        <v>1</v>
      </c>
      <c r="D214" s="3">
        <v>0</v>
      </c>
      <c r="E214" s="3">
        <v>1</v>
      </c>
      <c r="F214" s="3">
        <v>3</v>
      </c>
      <c r="G214" s="3" t="b">
        <v>0</v>
      </c>
      <c r="H214" s="3">
        <v>1</v>
      </c>
      <c r="I214" s="3">
        <v>1</v>
      </c>
      <c r="J214" s="3">
        <v>0.12</v>
      </c>
    </row>
    <row r="215" spans="1:10" x14ac:dyDescent="0.3">
      <c r="A215" s="3">
        <v>214</v>
      </c>
      <c r="B215" s="4">
        <v>40553</v>
      </c>
      <c r="C215" s="3">
        <v>1</v>
      </c>
      <c r="D215" s="3">
        <v>0</v>
      </c>
      <c r="E215" s="3">
        <v>1</v>
      </c>
      <c r="F215" s="3">
        <v>4</v>
      </c>
      <c r="G215" s="3" t="b">
        <v>0</v>
      </c>
      <c r="H215" s="3">
        <v>1</v>
      </c>
      <c r="I215" s="3">
        <v>1</v>
      </c>
      <c r="J215" s="3">
        <v>0.1</v>
      </c>
    </row>
    <row r="216" spans="1:10" x14ac:dyDescent="0.3">
      <c r="A216" s="3">
        <v>215</v>
      </c>
      <c r="B216" s="4">
        <v>40553</v>
      </c>
      <c r="C216" s="3">
        <v>1</v>
      </c>
      <c r="D216" s="3">
        <v>0</v>
      </c>
      <c r="E216" s="3">
        <v>1</v>
      </c>
      <c r="F216" s="3">
        <v>5</v>
      </c>
      <c r="G216" s="3" t="b">
        <v>0</v>
      </c>
      <c r="H216" s="3">
        <v>1</v>
      </c>
      <c r="I216" s="3">
        <v>1</v>
      </c>
      <c r="J216" s="3">
        <v>0.1</v>
      </c>
    </row>
    <row r="217" spans="1:10" x14ac:dyDescent="0.3">
      <c r="A217" s="3">
        <v>216</v>
      </c>
      <c r="B217" s="4">
        <v>40553</v>
      </c>
      <c r="C217" s="3">
        <v>1</v>
      </c>
      <c r="D217" s="3">
        <v>0</v>
      </c>
      <c r="E217" s="3">
        <v>1</v>
      </c>
      <c r="F217" s="3">
        <v>6</v>
      </c>
      <c r="G217" s="3" t="b">
        <v>0</v>
      </c>
      <c r="H217" s="3">
        <v>1</v>
      </c>
      <c r="I217" s="3">
        <v>1</v>
      </c>
      <c r="J217" s="3">
        <v>0.12</v>
      </c>
    </row>
    <row r="218" spans="1:10" x14ac:dyDescent="0.3">
      <c r="A218" s="3">
        <v>217</v>
      </c>
      <c r="B218" s="4">
        <v>40553</v>
      </c>
      <c r="C218" s="3">
        <v>1</v>
      </c>
      <c r="D218" s="3">
        <v>0</v>
      </c>
      <c r="E218" s="3">
        <v>1</v>
      </c>
      <c r="F218" s="3">
        <v>7</v>
      </c>
      <c r="G218" s="3" t="b">
        <v>0</v>
      </c>
      <c r="H218" s="3">
        <v>1</v>
      </c>
      <c r="I218" s="3">
        <v>1</v>
      </c>
      <c r="J218" s="3">
        <v>0.12</v>
      </c>
    </row>
    <row r="219" spans="1:10" x14ac:dyDescent="0.3">
      <c r="A219" s="3">
        <v>218</v>
      </c>
      <c r="B219" s="4">
        <v>40553</v>
      </c>
      <c r="C219" s="3">
        <v>1</v>
      </c>
      <c r="D219" s="3">
        <v>0</v>
      </c>
      <c r="E219" s="3">
        <v>1</v>
      </c>
      <c r="F219" s="3">
        <v>8</v>
      </c>
      <c r="G219" s="3" t="b">
        <v>0</v>
      </c>
      <c r="H219" s="3">
        <v>1</v>
      </c>
      <c r="I219" s="3">
        <v>2</v>
      </c>
      <c r="J219" s="3">
        <v>0.12</v>
      </c>
    </row>
    <row r="220" spans="1:10" x14ac:dyDescent="0.3">
      <c r="A220" s="3">
        <v>219</v>
      </c>
      <c r="B220" s="4">
        <v>40553</v>
      </c>
      <c r="C220" s="3">
        <v>1</v>
      </c>
      <c r="D220" s="3">
        <v>0</v>
      </c>
      <c r="E220" s="3">
        <v>1</v>
      </c>
      <c r="F220" s="3">
        <v>9</v>
      </c>
      <c r="G220" s="3" t="b">
        <v>0</v>
      </c>
      <c r="H220" s="3">
        <v>1</v>
      </c>
      <c r="I220" s="3">
        <v>2</v>
      </c>
      <c r="J220" s="3">
        <v>0.14000000000000001</v>
      </c>
    </row>
    <row r="221" spans="1:10" x14ac:dyDescent="0.3">
      <c r="A221" s="3">
        <v>220</v>
      </c>
      <c r="B221" s="4">
        <v>40553</v>
      </c>
      <c r="C221" s="3">
        <v>1</v>
      </c>
      <c r="D221" s="3">
        <v>0</v>
      </c>
      <c r="E221" s="3">
        <v>1</v>
      </c>
      <c r="F221" s="3">
        <v>10</v>
      </c>
      <c r="G221" s="3" t="b">
        <v>0</v>
      </c>
      <c r="H221" s="3">
        <v>1</v>
      </c>
      <c r="I221" s="3">
        <v>2</v>
      </c>
      <c r="J221" s="3">
        <v>0.14000000000000001</v>
      </c>
    </row>
    <row r="222" spans="1:10" x14ac:dyDescent="0.3">
      <c r="A222" s="3">
        <v>221</v>
      </c>
      <c r="B222" s="4">
        <v>40553</v>
      </c>
      <c r="C222" s="3">
        <v>1</v>
      </c>
      <c r="D222" s="3">
        <v>0</v>
      </c>
      <c r="E222" s="3">
        <v>1</v>
      </c>
      <c r="F222" s="3">
        <v>11</v>
      </c>
      <c r="G222" s="3" t="b">
        <v>0</v>
      </c>
      <c r="H222" s="3">
        <v>1</v>
      </c>
      <c r="I222" s="3">
        <v>2</v>
      </c>
      <c r="J222" s="3">
        <v>0.16</v>
      </c>
    </row>
    <row r="223" spans="1:10" x14ac:dyDescent="0.3">
      <c r="A223" s="3">
        <v>222</v>
      </c>
      <c r="B223" s="4">
        <v>40553</v>
      </c>
      <c r="C223" s="3">
        <v>1</v>
      </c>
      <c r="D223" s="3">
        <v>0</v>
      </c>
      <c r="E223" s="3">
        <v>1</v>
      </c>
      <c r="F223" s="3">
        <v>12</v>
      </c>
      <c r="G223" s="3" t="b">
        <v>0</v>
      </c>
      <c r="H223" s="3">
        <v>1</v>
      </c>
      <c r="I223" s="3">
        <v>2</v>
      </c>
      <c r="J223" s="3">
        <v>0.2</v>
      </c>
    </row>
    <row r="224" spans="1:10" x14ac:dyDescent="0.3">
      <c r="A224" s="3">
        <v>223</v>
      </c>
      <c r="B224" s="4">
        <v>40553</v>
      </c>
      <c r="C224" s="3">
        <v>1</v>
      </c>
      <c r="D224" s="3">
        <v>0</v>
      </c>
      <c r="E224" s="3">
        <v>1</v>
      </c>
      <c r="F224" s="3">
        <v>13</v>
      </c>
      <c r="G224" s="3" t="b">
        <v>0</v>
      </c>
      <c r="H224" s="3">
        <v>1</v>
      </c>
      <c r="I224" s="3">
        <v>2</v>
      </c>
      <c r="J224" s="3">
        <v>0.2</v>
      </c>
    </row>
    <row r="225" spans="1:10" x14ac:dyDescent="0.3">
      <c r="A225" s="3">
        <v>224</v>
      </c>
      <c r="B225" s="4">
        <v>40553</v>
      </c>
      <c r="C225" s="3">
        <v>1</v>
      </c>
      <c r="D225" s="3">
        <v>0</v>
      </c>
      <c r="E225" s="3">
        <v>1</v>
      </c>
      <c r="F225" s="3">
        <v>14</v>
      </c>
      <c r="G225" s="3" t="b">
        <v>0</v>
      </c>
      <c r="H225" s="3">
        <v>1</v>
      </c>
      <c r="I225" s="3">
        <v>2</v>
      </c>
      <c r="J225" s="3">
        <v>0.2</v>
      </c>
    </row>
    <row r="226" spans="1:10" x14ac:dyDescent="0.3">
      <c r="A226" s="3">
        <v>225</v>
      </c>
      <c r="B226" s="4">
        <v>40553</v>
      </c>
      <c r="C226" s="3">
        <v>1</v>
      </c>
      <c r="D226" s="3">
        <v>0</v>
      </c>
      <c r="E226" s="3">
        <v>1</v>
      </c>
      <c r="F226" s="3">
        <v>15</v>
      </c>
      <c r="G226" s="3" t="b">
        <v>0</v>
      </c>
      <c r="H226" s="3">
        <v>1</v>
      </c>
      <c r="I226" s="3">
        <v>2</v>
      </c>
      <c r="J226" s="3">
        <v>0.2</v>
      </c>
    </row>
    <row r="227" spans="1:10" x14ac:dyDescent="0.3">
      <c r="A227" s="3">
        <v>226</v>
      </c>
      <c r="B227" s="4">
        <v>40553</v>
      </c>
      <c r="C227" s="3">
        <v>1</v>
      </c>
      <c r="D227" s="3">
        <v>0</v>
      </c>
      <c r="E227" s="3">
        <v>1</v>
      </c>
      <c r="F227" s="3">
        <v>16</v>
      </c>
      <c r="G227" s="3" t="b">
        <v>0</v>
      </c>
      <c r="H227" s="3">
        <v>1</v>
      </c>
      <c r="I227" s="3">
        <v>1</v>
      </c>
      <c r="J227" s="3">
        <v>0.2</v>
      </c>
    </row>
    <row r="228" spans="1:10" x14ac:dyDescent="0.3">
      <c r="A228" s="3">
        <v>227</v>
      </c>
      <c r="B228" s="4">
        <v>40553</v>
      </c>
      <c r="C228" s="3">
        <v>1</v>
      </c>
      <c r="D228" s="3">
        <v>0</v>
      </c>
      <c r="E228" s="3">
        <v>1</v>
      </c>
      <c r="F228" s="3">
        <v>17</v>
      </c>
      <c r="G228" s="3" t="b">
        <v>0</v>
      </c>
      <c r="H228" s="3">
        <v>1</v>
      </c>
      <c r="I228" s="3">
        <v>1</v>
      </c>
      <c r="J228" s="3">
        <v>0.2</v>
      </c>
    </row>
    <row r="229" spans="1:10" x14ac:dyDescent="0.3">
      <c r="A229" s="3">
        <v>228</v>
      </c>
      <c r="B229" s="4">
        <v>40553</v>
      </c>
      <c r="C229" s="3">
        <v>1</v>
      </c>
      <c r="D229" s="3">
        <v>0</v>
      </c>
      <c r="E229" s="3">
        <v>1</v>
      </c>
      <c r="F229" s="3">
        <v>18</v>
      </c>
      <c r="G229" s="3" t="b">
        <v>0</v>
      </c>
      <c r="H229" s="3">
        <v>1</v>
      </c>
      <c r="I229" s="3">
        <v>1</v>
      </c>
      <c r="J229" s="3">
        <v>0.2</v>
      </c>
    </row>
    <row r="230" spans="1:10" x14ac:dyDescent="0.3">
      <c r="A230" s="3">
        <v>229</v>
      </c>
      <c r="B230" s="4">
        <v>40553</v>
      </c>
      <c r="C230" s="3">
        <v>1</v>
      </c>
      <c r="D230" s="3">
        <v>0</v>
      </c>
      <c r="E230" s="3">
        <v>1</v>
      </c>
      <c r="F230" s="3">
        <v>19</v>
      </c>
      <c r="G230" s="3" t="b">
        <v>0</v>
      </c>
      <c r="H230" s="3">
        <v>1</v>
      </c>
      <c r="I230" s="3">
        <v>1</v>
      </c>
      <c r="J230" s="3">
        <v>0.16</v>
      </c>
    </row>
    <row r="231" spans="1:10" x14ac:dyDescent="0.3">
      <c r="A231" s="3">
        <v>230</v>
      </c>
      <c r="B231" s="4">
        <v>40553</v>
      </c>
      <c r="C231" s="3">
        <v>1</v>
      </c>
      <c r="D231" s="3">
        <v>0</v>
      </c>
      <c r="E231" s="3">
        <v>1</v>
      </c>
      <c r="F231" s="3">
        <v>20</v>
      </c>
      <c r="G231" s="3" t="b">
        <v>0</v>
      </c>
      <c r="H231" s="3">
        <v>1</v>
      </c>
      <c r="I231" s="3">
        <v>1</v>
      </c>
      <c r="J231" s="3">
        <v>0.16</v>
      </c>
    </row>
    <row r="232" spans="1:10" x14ac:dyDescent="0.3">
      <c r="A232" s="3">
        <v>231</v>
      </c>
      <c r="B232" s="4">
        <v>40553</v>
      </c>
      <c r="C232" s="3">
        <v>1</v>
      </c>
      <c r="D232" s="3">
        <v>0</v>
      </c>
      <c r="E232" s="3">
        <v>1</v>
      </c>
      <c r="F232" s="3">
        <v>21</v>
      </c>
      <c r="G232" s="3" t="b">
        <v>0</v>
      </c>
      <c r="H232" s="3">
        <v>1</v>
      </c>
      <c r="I232" s="3">
        <v>1</v>
      </c>
      <c r="J232" s="3">
        <v>0.14000000000000001</v>
      </c>
    </row>
    <row r="233" spans="1:10" x14ac:dyDescent="0.3">
      <c r="A233" s="3">
        <v>232</v>
      </c>
      <c r="B233" s="4">
        <v>40553</v>
      </c>
      <c r="C233" s="3">
        <v>1</v>
      </c>
      <c r="D233" s="3">
        <v>0</v>
      </c>
      <c r="E233" s="3">
        <v>1</v>
      </c>
      <c r="F233" s="3">
        <v>22</v>
      </c>
      <c r="G233" s="3" t="b">
        <v>0</v>
      </c>
      <c r="H233" s="3">
        <v>1</v>
      </c>
      <c r="I233" s="3">
        <v>1</v>
      </c>
      <c r="J233" s="3">
        <v>0.14000000000000001</v>
      </c>
    </row>
    <row r="234" spans="1:10" x14ac:dyDescent="0.3">
      <c r="A234" s="3">
        <v>233</v>
      </c>
      <c r="B234" s="4">
        <v>40553</v>
      </c>
      <c r="C234" s="3">
        <v>1</v>
      </c>
      <c r="D234" s="3">
        <v>0</v>
      </c>
      <c r="E234" s="3">
        <v>1</v>
      </c>
      <c r="F234" s="3">
        <v>23</v>
      </c>
      <c r="G234" s="3" t="b">
        <v>0</v>
      </c>
      <c r="H234" s="3">
        <v>1</v>
      </c>
      <c r="I234" s="3">
        <v>1</v>
      </c>
      <c r="J234" s="3">
        <v>0.14000000000000001</v>
      </c>
    </row>
    <row r="235" spans="1:10" x14ac:dyDescent="0.3">
      <c r="A235" s="3">
        <v>234</v>
      </c>
      <c r="B235" s="4">
        <v>40554</v>
      </c>
      <c r="C235" s="3">
        <v>1</v>
      </c>
      <c r="D235" s="3">
        <v>0</v>
      </c>
      <c r="E235" s="3">
        <v>1</v>
      </c>
      <c r="F235" s="3">
        <v>0</v>
      </c>
      <c r="G235" s="3" t="b">
        <v>0</v>
      </c>
      <c r="H235" s="3">
        <v>2</v>
      </c>
      <c r="I235" s="3">
        <v>1</v>
      </c>
      <c r="J235" s="3">
        <v>0.14000000000000001</v>
      </c>
    </row>
    <row r="236" spans="1:10" x14ac:dyDescent="0.3">
      <c r="A236" s="3">
        <v>235</v>
      </c>
      <c r="B236" s="4">
        <v>40554</v>
      </c>
      <c r="C236" s="3">
        <v>1</v>
      </c>
      <c r="D236" s="3">
        <v>0</v>
      </c>
      <c r="E236" s="3">
        <v>1</v>
      </c>
      <c r="F236" s="3">
        <v>1</v>
      </c>
      <c r="G236" s="3" t="b">
        <v>0</v>
      </c>
      <c r="H236" s="3">
        <v>2</v>
      </c>
      <c r="I236" s="3">
        <v>1</v>
      </c>
      <c r="J236" s="3">
        <v>0.14000000000000001</v>
      </c>
    </row>
    <row r="237" spans="1:10" x14ac:dyDescent="0.3">
      <c r="A237" s="3">
        <v>236</v>
      </c>
      <c r="B237" s="4">
        <v>40554</v>
      </c>
      <c r="C237" s="3">
        <v>1</v>
      </c>
      <c r="D237" s="3">
        <v>0</v>
      </c>
      <c r="E237" s="3">
        <v>1</v>
      </c>
      <c r="F237" s="3">
        <v>2</v>
      </c>
      <c r="G237" s="3" t="b">
        <v>0</v>
      </c>
      <c r="H237" s="3">
        <v>2</v>
      </c>
      <c r="I237" s="3">
        <v>2</v>
      </c>
      <c r="J237" s="3">
        <v>0.16</v>
      </c>
    </row>
    <row r="238" spans="1:10" x14ac:dyDescent="0.3">
      <c r="A238" s="3">
        <v>237</v>
      </c>
      <c r="B238" s="4">
        <v>40554</v>
      </c>
      <c r="C238" s="3">
        <v>1</v>
      </c>
      <c r="D238" s="3">
        <v>0</v>
      </c>
      <c r="E238" s="3">
        <v>1</v>
      </c>
      <c r="F238" s="3">
        <v>5</v>
      </c>
      <c r="G238" s="3" t="b">
        <v>0</v>
      </c>
      <c r="H238" s="3">
        <v>2</v>
      </c>
      <c r="I238" s="3">
        <v>2</v>
      </c>
      <c r="J238" s="3">
        <v>0.16</v>
      </c>
    </row>
    <row r="239" spans="1:10" x14ac:dyDescent="0.3">
      <c r="A239" s="3">
        <v>238</v>
      </c>
      <c r="B239" s="4">
        <v>40554</v>
      </c>
      <c r="C239" s="3">
        <v>1</v>
      </c>
      <c r="D239" s="3">
        <v>0</v>
      </c>
      <c r="E239" s="3">
        <v>1</v>
      </c>
      <c r="F239" s="3">
        <v>6</v>
      </c>
      <c r="G239" s="3" t="b">
        <v>0</v>
      </c>
      <c r="H239" s="3">
        <v>2</v>
      </c>
      <c r="I239" s="3">
        <v>2</v>
      </c>
      <c r="J239" s="3">
        <v>0.16</v>
      </c>
    </row>
    <row r="240" spans="1:10" x14ac:dyDescent="0.3">
      <c r="A240" s="3">
        <v>239</v>
      </c>
      <c r="B240" s="4">
        <v>40554</v>
      </c>
      <c r="C240" s="3">
        <v>1</v>
      </c>
      <c r="D240" s="3">
        <v>0</v>
      </c>
      <c r="E240" s="3">
        <v>1</v>
      </c>
      <c r="F240" s="3">
        <v>7</v>
      </c>
      <c r="G240" s="3" t="b">
        <v>0</v>
      </c>
      <c r="H240" s="3">
        <v>2</v>
      </c>
      <c r="I240" s="3">
        <v>2</v>
      </c>
      <c r="J240" s="3">
        <v>0.16</v>
      </c>
    </row>
    <row r="241" spans="1:10" x14ac:dyDescent="0.3">
      <c r="A241" s="3">
        <v>240</v>
      </c>
      <c r="B241" s="4">
        <v>40554</v>
      </c>
      <c r="C241" s="3">
        <v>1</v>
      </c>
      <c r="D241" s="3">
        <v>0</v>
      </c>
      <c r="E241" s="3">
        <v>1</v>
      </c>
      <c r="F241" s="3">
        <v>8</v>
      </c>
      <c r="G241" s="3" t="b">
        <v>0</v>
      </c>
      <c r="H241" s="3">
        <v>2</v>
      </c>
      <c r="I241" s="3">
        <v>2</v>
      </c>
      <c r="J241" s="3">
        <v>0.18</v>
      </c>
    </row>
    <row r="242" spans="1:10" x14ac:dyDescent="0.3">
      <c r="A242" s="3">
        <v>241</v>
      </c>
      <c r="B242" s="4">
        <v>40554</v>
      </c>
      <c r="C242" s="3">
        <v>1</v>
      </c>
      <c r="D242" s="3">
        <v>0</v>
      </c>
      <c r="E242" s="3">
        <v>1</v>
      </c>
      <c r="F242" s="3">
        <v>9</v>
      </c>
      <c r="G242" s="3" t="b">
        <v>0</v>
      </c>
      <c r="H242" s="3">
        <v>2</v>
      </c>
      <c r="I242" s="3">
        <v>2</v>
      </c>
      <c r="J242" s="3">
        <v>0.18</v>
      </c>
    </row>
    <row r="243" spans="1:10" x14ac:dyDescent="0.3">
      <c r="A243" s="3">
        <v>242</v>
      </c>
      <c r="B243" s="4">
        <v>40554</v>
      </c>
      <c r="C243" s="3">
        <v>1</v>
      </c>
      <c r="D243" s="3">
        <v>0</v>
      </c>
      <c r="E243" s="3">
        <v>1</v>
      </c>
      <c r="F243" s="3">
        <v>10</v>
      </c>
      <c r="G243" s="3" t="b">
        <v>0</v>
      </c>
      <c r="H243" s="3">
        <v>2</v>
      </c>
      <c r="I243" s="3">
        <v>2</v>
      </c>
      <c r="J243" s="3">
        <v>0.2</v>
      </c>
    </row>
    <row r="244" spans="1:10" x14ac:dyDescent="0.3">
      <c r="A244" s="3">
        <v>243</v>
      </c>
      <c r="B244" s="4">
        <v>40554</v>
      </c>
      <c r="C244" s="3">
        <v>1</v>
      </c>
      <c r="D244" s="3">
        <v>0</v>
      </c>
      <c r="E244" s="3">
        <v>1</v>
      </c>
      <c r="F244" s="3">
        <v>11</v>
      </c>
      <c r="G244" s="3" t="b">
        <v>0</v>
      </c>
      <c r="H244" s="3">
        <v>2</v>
      </c>
      <c r="I244" s="3">
        <v>2</v>
      </c>
      <c r="J244" s="3">
        <v>0.2</v>
      </c>
    </row>
    <row r="245" spans="1:10" x14ac:dyDescent="0.3">
      <c r="A245" s="3">
        <v>244</v>
      </c>
      <c r="B245" s="4">
        <v>40554</v>
      </c>
      <c r="C245" s="3">
        <v>1</v>
      </c>
      <c r="D245" s="3">
        <v>0</v>
      </c>
      <c r="E245" s="3">
        <v>1</v>
      </c>
      <c r="F245" s="3">
        <v>12</v>
      </c>
      <c r="G245" s="3" t="b">
        <v>0</v>
      </c>
      <c r="H245" s="3">
        <v>2</v>
      </c>
      <c r="I245" s="3">
        <v>2</v>
      </c>
      <c r="J245" s="3">
        <v>0.2</v>
      </c>
    </row>
    <row r="246" spans="1:10" x14ac:dyDescent="0.3">
      <c r="A246" s="3">
        <v>245</v>
      </c>
      <c r="B246" s="4">
        <v>40554</v>
      </c>
      <c r="C246" s="3">
        <v>1</v>
      </c>
      <c r="D246" s="3">
        <v>0</v>
      </c>
      <c r="E246" s="3">
        <v>1</v>
      </c>
      <c r="F246" s="3">
        <v>13</v>
      </c>
      <c r="G246" s="3" t="b">
        <v>0</v>
      </c>
      <c r="H246" s="3">
        <v>2</v>
      </c>
      <c r="I246" s="3">
        <v>2</v>
      </c>
      <c r="J246" s="3">
        <v>0.2</v>
      </c>
    </row>
    <row r="247" spans="1:10" x14ac:dyDescent="0.3">
      <c r="A247" s="3">
        <v>246</v>
      </c>
      <c r="B247" s="4">
        <v>40554</v>
      </c>
      <c r="C247" s="3">
        <v>1</v>
      </c>
      <c r="D247" s="3">
        <v>0</v>
      </c>
      <c r="E247" s="3">
        <v>1</v>
      </c>
      <c r="F247" s="3">
        <v>14</v>
      </c>
      <c r="G247" s="3" t="b">
        <v>0</v>
      </c>
      <c r="H247" s="3">
        <v>2</v>
      </c>
      <c r="I247" s="3">
        <v>2</v>
      </c>
      <c r="J247" s="3">
        <v>0.2</v>
      </c>
    </row>
    <row r="248" spans="1:10" x14ac:dyDescent="0.3">
      <c r="A248" s="3">
        <v>247</v>
      </c>
      <c r="B248" s="4">
        <v>40554</v>
      </c>
      <c r="C248" s="3">
        <v>1</v>
      </c>
      <c r="D248" s="3">
        <v>0</v>
      </c>
      <c r="E248" s="3">
        <v>1</v>
      </c>
      <c r="F248" s="3">
        <v>15</v>
      </c>
      <c r="G248" s="3" t="b">
        <v>0</v>
      </c>
      <c r="H248" s="3">
        <v>2</v>
      </c>
      <c r="I248" s="3">
        <v>2</v>
      </c>
      <c r="J248" s="3">
        <v>0.16</v>
      </c>
    </row>
    <row r="249" spans="1:10" x14ac:dyDescent="0.3">
      <c r="A249" s="3">
        <v>248</v>
      </c>
      <c r="B249" s="4">
        <v>40554</v>
      </c>
      <c r="C249" s="3">
        <v>1</v>
      </c>
      <c r="D249" s="3">
        <v>0</v>
      </c>
      <c r="E249" s="3">
        <v>1</v>
      </c>
      <c r="F249" s="3">
        <v>16</v>
      </c>
      <c r="G249" s="3" t="b">
        <v>0</v>
      </c>
      <c r="H249" s="3">
        <v>2</v>
      </c>
      <c r="I249" s="3">
        <v>2</v>
      </c>
      <c r="J249" s="3">
        <v>0.16</v>
      </c>
    </row>
    <row r="250" spans="1:10" x14ac:dyDescent="0.3">
      <c r="A250" s="3">
        <v>249</v>
      </c>
      <c r="B250" s="4">
        <v>40554</v>
      </c>
      <c r="C250" s="3">
        <v>1</v>
      </c>
      <c r="D250" s="3">
        <v>0</v>
      </c>
      <c r="E250" s="3">
        <v>1</v>
      </c>
      <c r="F250" s="3">
        <v>17</v>
      </c>
      <c r="G250" s="3" t="b">
        <v>0</v>
      </c>
      <c r="H250" s="3">
        <v>2</v>
      </c>
      <c r="I250" s="3">
        <v>2</v>
      </c>
      <c r="J250" s="3">
        <v>0.16</v>
      </c>
    </row>
    <row r="251" spans="1:10" x14ac:dyDescent="0.3">
      <c r="A251" s="3">
        <v>250</v>
      </c>
      <c r="B251" s="4">
        <v>40554</v>
      </c>
      <c r="C251" s="3">
        <v>1</v>
      </c>
      <c r="D251" s="3">
        <v>0</v>
      </c>
      <c r="E251" s="3">
        <v>1</v>
      </c>
      <c r="F251" s="3">
        <v>18</v>
      </c>
      <c r="G251" s="3" t="b">
        <v>0</v>
      </c>
      <c r="H251" s="3">
        <v>2</v>
      </c>
      <c r="I251" s="3">
        <v>3</v>
      </c>
      <c r="J251" s="3">
        <v>0.16</v>
      </c>
    </row>
    <row r="252" spans="1:10" x14ac:dyDescent="0.3">
      <c r="A252" s="3">
        <v>251</v>
      </c>
      <c r="B252" s="4">
        <v>40554</v>
      </c>
      <c r="C252" s="3">
        <v>1</v>
      </c>
      <c r="D252" s="3">
        <v>0</v>
      </c>
      <c r="E252" s="3">
        <v>1</v>
      </c>
      <c r="F252" s="3">
        <v>19</v>
      </c>
      <c r="G252" s="3" t="b">
        <v>0</v>
      </c>
      <c r="H252" s="3">
        <v>2</v>
      </c>
      <c r="I252" s="3">
        <v>3</v>
      </c>
      <c r="J252" s="3">
        <v>0.16</v>
      </c>
    </row>
    <row r="253" spans="1:10" x14ac:dyDescent="0.3">
      <c r="A253" s="3">
        <v>252</v>
      </c>
      <c r="B253" s="4">
        <v>40554</v>
      </c>
      <c r="C253" s="3">
        <v>1</v>
      </c>
      <c r="D253" s="3">
        <v>0</v>
      </c>
      <c r="E253" s="3">
        <v>1</v>
      </c>
      <c r="F253" s="3">
        <v>20</v>
      </c>
      <c r="G253" s="3" t="b">
        <v>0</v>
      </c>
      <c r="H253" s="3">
        <v>2</v>
      </c>
      <c r="I253" s="3">
        <v>3</v>
      </c>
      <c r="J253" s="3">
        <v>0.16</v>
      </c>
    </row>
    <row r="254" spans="1:10" x14ac:dyDescent="0.3">
      <c r="A254" s="3">
        <v>253</v>
      </c>
      <c r="B254" s="4">
        <v>40554</v>
      </c>
      <c r="C254" s="3">
        <v>1</v>
      </c>
      <c r="D254" s="3">
        <v>0</v>
      </c>
      <c r="E254" s="3">
        <v>1</v>
      </c>
      <c r="F254" s="3">
        <v>21</v>
      </c>
      <c r="G254" s="3" t="b">
        <v>0</v>
      </c>
      <c r="H254" s="3">
        <v>2</v>
      </c>
      <c r="I254" s="3">
        <v>3</v>
      </c>
      <c r="J254" s="3">
        <v>0.16</v>
      </c>
    </row>
    <row r="255" spans="1:10" x14ac:dyDescent="0.3">
      <c r="A255" s="3">
        <v>254</v>
      </c>
      <c r="B255" s="4">
        <v>40554</v>
      </c>
      <c r="C255" s="3">
        <v>1</v>
      </c>
      <c r="D255" s="3">
        <v>0</v>
      </c>
      <c r="E255" s="3">
        <v>1</v>
      </c>
      <c r="F255" s="3">
        <v>22</v>
      </c>
      <c r="G255" s="3" t="b">
        <v>0</v>
      </c>
      <c r="H255" s="3">
        <v>2</v>
      </c>
      <c r="I255" s="3">
        <v>3</v>
      </c>
      <c r="J255" s="3">
        <v>0.16</v>
      </c>
    </row>
    <row r="256" spans="1:10" x14ac:dyDescent="0.3">
      <c r="A256" s="3">
        <v>255</v>
      </c>
      <c r="B256" s="4">
        <v>40554</v>
      </c>
      <c r="C256" s="3">
        <v>1</v>
      </c>
      <c r="D256" s="3">
        <v>0</v>
      </c>
      <c r="E256" s="3">
        <v>1</v>
      </c>
      <c r="F256" s="3">
        <v>23</v>
      </c>
      <c r="G256" s="3" t="b">
        <v>0</v>
      </c>
      <c r="H256" s="3">
        <v>2</v>
      </c>
      <c r="I256" s="3">
        <v>3</v>
      </c>
      <c r="J256" s="3">
        <v>0.16</v>
      </c>
    </row>
    <row r="257" spans="1:10" x14ac:dyDescent="0.3">
      <c r="A257" s="3">
        <v>256</v>
      </c>
      <c r="B257" s="4">
        <v>40555</v>
      </c>
      <c r="C257" s="3">
        <v>1</v>
      </c>
      <c r="D257" s="3">
        <v>0</v>
      </c>
      <c r="E257" s="3">
        <v>1</v>
      </c>
      <c r="F257" s="3">
        <v>0</v>
      </c>
      <c r="G257" s="3" t="b">
        <v>0</v>
      </c>
      <c r="H257" s="3">
        <v>3</v>
      </c>
      <c r="I257" s="3">
        <v>2</v>
      </c>
      <c r="J257" s="3">
        <v>0.16</v>
      </c>
    </row>
    <row r="258" spans="1:10" x14ac:dyDescent="0.3">
      <c r="A258" s="3">
        <v>257</v>
      </c>
      <c r="B258" s="4">
        <v>40555</v>
      </c>
      <c r="C258" s="3">
        <v>1</v>
      </c>
      <c r="D258" s="3">
        <v>0</v>
      </c>
      <c r="E258" s="3">
        <v>1</v>
      </c>
      <c r="F258" s="3">
        <v>1</v>
      </c>
      <c r="G258" s="3" t="b">
        <v>0</v>
      </c>
      <c r="H258" s="3">
        <v>3</v>
      </c>
      <c r="I258" s="3">
        <v>2</v>
      </c>
      <c r="J258" s="3">
        <v>0.16</v>
      </c>
    </row>
    <row r="259" spans="1:10" x14ac:dyDescent="0.3">
      <c r="A259" s="3">
        <v>258</v>
      </c>
      <c r="B259" s="4">
        <v>40555</v>
      </c>
      <c r="C259" s="3">
        <v>1</v>
      </c>
      <c r="D259" s="3">
        <v>0</v>
      </c>
      <c r="E259" s="3">
        <v>1</v>
      </c>
      <c r="F259" s="3">
        <v>2</v>
      </c>
      <c r="G259" s="3" t="b">
        <v>0</v>
      </c>
      <c r="H259" s="3">
        <v>3</v>
      </c>
      <c r="I259" s="3">
        <v>1</v>
      </c>
      <c r="J259" s="3">
        <v>0.14000000000000001</v>
      </c>
    </row>
    <row r="260" spans="1:10" x14ac:dyDescent="0.3">
      <c r="A260" s="3">
        <v>259</v>
      </c>
      <c r="B260" s="4">
        <v>40555</v>
      </c>
      <c r="C260" s="3">
        <v>1</v>
      </c>
      <c r="D260" s="3">
        <v>0</v>
      </c>
      <c r="E260" s="3">
        <v>1</v>
      </c>
      <c r="F260" s="3">
        <v>5</v>
      </c>
      <c r="G260" s="3" t="b">
        <v>0</v>
      </c>
      <c r="H260" s="3">
        <v>3</v>
      </c>
      <c r="I260" s="3">
        <v>1</v>
      </c>
      <c r="J260" s="3">
        <v>0.14000000000000001</v>
      </c>
    </row>
    <row r="261" spans="1:10" x14ac:dyDescent="0.3">
      <c r="A261" s="3">
        <v>260</v>
      </c>
      <c r="B261" s="4">
        <v>40555</v>
      </c>
      <c r="C261" s="3">
        <v>1</v>
      </c>
      <c r="D261" s="3">
        <v>0</v>
      </c>
      <c r="E261" s="3">
        <v>1</v>
      </c>
      <c r="F261" s="3">
        <v>6</v>
      </c>
      <c r="G261" s="3" t="b">
        <v>0</v>
      </c>
      <c r="H261" s="3">
        <v>3</v>
      </c>
      <c r="I261" s="3">
        <v>1</v>
      </c>
      <c r="J261" s="3">
        <v>0.12</v>
      </c>
    </row>
    <row r="262" spans="1:10" x14ac:dyDescent="0.3">
      <c r="A262" s="3">
        <v>261</v>
      </c>
      <c r="B262" s="4">
        <v>40555</v>
      </c>
      <c r="C262" s="3">
        <v>1</v>
      </c>
      <c r="D262" s="3">
        <v>0</v>
      </c>
      <c r="E262" s="3">
        <v>1</v>
      </c>
      <c r="F262" s="3">
        <v>7</v>
      </c>
      <c r="G262" s="3" t="b">
        <v>0</v>
      </c>
      <c r="H262" s="3">
        <v>3</v>
      </c>
      <c r="I262" s="3">
        <v>1</v>
      </c>
      <c r="J262" s="3">
        <v>0.14000000000000001</v>
      </c>
    </row>
    <row r="263" spans="1:10" x14ac:dyDescent="0.3">
      <c r="A263" s="3">
        <v>262</v>
      </c>
      <c r="B263" s="4">
        <v>40555</v>
      </c>
      <c r="C263" s="3">
        <v>1</v>
      </c>
      <c r="D263" s="3">
        <v>0</v>
      </c>
      <c r="E263" s="3">
        <v>1</v>
      </c>
      <c r="F263" s="3">
        <v>8</v>
      </c>
      <c r="G263" s="3" t="b">
        <v>0</v>
      </c>
      <c r="H263" s="3">
        <v>3</v>
      </c>
      <c r="I263" s="3">
        <v>1</v>
      </c>
      <c r="J263" s="3">
        <v>0.16</v>
      </c>
    </row>
    <row r="264" spans="1:10" x14ac:dyDescent="0.3">
      <c r="A264" s="3">
        <v>263</v>
      </c>
      <c r="B264" s="4">
        <v>40555</v>
      </c>
      <c r="C264" s="3">
        <v>1</v>
      </c>
      <c r="D264" s="3">
        <v>0</v>
      </c>
      <c r="E264" s="3">
        <v>1</v>
      </c>
      <c r="F264" s="3">
        <v>9</v>
      </c>
      <c r="G264" s="3" t="b">
        <v>0</v>
      </c>
      <c r="H264" s="3">
        <v>3</v>
      </c>
      <c r="I264" s="3">
        <v>1</v>
      </c>
      <c r="J264" s="3">
        <v>0.16</v>
      </c>
    </row>
    <row r="265" spans="1:10" x14ac:dyDescent="0.3">
      <c r="A265" s="3">
        <v>264</v>
      </c>
      <c r="B265" s="4">
        <v>40555</v>
      </c>
      <c r="C265" s="3">
        <v>1</v>
      </c>
      <c r="D265" s="3">
        <v>0</v>
      </c>
      <c r="E265" s="3">
        <v>1</v>
      </c>
      <c r="F265" s="3">
        <v>10</v>
      </c>
      <c r="G265" s="3" t="b">
        <v>0</v>
      </c>
      <c r="H265" s="3">
        <v>3</v>
      </c>
      <c r="I265" s="3">
        <v>1</v>
      </c>
      <c r="J265" s="3">
        <v>0.18</v>
      </c>
    </row>
    <row r="266" spans="1:10" x14ac:dyDescent="0.3">
      <c r="A266" s="3">
        <v>265</v>
      </c>
      <c r="B266" s="4">
        <v>40555</v>
      </c>
      <c r="C266" s="3">
        <v>1</v>
      </c>
      <c r="D266" s="3">
        <v>0</v>
      </c>
      <c r="E266" s="3">
        <v>1</v>
      </c>
      <c r="F266" s="3">
        <v>11</v>
      </c>
      <c r="G266" s="3" t="b">
        <v>0</v>
      </c>
      <c r="H266" s="3">
        <v>3</v>
      </c>
      <c r="I266" s="3">
        <v>1</v>
      </c>
      <c r="J266" s="3">
        <v>0.2</v>
      </c>
    </row>
    <row r="267" spans="1:10" x14ac:dyDescent="0.3">
      <c r="A267" s="3">
        <v>266</v>
      </c>
      <c r="B267" s="4">
        <v>40555</v>
      </c>
      <c r="C267" s="3">
        <v>1</v>
      </c>
      <c r="D267" s="3">
        <v>0</v>
      </c>
      <c r="E267" s="3">
        <v>1</v>
      </c>
      <c r="F267" s="3">
        <v>12</v>
      </c>
      <c r="G267" s="3" t="b">
        <v>0</v>
      </c>
      <c r="H267" s="3">
        <v>3</v>
      </c>
      <c r="I267" s="3">
        <v>1</v>
      </c>
      <c r="J267" s="3">
        <v>0.2</v>
      </c>
    </row>
    <row r="268" spans="1:10" x14ac:dyDescent="0.3">
      <c r="A268" s="3">
        <v>267</v>
      </c>
      <c r="B268" s="4">
        <v>40555</v>
      </c>
      <c r="C268" s="3">
        <v>1</v>
      </c>
      <c r="D268" s="3">
        <v>0</v>
      </c>
      <c r="E268" s="3">
        <v>1</v>
      </c>
      <c r="F268" s="3">
        <v>13</v>
      </c>
      <c r="G268" s="3" t="b">
        <v>0</v>
      </c>
      <c r="H268" s="3">
        <v>3</v>
      </c>
      <c r="I268" s="3">
        <v>1</v>
      </c>
      <c r="J268" s="3">
        <v>0.22</v>
      </c>
    </row>
    <row r="269" spans="1:10" x14ac:dyDescent="0.3">
      <c r="A269" s="3">
        <v>268</v>
      </c>
      <c r="B269" s="4">
        <v>40555</v>
      </c>
      <c r="C269" s="3">
        <v>1</v>
      </c>
      <c r="D269" s="3">
        <v>0</v>
      </c>
      <c r="E269" s="3">
        <v>1</v>
      </c>
      <c r="F269" s="3">
        <v>14</v>
      </c>
      <c r="G269" s="3" t="b">
        <v>0</v>
      </c>
      <c r="H269" s="3">
        <v>3</v>
      </c>
      <c r="I269" s="3">
        <v>1</v>
      </c>
      <c r="J269" s="3">
        <v>0.2</v>
      </c>
    </row>
    <row r="270" spans="1:10" x14ac:dyDescent="0.3">
      <c r="A270" s="3">
        <v>269</v>
      </c>
      <c r="B270" s="4">
        <v>40555</v>
      </c>
      <c r="C270" s="3">
        <v>1</v>
      </c>
      <c r="D270" s="3">
        <v>0</v>
      </c>
      <c r="E270" s="3">
        <v>1</v>
      </c>
      <c r="F270" s="3">
        <v>15</v>
      </c>
      <c r="G270" s="3" t="b">
        <v>0</v>
      </c>
      <c r="H270" s="3">
        <v>3</v>
      </c>
      <c r="I270" s="3">
        <v>1</v>
      </c>
      <c r="J270" s="3">
        <v>0.2</v>
      </c>
    </row>
    <row r="271" spans="1:10" x14ac:dyDescent="0.3">
      <c r="A271" s="3">
        <v>270</v>
      </c>
      <c r="B271" s="4">
        <v>40555</v>
      </c>
      <c r="C271" s="3">
        <v>1</v>
      </c>
      <c r="D271" s="3">
        <v>0</v>
      </c>
      <c r="E271" s="3">
        <v>1</v>
      </c>
      <c r="F271" s="3">
        <v>16</v>
      </c>
      <c r="G271" s="3" t="b">
        <v>0</v>
      </c>
      <c r="H271" s="3">
        <v>3</v>
      </c>
      <c r="I271" s="3">
        <v>1</v>
      </c>
      <c r="J271" s="3">
        <v>0.22</v>
      </c>
    </row>
    <row r="272" spans="1:10" x14ac:dyDescent="0.3">
      <c r="A272" s="3">
        <v>271</v>
      </c>
      <c r="B272" s="4">
        <v>40555</v>
      </c>
      <c r="C272" s="3">
        <v>1</v>
      </c>
      <c r="D272" s="3">
        <v>0</v>
      </c>
      <c r="E272" s="3">
        <v>1</v>
      </c>
      <c r="F272" s="3">
        <v>17</v>
      </c>
      <c r="G272" s="3" t="b">
        <v>0</v>
      </c>
      <c r="H272" s="3">
        <v>3</v>
      </c>
      <c r="I272" s="3">
        <v>1</v>
      </c>
      <c r="J272" s="3">
        <v>0.2</v>
      </c>
    </row>
    <row r="273" spans="1:10" x14ac:dyDescent="0.3">
      <c r="A273" s="3">
        <v>272</v>
      </c>
      <c r="B273" s="4">
        <v>40555</v>
      </c>
      <c r="C273" s="3">
        <v>1</v>
      </c>
      <c r="D273" s="3">
        <v>0</v>
      </c>
      <c r="E273" s="3">
        <v>1</v>
      </c>
      <c r="F273" s="3">
        <v>18</v>
      </c>
      <c r="G273" s="3" t="b">
        <v>0</v>
      </c>
      <c r="H273" s="3">
        <v>3</v>
      </c>
      <c r="I273" s="3">
        <v>1</v>
      </c>
      <c r="J273" s="3">
        <v>0.2</v>
      </c>
    </row>
    <row r="274" spans="1:10" x14ac:dyDescent="0.3">
      <c r="A274" s="3">
        <v>273</v>
      </c>
      <c r="B274" s="4">
        <v>40555</v>
      </c>
      <c r="C274" s="3">
        <v>1</v>
      </c>
      <c r="D274" s="3">
        <v>0</v>
      </c>
      <c r="E274" s="3">
        <v>1</v>
      </c>
      <c r="F274" s="3">
        <v>19</v>
      </c>
      <c r="G274" s="3" t="b">
        <v>0</v>
      </c>
      <c r="H274" s="3">
        <v>3</v>
      </c>
      <c r="I274" s="3">
        <v>1</v>
      </c>
      <c r="J274" s="3">
        <v>0.18</v>
      </c>
    </row>
    <row r="275" spans="1:10" x14ac:dyDescent="0.3">
      <c r="A275" s="3">
        <v>274</v>
      </c>
      <c r="B275" s="4">
        <v>40555</v>
      </c>
      <c r="C275" s="3">
        <v>1</v>
      </c>
      <c r="D275" s="3">
        <v>0</v>
      </c>
      <c r="E275" s="3">
        <v>1</v>
      </c>
      <c r="F275" s="3">
        <v>20</v>
      </c>
      <c r="G275" s="3" t="b">
        <v>0</v>
      </c>
      <c r="H275" s="3">
        <v>3</v>
      </c>
      <c r="I275" s="3">
        <v>1</v>
      </c>
      <c r="J275" s="3">
        <v>0.16</v>
      </c>
    </row>
    <row r="276" spans="1:10" x14ac:dyDescent="0.3">
      <c r="A276" s="3">
        <v>275</v>
      </c>
      <c r="B276" s="4">
        <v>40555</v>
      </c>
      <c r="C276" s="3">
        <v>1</v>
      </c>
      <c r="D276" s="3">
        <v>0</v>
      </c>
      <c r="E276" s="3">
        <v>1</v>
      </c>
      <c r="F276" s="3">
        <v>21</v>
      </c>
      <c r="G276" s="3" t="b">
        <v>0</v>
      </c>
      <c r="H276" s="3">
        <v>3</v>
      </c>
      <c r="I276" s="3">
        <v>1</v>
      </c>
      <c r="J276" s="3">
        <v>0.16</v>
      </c>
    </row>
    <row r="277" spans="1:10" x14ac:dyDescent="0.3">
      <c r="A277" s="3">
        <v>276</v>
      </c>
      <c r="B277" s="4">
        <v>40555</v>
      </c>
      <c r="C277" s="3">
        <v>1</v>
      </c>
      <c r="D277" s="3">
        <v>0</v>
      </c>
      <c r="E277" s="3">
        <v>1</v>
      </c>
      <c r="F277" s="3">
        <v>22</v>
      </c>
      <c r="G277" s="3" t="b">
        <v>0</v>
      </c>
      <c r="H277" s="3">
        <v>3</v>
      </c>
      <c r="I277" s="3">
        <v>1</v>
      </c>
      <c r="J277" s="3">
        <v>0.16</v>
      </c>
    </row>
    <row r="278" spans="1:10" x14ac:dyDescent="0.3">
      <c r="A278" s="3">
        <v>277</v>
      </c>
      <c r="B278" s="4">
        <v>40555</v>
      </c>
      <c r="C278" s="3">
        <v>1</v>
      </c>
      <c r="D278" s="3">
        <v>0</v>
      </c>
      <c r="E278" s="3">
        <v>1</v>
      </c>
      <c r="F278" s="3">
        <v>23</v>
      </c>
      <c r="G278" s="3" t="b">
        <v>0</v>
      </c>
      <c r="H278" s="3">
        <v>3</v>
      </c>
      <c r="I278" s="3">
        <v>1</v>
      </c>
      <c r="J278" s="3">
        <v>0.14000000000000001</v>
      </c>
    </row>
    <row r="279" spans="1:10" x14ac:dyDescent="0.3">
      <c r="A279" s="3">
        <v>278</v>
      </c>
      <c r="B279" s="4">
        <v>40556</v>
      </c>
      <c r="C279" s="3">
        <v>1</v>
      </c>
      <c r="D279" s="3">
        <v>0</v>
      </c>
      <c r="E279" s="3">
        <v>1</v>
      </c>
      <c r="F279" s="3">
        <v>0</v>
      </c>
      <c r="G279" s="3" t="b">
        <v>0</v>
      </c>
      <c r="H279" s="3">
        <v>4</v>
      </c>
      <c r="I279" s="3">
        <v>1</v>
      </c>
      <c r="J279" s="3">
        <v>0.14000000000000001</v>
      </c>
    </row>
    <row r="280" spans="1:10" x14ac:dyDescent="0.3">
      <c r="A280" s="3">
        <v>279</v>
      </c>
      <c r="B280" s="4">
        <v>40556</v>
      </c>
      <c r="C280" s="3">
        <v>1</v>
      </c>
      <c r="D280" s="3">
        <v>0</v>
      </c>
      <c r="E280" s="3">
        <v>1</v>
      </c>
      <c r="F280" s="3">
        <v>1</v>
      </c>
      <c r="G280" s="3" t="b">
        <v>0</v>
      </c>
      <c r="H280" s="3">
        <v>4</v>
      </c>
      <c r="I280" s="3">
        <v>1</v>
      </c>
      <c r="J280" s="3">
        <v>0.14000000000000001</v>
      </c>
    </row>
    <row r="281" spans="1:10" x14ac:dyDescent="0.3">
      <c r="A281" s="3">
        <v>280</v>
      </c>
      <c r="B281" s="4">
        <v>40556</v>
      </c>
      <c r="C281" s="3">
        <v>1</v>
      </c>
      <c r="D281" s="3">
        <v>0</v>
      </c>
      <c r="E281" s="3">
        <v>1</v>
      </c>
      <c r="F281" s="3">
        <v>2</v>
      </c>
      <c r="G281" s="3" t="b">
        <v>0</v>
      </c>
      <c r="H281" s="3">
        <v>4</v>
      </c>
      <c r="I281" s="3">
        <v>1</v>
      </c>
      <c r="J281" s="3">
        <v>0.14000000000000001</v>
      </c>
    </row>
    <row r="282" spans="1:10" x14ac:dyDescent="0.3">
      <c r="A282" s="3">
        <v>281</v>
      </c>
      <c r="B282" s="4">
        <v>40556</v>
      </c>
      <c r="C282" s="3">
        <v>1</v>
      </c>
      <c r="D282" s="3">
        <v>0</v>
      </c>
      <c r="E282" s="3">
        <v>1</v>
      </c>
      <c r="F282" s="3">
        <v>3</v>
      </c>
      <c r="G282" s="3" t="b">
        <v>0</v>
      </c>
      <c r="H282" s="3">
        <v>4</v>
      </c>
      <c r="I282" s="3">
        <v>1</v>
      </c>
      <c r="J282" s="3">
        <v>0.14000000000000001</v>
      </c>
    </row>
    <row r="283" spans="1:10" x14ac:dyDescent="0.3">
      <c r="A283" s="3">
        <v>282</v>
      </c>
      <c r="B283" s="4">
        <v>40556</v>
      </c>
      <c r="C283" s="3">
        <v>1</v>
      </c>
      <c r="D283" s="3">
        <v>0</v>
      </c>
      <c r="E283" s="3">
        <v>1</v>
      </c>
      <c r="F283" s="3">
        <v>4</v>
      </c>
      <c r="G283" s="3" t="b">
        <v>0</v>
      </c>
      <c r="H283" s="3">
        <v>4</v>
      </c>
      <c r="I283" s="3">
        <v>1</v>
      </c>
      <c r="J283" s="3">
        <v>0.14000000000000001</v>
      </c>
    </row>
    <row r="284" spans="1:10" x14ac:dyDescent="0.3">
      <c r="A284" s="3">
        <v>283</v>
      </c>
      <c r="B284" s="4">
        <v>40556</v>
      </c>
      <c r="C284" s="3">
        <v>1</v>
      </c>
      <c r="D284" s="3">
        <v>0</v>
      </c>
      <c r="E284" s="3">
        <v>1</v>
      </c>
      <c r="F284" s="3">
        <v>5</v>
      </c>
      <c r="G284" s="3" t="b">
        <v>0</v>
      </c>
      <c r="H284" s="3">
        <v>4</v>
      </c>
      <c r="I284" s="3">
        <v>1</v>
      </c>
      <c r="J284" s="3">
        <v>0.14000000000000001</v>
      </c>
    </row>
    <row r="285" spans="1:10" x14ac:dyDescent="0.3">
      <c r="A285" s="3">
        <v>284</v>
      </c>
      <c r="B285" s="4">
        <v>40556</v>
      </c>
      <c r="C285" s="3">
        <v>1</v>
      </c>
      <c r="D285" s="3">
        <v>0</v>
      </c>
      <c r="E285" s="3">
        <v>1</v>
      </c>
      <c r="F285" s="3">
        <v>6</v>
      </c>
      <c r="G285" s="3" t="b">
        <v>0</v>
      </c>
      <c r="H285" s="3">
        <v>4</v>
      </c>
      <c r="I285" s="3">
        <v>1</v>
      </c>
      <c r="J285" s="3">
        <v>0.12</v>
      </c>
    </row>
    <row r="286" spans="1:10" x14ac:dyDescent="0.3">
      <c r="A286" s="3">
        <v>285</v>
      </c>
      <c r="B286" s="4">
        <v>40556</v>
      </c>
      <c r="C286" s="3">
        <v>1</v>
      </c>
      <c r="D286" s="3">
        <v>0</v>
      </c>
      <c r="E286" s="3">
        <v>1</v>
      </c>
      <c r="F286" s="3">
        <v>7</v>
      </c>
      <c r="G286" s="3" t="b">
        <v>0</v>
      </c>
      <c r="H286" s="3">
        <v>4</v>
      </c>
      <c r="I286" s="3">
        <v>1</v>
      </c>
      <c r="J286" s="3">
        <v>0.12</v>
      </c>
    </row>
    <row r="287" spans="1:10" x14ac:dyDescent="0.3">
      <c r="A287" s="3">
        <v>286</v>
      </c>
      <c r="B287" s="4">
        <v>40556</v>
      </c>
      <c r="C287" s="3">
        <v>1</v>
      </c>
      <c r="D287" s="3">
        <v>0</v>
      </c>
      <c r="E287" s="3">
        <v>1</v>
      </c>
      <c r="F287" s="3">
        <v>8</v>
      </c>
      <c r="G287" s="3" t="b">
        <v>0</v>
      </c>
      <c r="H287" s="3">
        <v>4</v>
      </c>
      <c r="I287" s="3">
        <v>1</v>
      </c>
      <c r="J287" s="3">
        <v>0.14000000000000001</v>
      </c>
    </row>
    <row r="288" spans="1:10" x14ac:dyDescent="0.3">
      <c r="A288" s="3">
        <v>287</v>
      </c>
      <c r="B288" s="4">
        <v>40556</v>
      </c>
      <c r="C288" s="3">
        <v>1</v>
      </c>
      <c r="D288" s="3">
        <v>0</v>
      </c>
      <c r="E288" s="3">
        <v>1</v>
      </c>
      <c r="F288" s="3">
        <v>9</v>
      </c>
      <c r="G288" s="3" t="b">
        <v>0</v>
      </c>
      <c r="H288" s="3">
        <v>4</v>
      </c>
      <c r="I288" s="3">
        <v>1</v>
      </c>
      <c r="J288" s="3">
        <v>0.14000000000000001</v>
      </c>
    </row>
    <row r="289" spans="1:10" x14ac:dyDescent="0.3">
      <c r="A289" s="3">
        <v>288</v>
      </c>
      <c r="B289" s="4">
        <v>40556</v>
      </c>
      <c r="C289" s="3">
        <v>1</v>
      </c>
      <c r="D289" s="3">
        <v>0</v>
      </c>
      <c r="E289" s="3">
        <v>1</v>
      </c>
      <c r="F289" s="3">
        <v>10</v>
      </c>
      <c r="G289" s="3" t="b">
        <v>0</v>
      </c>
      <c r="H289" s="3">
        <v>4</v>
      </c>
      <c r="I289" s="3">
        <v>2</v>
      </c>
      <c r="J289" s="3">
        <v>0.16</v>
      </c>
    </row>
    <row r="290" spans="1:10" x14ac:dyDescent="0.3">
      <c r="A290" s="3">
        <v>289</v>
      </c>
      <c r="B290" s="4">
        <v>40556</v>
      </c>
      <c r="C290" s="3">
        <v>1</v>
      </c>
      <c r="D290" s="3">
        <v>0</v>
      </c>
      <c r="E290" s="3">
        <v>1</v>
      </c>
      <c r="F290" s="3">
        <v>11</v>
      </c>
      <c r="G290" s="3" t="b">
        <v>0</v>
      </c>
      <c r="H290" s="3">
        <v>4</v>
      </c>
      <c r="I290" s="3">
        <v>2</v>
      </c>
      <c r="J290" s="3">
        <v>0.2</v>
      </c>
    </row>
    <row r="291" spans="1:10" x14ac:dyDescent="0.3">
      <c r="A291" s="3">
        <v>290</v>
      </c>
      <c r="B291" s="4">
        <v>40556</v>
      </c>
      <c r="C291" s="3">
        <v>1</v>
      </c>
      <c r="D291" s="3">
        <v>0</v>
      </c>
      <c r="E291" s="3">
        <v>1</v>
      </c>
      <c r="F291" s="3">
        <v>12</v>
      </c>
      <c r="G291" s="3" t="b">
        <v>0</v>
      </c>
      <c r="H291" s="3">
        <v>4</v>
      </c>
      <c r="I291" s="3">
        <v>1</v>
      </c>
      <c r="J291" s="3">
        <v>0.2</v>
      </c>
    </row>
    <row r="292" spans="1:10" x14ac:dyDescent="0.3">
      <c r="A292" s="3">
        <v>291</v>
      </c>
      <c r="B292" s="4">
        <v>40556</v>
      </c>
      <c r="C292" s="3">
        <v>1</v>
      </c>
      <c r="D292" s="3">
        <v>0</v>
      </c>
      <c r="E292" s="3">
        <v>1</v>
      </c>
      <c r="F292" s="3">
        <v>13</v>
      </c>
      <c r="G292" s="3" t="b">
        <v>0</v>
      </c>
      <c r="H292" s="3">
        <v>4</v>
      </c>
      <c r="I292" s="3">
        <v>1</v>
      </c>
      <c r="J292" s="3">
        <v>0.22</v>
      </c>
    </row>
    <row r="293" spans="1:10" x14ac:dyDescent="0.3">
      <c r="A293" s="3">
        <v>292</v>
      </c>
      <c r="B293" s="4">
        <v>40556</v>
      </c>
      <c r="C293" s="3">
        <v>1</v>
      </c>
      <c r="D293" s="3">
        <v>0</v>
      </c>
      <c r="E293" s="3">
        <v>1</v>
      </c>
      <c r="F293" s="3">
        <v>14</v>
      </c>
      <c r="G293" s="3" t="b">
        <v>0</v>
      </c>
      <c r="H293" s="3">
        <v>4</v>
      </c>
      <c r="I293" s="3">
        <v>1</v>
      </c>
      <c r="J293" s="3">
        <v>0.22</v>
      </c>
    </row>
    <row r="294" spans="1:10" x14ac:dyDescent="0.3">
      <c r="A294" s="3">
        <v>293</v>
      </c>
      <c r="B294" s="4">
        <v>40556</v>
      </c>
      <c r="C294" s="3">
        <v>1</v>
      </c>
      <c r="D294" s="3">
        <v>0</v>
      </c>
      <c r="E294" s="3">
        <v>1</v>
      </c>
      <c r="F294" s="3">
        <v>15</v>
      </c>
      <c r="G294" s="3" t="b">
        <v>0</v>
      </c>
      <c r="H294" s="3">
        <v>4</v>
      </c>
      <c r="I294" s="3">
        <v>1</v>
      </c>
      <c r="J294" s="3">
        <v>0.24</v>
      </c>
    </row>
    <row r="295" spans="1:10" x14ac:dyDescent="0.3">
      <c r="A295" s="3">
        <v>294</v>
      </c>
      <c r="B295" s="4">
        <v>40556</v>
      </c>
      <c r="C295" s="3">
        <v>1</v>
      </c>
      <c r="D295" s="3">
        <v>0</v>
      </c>
      <c r="E295" s="3">
        <v>1</v>
      </c>
      <c r="F295" s="3">
        <v>16</v>
      </c>
      <c r="G295" s="3" t="b">
        <v>0</v>
      </c>
      <c r="H295" s="3">
        <v>4</v>
      </c>
      <c r="I295" s="3">
        <v>1</v>
      </c>
      <c r="J295" s="3">
        <v>0.24</v>
      </c>
    </row>
    <row r="296" spans="1:10" x14ac:dyDescent="0.3">
      <c r="A296" s="3">
        <v>295</v>
      </c>
      <c r="B296" s="4">
        <v>40556</v>
      </c>
      <c r="C296" s="3">
        <v>1</v>
      </c>
      <c r="D296" s="3">
        <v>0</v>
      </c>
      <c r="E296" s="3">
        <v>1</v>
      </c>
      <c r="F296" s="3">
        <v>17</v>
      </c>
      <c r="G296" s="3" t="b">
        <v>0</v>
      </c>
      <c r="H296" s="3">
        <v>4</v>
      </c>
      <c r="I296" s="3">
        <v>1</v>
      </c>
      <c r="J296" s="3">
        <v>0.2</v>
      </c>
    </row>
    <row r="297" spans="1:10" x14ac:dyDescent="0.3">
      <c r="A297" s="3">
        <v>296</v>
      </c>
      <c r="B297" s="4">
        <v>40556</v>
      </c>
      <c r="C297" s="3">
        <v>1</v>
      </c>
      <c r="D297" s="3">
        <v>0</v>
      </c>
      <c r="E297" s="3">
        <v>1</v>
      </c>
      <c r="F297" s="3">
        <v>18</v>
      </c>
      <c r="G297" s="3" t="b">
        <v>0</v>
      </c>
      <c r="H297" s="3">
        <v>4</v>
      </c>
      <c r="I297" s="3">
        <v>1</v>
      </c>
      <c r="J297" s="3">
        <v>0.2</v>
      </c>
    </row>
    <row r="298" spans="1:10" x14ac:dyDescent="0.3">
      <c r="A298" s="3">
        <v>297</v>
      </c>
      <c r="B298" s="4">
        <v>40556</v>
      </c>
      <c r="C298" s="3">
        <v>1</v>
      </c>
      <c r="D298" s="3">
        <v>0</v>
      </c>
      <c r="E298" s="3">
        <v>1</v>
      </c>
      <c r="F298" s="3">
        <v>19</v>
      </c>
      <c r="G298" s="3" t="b">
        <v>0</v>
      </c>
      <c r="H298" s="3">
        <v>4</v>
      </c>
      <c r="I298" s="3">
        <v>1</v>
      </c>
      <c r="J298" s="3">
        <v>0.16</v>
      </c>
    </row>
    <row r="299" spans="1:10" x14ac:dyDescent="0.3">
      <c r="A299" s="3">
        <v>298</v>
      </c>
      <c r="B299" s="4">
        <v>40556</v>
      </c>
      <c r="C299" s="3">
        <v>1</v>
      </c>
      <c r="D299" s="3">
        <v>0</v>
      </c>
      <c r="E299" s="3">
        <v>1</v>
      </c>
      <c r="F299" s="3">
        <v>20</v>
      </c>
      <c r="G299" s="3" t="b">
        <v>0</v>
      </c>
      <c r="H299" s="3">
        <v>4</v>
      </c>
      <c r="I299" s="3">
        <v>1</v>
      </c>
      <c r="J299" s="3">
        <v>0.16</v>
      </c>
    </row>
    <row r="300" spans="1:10" x14ac:dyDescent="0.3">
      <c r="A300" s="3">
        <v>299</v>
      </c>
      <c r="B300" s="4">
        <v>40556</v>
      </c>
      <c r="C300" s="3">
        <v>1</v>
      </c>
      <c r="D300" s="3">
        <v>0</v>
      </c>
      <c r="E300" s="3">
        <v>1</v>
      </c>
      <c r="F300" s="3">
        <v>21</v>
      </c>
      <c r="G300" s="3" t="b">
        <v>0</v>
      </c>
      <c r="H300" s="3">
        <v>4</v>
      </c>
      <c r="I300" s="3">
        <v>1</v>
      </c>
      <c r="J300" s="3">
        <v>0.14000000000000001</v>
      </c>
    </row>
    <row r="301" spans="1:10" x14ac:dyDescent="0.3">
      <c r="A301" s="3">
        <v>300</v>
      </c>
      <c r="B301" s="4">
        <v>40556</v>
      </c>
      <c r="C301" s="3">
        <v>1</v>
      </c>
      <c r="D301" s="3">
        <v>0</v>
      </c>
      <c r="E301" s="3">
        <v>1</v>
      </c>
      <c r="F301" s="3">
        <v>22</v>
      </c>
      <c r="G301" s="3" t="b">
        <v>0</v>
      </c>
      <c r="H301" s="3">
        <v>4</v>
      </c>
      <c r="I301" s="3">
        <v>1</v>
      </c>
      <c r="J301" s="3">
        <v>0.14000000000000001</v>
      </c>
    </row>
    <row r="302" spans="1:10" x14ac:dyDescent="0.3">
      <c r="A302" s="3">
        <v>301</v>
      </c>
      <c r="B302" s="4">
        <v>40556</v>
      </c>
      <c r="C302" s="3">
        <v>1</v>
      </c>
      <c r="D302" s="3">
        <v>0</v>
      </c>
      <c r="E302" s="3">
        <v>1</v>
      </c>
      <c r="F302" s="3">
        <v>23</v>
      </c>
      <c r="G302" s="3" t="b">
        <v>0</v>
      </c>
      <c r="H302" s="3">
        <v>4</v>
      </c>
      <c r="I302" s="3">
        <v>1</v>
      </c>
      <c r="J302" s="3">
        <v>0.12</v>
      </c>
    </row>
    <row r="303" spans="1:10" x14ac:dyDescent="0.3">
      <c r="A303" s="3">
        <v>302</v>
      </c>
      <c r="B303" s="4">
        <v>40557</v>
      </c>
      <c r="C303" s="3">
        <v>1</v>
      </c>
      <c r="D303" s="3">
        <v>0</v>
      </c>
      <c r="E303" s="3">
        <v>1</v>
      </c>
      <c r="F303" s="3">
        <v>0</v>
      </c>
      <c r="G303" s="3" t="b">
        <v>0</v>
      </c>
      <c r="H303" s="3">
        <v>5</v>
      </c>
      <c r="I303" s="3">
        <v>1</v>
      </c>
      <c r="J303" s="3">
        <v>0.12</v>
      </c>
    </row>
    <row r="304" spans="1:10" x14ac:dyDescent="0.3">
      <c r="A304" s="3">
        <v>303</v>
      </c>
      <c r="B304" s="4">
        <v>40557</v>
      </c>
      <c r="C304" s="3">
        <v>1</v>
      </c>
      <c r="D304" s="3">
        <v>0</v>
      </c>
      <c r="E304" s="3">
        <v>1</v>
      </c>
      <c r="F304" s="3">
        <v>1</v>
      </c>
      <c r="G304" s="3" t="b">
        <v>0</v>
      </c>
      <c r="H304" s="3">
        <v>5</v>
      </c>
      <c r="I304" s="3">
        <v>1</v>
      </c>
      <c r="J304" s="3">
        <v>0.1</v>
      </c>
    </row>
    <row r="305" spans="1:10" x14ac:dyDescent="0.3">
      <c r="A305" s="3">
        <v>304</v>
      </c>
      <c r="B305" s="4">
        <v>40557</v>
      </c>
      <c r="C305" s="3">
        <v>1</v>
      </c>
      <c r="D305" s="3">
        <v>0</v>
      </c>
      <c r="E305" s="3">
        <v>1</v>
      </c>
      <c r="F305" s="3">
        <v>2</v>
      </c>
      <c r="G305" s="3" t="b">
        <v>0</v>
      </c>
      <c r="H305" s="3">
        <v>5</v>
      </c>
      <c r="I305" s="3">
        <v>1</v>
      </c>
      <c r="J305" s="3">
        <v>0.1</v>
      </c>
    </row>
    <row r="306" spans="1:10" x14ac:dyDescent="0.3">
      <c r="A306" s="3">
        <v>305</v>
      </c>
      <c r="B306" s="4">
        <v>40557</v>
      </c>
      <c r="C306" s="3">
        <v>1</v>
      </c>
      <c r="D306" s="3">
        <v>0</v>
      </c>
      <c r="E306" s="3">
        <v>1</v>
      </c>
      <c r="F306" s="3">
        <v>3</v>
      </c>
      <c r="G306" s="3" t="b">
        <v>0</v>
      </c>
      <c r="H306" s="3">
        <v>5</v>
      </c>
      <c r="I306" s="3">
        <v>1</v>
      </c>
      <c r="J306" s="3">
        <v>0.1</v>
      </c>
    </row>
    <row r="307" spans="1:10" x14ac:dyDescent="0.3">
      <c r="A307" s="3">
        <v>306</v>
      </c>
      <c r="B307" s="4">
        <v>40557</v>
      </c>
      <c r="C307" s="3">
        <v>1</v>
      </c>
      <c r="D307" s="3">
        <v>0</v>
      </c>
      <c r="E307" s="3">
        <v>1</v>
      </c>
      <c r="F307" s="3">
        <v>5</v>
      </c>
      <c r="G307" s="3" t="b">
        <v>0</v>
      </c>
      <c r="H307" s="3">
        <v>5</v>
      </c>
      <c r="I307" s="3">
        <v>1</v>
      </c>
      <c r="J307" s="3">
        <v>0.1</v>
      </c>
    </row>
    <row r="308" spans="1:10" x14ac:dyDescent="0.3">
      <c r="A308" s="3">
        <v>307</v>
      </c>
      <c r="B308" s="4">
        <v>40557</v>
      </c>
      <c r="C308" s="3">
        <v>1</v>
      </c>
      <c r="D308" s="3">
        <v>0</v>
      </c>
      <c r="E308" s="3">
        <v>1</v>
      </c>
      <c r="F308" s="3">
        <v>6</v>
      </c>
      <c r="G308" s="3" t="b">
        <v>0</v>
      </c>
      <c r="H308" s="3">
        <v>5</v>
      </c>
      <c r="I308" s="3">
        <v>1</v>
      </c>
      <c r="J308" s="3">
        <v>0.1</v>
      </c>
    </row>
    <row r="309" spans="1:10" x14ac:dyDescent="0.3">
      <c r="A309" s="3">
        <v>308</v>
      </c>
      <c r="B309" s="4">
        <v>40557</v>
      </c>
      <c r="C309" s="3">
        <v>1</v>
      </c>
      <c r="D309" s="3">
        <v>0</v>
      </c>
      <c r="E309" s="3">
        <v>1</v>
      </c>
      <c r="F309" s="3">
        <v>7</v>
      </c>
      <c r="G309" s="3" t="b">
        <v>0</v>
      </c>
      <c r="H309" s="3">
        <v>5</v>
      </c>
      <c r="I309" s="3">
        <v>1</v>
      </c>
      <c r="J309" s="3">
        <v>0.1</v>
      </c>
    </row>
    <row r="310" spans="1:10" x14ac:dyDescent="0.3">
      <c r="A310" s="3">
        <v>309</v>
      </c>
      <c r="B310" s="4">
        <v>40557</v>
      </c>
      <c r="C310" s="3">
        <v>1</v>
      </c>
      <c r="D310" s="3">
        <v>0</v>
      </c>
      <c r="E310" s="3">
        <v>1</v>
      </c>
      <c r="F310" s="3">
        <v>8</v>
      </c>
      <c r="G310" s="3" t="b">
        <v>0</v>
      </c>
      <c r="H310" s="3">
        <v>5</v>
      </c>
      <c r="I310" s="3">
        <v>1</v>
      </c>
      <c r="J310" s="3">
        <v>0.12</v>
      </c>
    </row>
    <row r="311" spans="1:10" x14ac:dyDescent="0.3">
      <c r="A311" s="3">
        <v>310</v>
      </c>
      <c r="B311" s="4">
        <v>40557</v>
      </c>
      <c r="C311" s="3">
        <v>1</v>
      </c>
      <c r="D311" s="3">
        <v>0</v>
      </c>
      <c r="E311" s="3">
        <v>1</v>
      </c>
      <c r="F311" s="3">
        <v>9</v>
      </c>
      <c r="G311" s="3" t="b">
        <v>0</v>
      </c>
      <c r="H311" s="3">
        <v>5</v>
      </c>
      <c r="I311" s="3">
        <v>1</v>
      </c>
      <c r="J311" s="3">
        <v>0.14000000000000001</v>
      </c>
    </row>
    <row r="312" spans="1:10" x14ac:dyDescent="0.3">
      <c r="A312" s="3">
        <v>311</v>
      </c>
      <c r="B312" s="4">
        <v>40557</v>
      </c>
      <c r="C312" s="3">
        <v>1</v>
      </c>
      <c r="D312" s="3">
        <v>0</v>
      </c>
      <c r="E312" s="3">
        <v>1</v>
      </c>
      <c r="F312" s="3">
        <v>10</v>
      </c>
      <c r="G312" s="3" t="b">
        <v>0</v>
      </c>
      <c r="H312" s="3">
        <v>5</v>
      </c>
      <c r="I312" s="3">
        <v>1</v>
      </c>
      <c r="J312" s="3">
        <v>0.18</v>
      </c>
    </row>
    <row r="313" spans="1:10" x14ac:dyDescent="0.3">
      <c r="A313" s="3">
        <v>312</v>
      </c>
      <c r="B313" s="4">
        <v>40557</v>
      </c>
      <c r="C313" s="3">
        <v>1</v>
      </c>
      <c r="D313" s="3">
        <v>0</v>
      </c>
      <c r="E313" s="3">
        <v>1</v>
      </c>
      <c r="F313" s="3">
        <v>11</v>
      </c>
      <c r="G313" s="3" t="b">
        <v>0</v>
      </c>
      <c r="H313" s="3">
        <v>5</v>
      </c>
      <c r="I313" s="3">
        <v>1</v>
      </c>
      <c r="J313" s="3">
        <v>0.18</v>
      </c>
    </row>
    <row r="314" spans="1:10" x14ac:dyDescent="0.3">
      <c r="A314" s="3">
        <v>313</v>
      </c>
      <c r="B314" s="4">
        <v>40557</v>
      </c>
      <c r="C314" s="3">
        <v>1</v>
      </c>
      <c r="D314" s="3">
        <v>0</v>
      </c>
      <c r="E314" s="3">
        <v>1</v>
      </c>
      <c r="F314" s="3">
        <v>12</v>
      </c>
      <c r="G314" s="3" t="b">
        <v>0</v>
      </c>
      <c r="H314" s="3">
        <v>5</v>
      </c>
      <c r="I314" s="3">
        <v>1</v>
      </c>
      <c r="J314" s="3">
        <v>0.2</v>
      </c>
    </row>
    <row r="315" spans="1:10" x14ac:dyDescent="0.3">
      <c r="A315" s="3">
        <v>314</v>
      </c>
      <c r="B315" s="4">
        <v>40557</v>
      </c>
      <c r="C315" s="3">
        <v>1</v>
      </c>
      <c r="D315" s="3">
        <v>0</v>
      </c>
      <c r="E315" s="3">
        <v>1</v>
      </c>
      <c r="F315" s="3">
        <v>13</v>
      </c>
      <c r="G315" s="3" t="b">
        <v>0</v>
      </c>
      <c r="H315" s="3">
        <v>5</v>
      </c>
      <c r="I315" s="3">
        <v>1</v>
      </c>
      <c r="J315" s="3">
        <v>0.22</v>
      </c>
    </row>
    <row r="316" spans="1:10" x14ac:dyDescent="0.3">
      <c r="A316" s="3">
        <v>315</v>
      </c>
      <c r="B316" s="4">
        <v>40557</v>
      </c>
      <c r="C316" s="3">
        <v>1</v>
      </c>
      <c r="D316" s="3">
        <v>0</v>
      </c>
      <c r="E316" s="3">
        <v>1</v>
      </c>
      <c r="F316" s="3">
        <v>14</v>
      </c>
      <c r="G316" s="3" t="b">
        <v>0</v>
      </c>
      <c r="H316" s="3">
        <v>5</v>
      </c>
      <c r="I316" s="3">
        <v>1</v>
      </c>
      <c r="J316" s="3">
        <v>0.22</v>
      </c>
    </row>
    <row r="317" spans="1:10" x14ac:dyDescent="0.3">
      <c r="A317" s="3">
        <v>316</v>
      </c>
      <c r="B317" s="4">
        <v>40557</v>
      </c>
      <c r="C317" s="3">
        <v>1</v>
      </c>
      <c r="D317" s="3">
        <v>0</v>
      </c>
      <c r="E317" s="3">
        <v>1</v>
      </c>
      <c r="F317" s="3">
        <v>15</v>
      </c>
      <c r="G317" s="3" t="b">
        <v>0</v>
      </c>
      <c r="H317" s="3">
        <v>5</v>
      </c>
      <c r="I317" s="3">
        <v>1</v>
      </c>
      <c r="J317" s="3">
        <v>0.24</v>
      </c>
    </row>
    <row r="318" spans="1:10" x14ac:dyDescent="0.3">
      <c r="A318" s="3">
        <v>317</v>
      </c>
      <c r="B318" s="4">
        <v>40557</v>
      </c>
      <c r="C318" s="3">
        <v>1</v>
      </c>
      <c r="D318" s="3">
        <v>0</v>
      </c>
      <c r="E318" s="3">
        <v>1</v>
      </c>
      <c r="F318" s="3">
        <v>16</v>
      </c>
      <c r="G318" s="3" t="b">
        <v>0</v>
      </c>
      <c r="H318" s="3">
        <v>5</v>
      </c>
      <c r="I318" s="3">
        <v>1</v>
      </c>
      <c r="J318" s="3">
        <v>0.22</v>
      </c>
    </row>
    <row r="319" spans="1:10" x14ac:dyDescent="0.3">
      <c r="A319" s="3">
        <v>318</v>
      </c>
      <c r="B319" s="4">
        <v>40557</v>
      </c>
      <c r="C319" s="3">
        <v>1</v>
      </c>
      <c r="D319" s="3">
        <v>0</v>
      </c>
      <c r="E319" s="3">
        <v>1</v>
      </c>
      <c r="F319" s="3">
        <v>17</v>
      </c>
      <c r="G319" s="3" t="b">
        <v>0</v>
      </c>
      <c r="H319" s="3">
        <v>5</v>
      </c>
      <c r="I319" s="3">
        <v>1</v>
      </c>
      <c r="J319" s="3">
        <v>0.22</v>
      </c>
    </row>
    <row r="320" spans="1:10" x14ac:dyDescent="0.3">
      <c r="A320" s="3">
        <v>319</v>
      </c>
      <c r="B320" s="4">
        <v>40557</v>
      </c>
      <c r="C320" s="3">
        <v>1</v>
      </c>
      <c r="D320" s="3">
        <v>0</v>
      </c>
      <c r="E320" s="3">
        <v>1</v>
      </c>
      <c r="F320" s="3">
        <v>18</v>
      </c>
      <c r="G320" s="3" t="b">
        <v>0</v>
      </c>
      <c r="H320" s="3">
        <v>5</v>
      </c>
      <c r="I320" s="3">
        <v>1</v>
      </c>
      <c r="J320" s="3">
        <v>0.2</v>
      </c>
    </row>
    <row r="321" spans="1:10" x14ac:dyDescent="0.3">
      <c r="A321" s="3">
        <v>320</v>
      </c>
      <c r="B321" s="4">
        <v>40557</v>
      </c>
      <c r="C321" s="3">
        <v>1</v>
      </c>
      <c r="D321" s="3">
        <v>0</v>
      </c>
      <c r="E321" s="3">
        <v>1</v>
      </c>
      <c r="F321" s="3">
        <v>19</v>
      </c>
      <c r="G321" s="3" t="b">
        <v>0</v>
      </c>
      <c r="H321" s="3">
        <v>5</v>
      </c>
      <c r="I321" s="3">
        <v>1</v>
      </c>
      <c r="J321" s="3">
        <v>0.16</v>
      </c>
    </row>
    <row r="322" spans="1:10" x14ac:dyDescent="0.3">
      <c r="A322" s="3">
        <v>321</v>
      </c>
      <c r="B322" s="4">
        <v>40557</v>
      </c>
      <c r="C322" s="3">
        <v>1</v>
      </c>
      <c r="D322" s="3">
        <v>0</v>
      </c>
      <c r="E322" s="3">
        <v>1</v>
      </c>
      <c r="F322" s="3">
        <v>20</v>
      </c>
      <c r="G322" s="3" t="b">
        <v>0</v>
      </c>
      <c r="H322" s="3">
        <v>5</v>
      </c>
      <c r="I322" s="3">
        <v>1</v>
      </c>
      <c r="J322" s="3">
        <v>0.18</v>
      </c>
    </row>
    <row r="323" spans="1:10" x14ac:dyDescent="0.3">
      <c r="A323" s="3">
        <v>322</v>
      </c>
      <c r="B323" s="4">
        <v>40557</v>
      </c>
      <c r="C323" s="3">
        <v>1</v>
      </c>
      <c r="D323" s="3">
        <v>0</v>
      </c>
      <c r="E323" s="3">
        <v>1</v>
      </c>
      <c r="F323" s="3">
        <v>21</v>
      </c>
      <c r="G323" s="3" t="b">
        <v>0</v>
      </c>
      <c r="H323" s="3">
        <v>5</v>
      </c>
      <c r="I323" s="3">
        <v>1</v>
      </c>
      <c r="J323" s="3">
        <v>0.16</v>
      </c>
    </row>
    <row r="324" spans="1:10" x14ac:dyDescent="0.3">
      <c r="A324" s="3">
        <v>323</v>
      </c>
      <c r="B324" s="4">
        <v>40557</v>
      </c>
      <c r="C324" s="3">
        <v>1</v>
      </c>
      <c r="D324" s="3">
        <v>0</v>
      </c>
      <c r="E324" s="3">
        <v>1</v>
      </c>
      <c r="F324" s="3">
        <v>22</v>
      </c>
      <c r="G324" s="3" t="b">
        <v>0</v>
      </c>
      <c r="H324" s="3">
        <v>5</v>
      </c>
      <c r="I324" s="3">
        <v>2</v>
      </c>
      <c r="J324" s="3">
        <v>0.16</v>
      </c>
    </row>
    <row r="325" spans="1:10" x14ac:dyDescent="0.3">
      <c r="A325" s="3">
        <v>324</v>
      </c>
      <c r="B325" s="4">
        <v>40557</v>
      </c>
      <c r="C325" s="3">
        <v>1</v>
      </c>
      <c r="D325" s="3">
        <v>0</v>
      </c>
      <c r="E325" s="3">
        <v>1</v>
      </c>
      <c r="F325" s="3">
        <v>23</v>
      </c>
      <c r="G325" s="3" t="b">
        <v>0</v>
      </c>
      <c r="H325" s="3">
        <v>5</v>
      </c>
      <c r="I325" s="3">
        <v>2</v>
      </c>
      <c r="J325" s="3">
        <v>0.18</v>
      </c>
    </row>
    <row r="326" spans="1:10" x14ac:dyDescent="0.3">
      <c r="A326" s="3">
        <v>325</v>
      </c>
      <c r="B326" s="4">
        <v>40558</v>
      </c>
      <c r="C326" s="3">
        <v>1</v>
      </c>
      <c r="D326" s="3">
        <v>0</v>
      </c>
      <c r="E326" s="3">
        <v>1</v>
      </c>
      <c r="F326" s="3">
        <v>0</v>
      </c>
      <c r="G326" s="3" t="b">
        <v>0</v>
      </c>
      <c r="H326" s="3">
        <v>6</v>
      </c>
      <c r="I326" s="3">
        <v>1</v>
      </c>
      <c r="J326" s="3">
        <v>0.18</v>
      </c>
    </row>
    <row r="327" spans="1:10" x14ac:dyDescent="0.3">
      <c r="A327" s="3">
        <v>326</v>
      </c>
      <c r="B327" s="4">
        <v>40558</v>
      </c>
      <c r="C327" s="3">
        <v>1</v>
      </c>
      <c r="D327" s="3">
        <v>0</v>
      </c>
      <c r="E327" s="3">
        <v>1</v>
      </c>
      <c r="F327" s="3">
        <v>1</v>
      </c>
      <c r="G327" s="3" t="b">
        <v>0</v>
      </c>
      <c r="H327" s="3">
        <v>6</v>
      </c>
      <c r="I327" s="3">
        <v>2</v>
      </c>
      <c r="J327" s="3">
        <v>0.16</v>
      </c>
    </row>
    <row r="328" spans="1:10" x14ac:dyDescent="0.3">
      <c r="A328" s="3">
        <v>327</v>
      </c>
      <c r="B328" s="4">
        <v>40558</v>
      </c>
      <c r="C328" s="3">
        <v>1</v>
      </c>
      <c r="D328" s="3">
        <v>0</v>
      </c>
      <c r="E328" s="3">
        <v>1</v>
      </c>
      <c r="F328" s="3">
        <v>2</v>
      </c>
      <c r="G328" s="3" t="b">
        <v>0</v>
      </c>
      <c r="H328" s="3">
        <v>6</v>
      </c>
      <c r="I328" s="3">
        <v>2</v>
      </c>
      <c r="J328" s="3">
        <v>0.16</v>
      </c>
    </row>
    <row r="329" spans="1:10" x14ac:dyDescent="0.3">
      <c r="A329" s="3">
        <v>328</v>
      </c>
      <c r="B329" s="4">
        <v>40558</v>
      </c>
      <c r="C329" s="3">
        <v>1</v>
      </c>
      <c r="D329" s="3">
        <v>0</v>
      </c>
      <c r="E329" s="3">
        <v>1</v>
      </c>
      <c r="F329" s="3">
        <v>3</v>
      </c>
      <c r="G329" s="3" t="b">
        <v>0</v>
      </c>
      <c r="H329" s="3">
        <v>6</v>
      </c>
      <c r="I329" s="3">
        <v>2</v>
      </c>
      <c r="J329" s="3">
        <v>0.16</v>
      </c>
    </row>
    <row r="330" spans="1:10" x14ac:dyDescent="0.3">
      <c r="A330" s="3">
        <v>329</v>
      </c>
      <c r="B330" s="4">
        <v>40558</v>
      </c>
      <c r="C330" s="3">
        <v>1</v>
      </c>
      <c r="D330" s="3">
        <v>0</v>
      </c>
      <c r="E330" s="3">
        <v>1</v>
      </c>
      <c r="F330" s="3">
        <v>4</v>
      </c>
      <c r="G330" s="3" t="b">
        <v>0</v>
      </c>
      <c r="H330" s="3">
        <v>6</v>
      </c>
      <c r="I330" s="3">
        <v>2</v>
      </c>
      <c r="J330" s="3">
        <v>0.16</v>
      </c>
    </row>
    <row r="331" spans="1:10" x14ac:dyDescent="0.3">
      <c r="A331" s="3">
        <v>330</v>
      </c>
      <c r="B331" s="4">
        <v>40558</v>
      </c>
      <c r="C331" s="3">
        <v>1</v>
      </c>
      <c r="D331" s="3">
        <v>0</v>
      </c>
      <c r="E331" s="3">
        <v>1</v>
      </c>
      <c r="F331" s="3">
        <v>5</v>
      </c>
      <c r="G331" s="3" t="b">
        <v>0</v>
      </c>
      <c r="H331" s="3">
        <v>6</v>
      </c>
      <c r="I331" s="3">
        <v>1</v>
      </c>
      <c r="J331" s="3">
        <v>0.16</v>
      </c>
    </row>
    <row r="332" spans="1:10" x14ac:dyDescent="0.3">
      <c r="A332" s="3">
        <v>331</v>
      </c>
      <c r="B332" s="4">
        <v>40558</v>
      </c>
      <c r="C332" s="3">
        <v>1</v>
      </c>
      <c r="D332" s="3">
        <v>0</v>
      </c>
      <c r="E332" s="3">
        <v>1</v>
      </c>
      <c r="F332" s="3">
        <v>6</v>
      </c>
      <c r="G332" s="3" t="b">
        <v>0</v>
      </c>
      <c r="H332" s="3">
        <v>6</v>
      </c>
      <c r="I332" s="3">
        <v>1</v>
      </c>
      <c r="J332" s="3">
        <v>0.14000000000000001</v>
      </c>
    </row>
    <row r="333" spans="1:10" x14ac:dyDescent="0.3">
      <c r="A333" s="3">
        <v>332</v>
      </c>
      <c r="B333" s="4">
        <v>40558</v>
      </c>
      <c r="C333" s="3">
        <v>1</v>
      </c>
      <c r="D333" s="3">
        <v>0</v>
      </c>
      <c r="E333" s="3">
        <v>1</v>
      </c>
      <c r="F333" s="3">
        <v>7</v>
      </c>
      <c r="G333" s="3" t="b">
        <v>0</v>
      </c>
      <c r="H333" s="3">
        <v>6</v>
      </c>
      <c r="I333" s="3">
        <v>1</v>
      </c>
      <c r="J333" s="3">
        <v>0.14000000000000001</v>
      </c>
    </row>
    <row r="334" spans="1:10" x14ac:dyDescent="0.3">
      <c r="A334" s="3">
        <v>333</v>
      </c>
      <c r="B334" s="4">
        <v>40558</v>
      </c>
      <c r="C334" s="3">
        <v>1</v>
      </c>
      <c r="D334" s="3">
        <v>0</v>
      </c>
      <c r="E334" s="3">
        <v>1</v>
      </c>
      <c r="F334" s="3">
        <v>8</v>
      </c>
      <c r="G334" s="3" t="b">
        <v>0</v>
      </c>
      <c r="H334" s="3">
        <v>6</v>
      </c>
      <c r="I334" s="3">
        <v>1</v>
      </c>
      <c r="J334" s="3">
        <v>0.14000000000000001</v>
      </c>
    </row>
    <row r="335" spans="1:10" x14ac:dyDescent="0.3">
      <c r="A335" s="3">
        <v>334</v>
      </c>
      <c r="B335" s="4">
        <v>40558</v>
      </c>
      <c r="C335" s="3">
        <v>1</v>
      </c>
      <c r="D335" s="3">
        <v>0</v>
      </c>
      <c r="E335" s="3">
        <v>1</v>
      </c>
      <c r="F335" s="3">
        <v>9</v>
      </c>
      <c r="G335" s="3" t="b">
        <v>0</v>
      </c>
      <c r="H335" s="3">
        <v>6</v>
      </c>
      <c r="I335" s="3">
        <v>1</v>
      </c>
      <c r="J335" s="3">
        <v>0.16</v>
      </c>
    </row>
    <row r="336" spans="1:10" x14ac:dyDescent="0.3">
      <c r="A336" s="3">
        <v>335</v>
      </c>
      <c r="B336" s="4">
        <v>40558</v>
      </c>
      <c r="C336" s="3">
        <v>1</v>
      </c>
      <c r="D336" s="3">
        <v>0</v>
      </c>
      <c r="E336" s="3">
        <v>1</v>
      </c>
      <c r="F336" s="3">
        <v>10</v>
      </c>
      <c r="G336" s="3" t="b">
        <v>0</v>
      </c>
      <c r="H336" s="3">
        <v>6</v>
      </c>
      <c r="I336" s="3">
        <v>1</v>
      </c>
      <c r="J336" s="3">
        <v>0.18</v>
      </c>
    </row>
    <row r="337" spans="1:10" x14ac:dyDescent="0.3">
      <c r="A337" s="3">
        <v>336</v>
      </c>
      <c r="B337" s="4">
        <v>40558</v>
      </c>
      <c r="C337" s="3">
        <v>1</v>
      </c>
      <c r="D337" s="3">
        <v>0</v>
      </c>
      <c r="E337" s="3">
        <v>1</v>
      </c>
      <c r="F337" s="3">
        <v>11</v>
      </c>
      <c r="G337" s="3" t="b">
        <v>0</v>
      </c>
      <c r="H337" s="3">
        <v>6</v>
      </c>
      <c r="I337" s="3">
        <v>1</v>
      </c>
      <c r="J337" s="3">
        <v>0.2</v>
      </c>
    </row>
    <row r="338" spans="1:10" x14ac:dyDescent="0.3">
      <c r="A338" s="3">
        <v>337</v>
      </c>
      <c r="B338" s="4">
        <v>40558</v>
      </c>
      <c r="C338" s="3">
        <v>1</v>
      </c>
      <c r="D338" s="3">
        <v>0</v>
      </c>
      <c r="E338" s="3">
        <v>1</v>
      </c>
      <c r="F338" s="3">
        <v>12</v>
      </c>
      <c r="G338" s="3" t="b">
        <v>0</v>
      </c>
      <c r="H338" s="3">
        <v>6</v>
      </c>
      <c r="I338" s="3">
        <v>1</v>
      </c>
      <c r="J338" s="3">
        <v>0.24</v>
      </c>
    </row>
    <row r="339" spans="1:10" x14ac:dyDescent="0.3">
      <c r="A339" s="3">
        <v>338</v>
      </c>
      <c r="B339" s="4">
        <v>40558</v>
      </c>
      <c r="C339" s="3">
        <v>1</v>
      </c>
      <c r="D339" s="3">
        <v>0</v>
      </c>
      <c r="E339" s="3">
        <v>1</v>
      </c>
      <c r="F339" s="3">
        <v>13</v>
      </c>
      <c r="G339" s="3" t="b">
        <v>0</v>
      </c>
      <c r="H339" s="3">
        <v>6</v>
      </c>
      <c r="I339" s="3">
        <v>1</v>
      </c>
      <c r="J339" s="3">
        <v>0.28000000000000003</v>
      </c>
    </row>
    <row r="340" spans="1:10" x14ac:dyDescent="0.3">
      <c r="A340" s="3">
        <v>339</v>
      </c>
      <c r="B340" s="4">
        <v>40558</v>
      </c>
      <c r="C340" s="3">
        <v>1</v>
      </c>
      <c r="D340" s="3">
        <v>0</v>
      </c>
      <c r="E340" s="3">
        <v>1</v>
      </c>
      <c r="F340" s="3">
        <v>14</v>
      </c>
      <c r="G340" s="3" t="b">
        <v>0</v>
      </c>
      <c r="H340" s="3">
        <v>6</v>
      </c>
      <c r="I340" s="3">
        <v>1</v>
      </c>
      <c r="J340" s="3">
        <v>0.3</v>
      </c>
    </row>
    <row r="341" spans="1:10" x14ac:dyDescent="0.3">
      <c r="A341" s="3">
        <v>340</v>
      </c>
      <c r="B341" s="4">
        <v>40558</v>
      </c>
      <c r="C341" s="3">
        <v>1</v>
      </c>
      <c r="D341" s="3">
        <v>0</v>
      </c>
      <c r="E341" s="3">
        <v>1</v>
      </c>
      <c r="F341" s="3">
        <v>15</v>
      </c>
      <c r="G341" s="3" t="b">
        <v>0</v>
      </c>
      <c r="H341" s="3">
        <v>6</v>
      </c>
      <c r="I341" s="3">
        <v>2</v>
      </c>
      <c r="J341" s="3">
        <v>0.32</v>
      </c>
    </row>
    <row r="342" spans="1:10" x14ac:dyDescent="0.3">
      <c r="A342" s="3">
        <v>341</v>
      </c>
      <c r="B342" s="4">
        <v>40558</v>
      </c>
      <c r="C342" s="3">
        <v>1</v>
      </c>
      <c r="D342" s="3">
        <v>0</v>
      </c>
      <c r="E342" s="3">
        <v>1</v>
      </c>
      <c r="F342" s="3">
        <v>16</v>
      </c>
      <c r="G342" s="3" t="b">
        <v>0</v>
      </c>
      <c r="H342" s="3">
        <v>6</v>
      </c>
      <c r="I342" s="3">
        <v>2</v>
      </c>
      <c r="J342" s="3">
        <v>0.34</v>
      </c>
    </row>
    <row r="343" spans="1:10" x14ac:dyDescent="0.3">
      <c r="A343" s="3">
        <v>342</v>
      </c>
      <c r="B343" s="4">
        <v>40558</v>
      </c>
      <c r="C343" s="3">
        <v>1</v>
      </c>
      <c r="D343" s="3">
        <v>0</v>
      </c>
      <c r="E343" s="3">
        <v>1</v>
      </c>
      <c r="F343" s="3">
        <v>17</v>
      </c>
      <c r="G343" s="3" t="b">
        <v>0</v>
      </c>
      <c r="H343" s="3">
        <v>6</v>
      </c>
      <c r="I343" s="3">
        <v>2</v>
      </c>
      <c r="J343" s="3">
        <v>0.32</v>
      </c>
    </row>
    <row r="344" spans="1:10" x14ac:dyDescent="0.3">
      <c r="A344" s="3">
        <v>343</v>
      </c>
      <c r="B344" s="4">
        <v>40558</v>
      </c>
      <c r="C344" s="3">
        <v>1</v>
      </c>
      <c r="D344" s="3">
        <v>0</v>
      </c>
      <c r="E344" s="3">
        <v>1</v>
      </c>
      <c r="F344" s="3">
        <v>18</v>
      </c>
      <c r="G344" s="3" t="b">
        <v>0</v>
      </c>
      <c r="H344" s="3">
        <v>6</v>
      </c>
      <c r="I344" s="3">
        <v>2</v>
      </c>
      <c r="J344" s="3">
        <v>0.3</v>
      </c>
    </row>
    <row r="345" spans="1:10" x14ac:dyDescent="0.3">
      <c r="A345" s="3">
        <v>344</v>
      </c>
      <c r="B345" s="4">
        <v>40558</v>
      </c>
      <c r="C345" s="3">
        <v>1</v>
      </c>
      <c r="D345" s="3">
        <v>0</v>
      </c>
      <c r="E345" s="3">
        <v>1</v>
      </c>
      <c r="F345" s="3">
        <v>19</v>
      </c>
      <c r="G345" s="3" t="b">
        <v>0</v>
      </c>
      <c r="H345" s="3">
        <v>6</v>
      </c>
      <c r="I345" s="3">
        <v>2</v>
      </c>
      <c r="J345" s="3">
        <v>0.32</v>
      </c>
    </row>
    <row r="346" spans="1:10" x14ac:dyDescent="0.3">
      <c r="A346" s="3">
        <v>345</v>
      </c>
      <c r="B346" s="4">
        <v>40558</v>
      </c>
      <c r="C346" s="3">
        <v>1</v>
      </c>
      <c r="D346" s="3">
        <v>0</v>
      </c>
      <c r="E346" s="3">
        <v>1</v>
      </c>
      <c r="F346" s="3">
        <v>20</v>
      </c>
      <c r="G346" s="3" t="b">
        <v>0</v>
      </c>
      <c r="H346" s="3">
        <v>6</v>
      </c>
      <c r="I346" s="3">
        <v>2</v>
      </c>
      <c r="J346" s="3">
        <v>0.32</v>
      </c>
    </row>
    <row r="347" spans="1:10" x14ac:dyDescent="0.3">
      <c r="A347" s="3">
        <v>346</v>
      </c>
      <c r="B347" s="4">
        <v>40558</v>
      </c>
      <c r="C347" s="3">
        <v>1</v>
      </c>
      <c r="D347" s="3">
        <v>0</v>
      </c>
      <c r="E347" s="3">
        <v>1</v>
      </c>
      <c r="F347" s="3">
        <v>21</v>
      </c>
      <c r="G347" s="3" t="b">
        <v>0</v>
      </c>
      <c r="H347" s="3">
        <v>6</v>
      </c>
      <c r="I347" s="3">
        <v>2</v>
      </c>
      <c r="J347" s="3">
        <v>0.32</v>
      </c>
    </row>
    <row r="348" spans="1:10" x14ac:dyDescent="0.3">
      <c r="A348" s="3">
        <v>347</v>
      </c>
      <c r="B348" s="4">
        <v>40558</v>
      </c>
      <c r="C348" s="3">
        <v>1</v>
      </c>
      <c r="D348" s="3">
        <v>0</v>
      </c>
      <c r="E348" s="3">
        <v>1</v>
      </c>
      <c r="F348" s="3">
        <v>22</v>
      </c>
      <c r="G348" s="3" t="b">
        <v>0</v>
      </c>
      <c r="H348" s="3">
        <v>6</v>
      </c>
      <c r="I348" s="3">
        <v>2</v>
      </c>
      <c r="J348" s="3">
        <v>0.3</v>
      </c>
    </row>
    <row r="349" spans="1:10" x14ac:dyDescent="0.3">
      <c r="A349" s="3">
        <v>348</v>
      </c>
      <c r="B349" s="4">
        <v>40558</v>
      </c>
      <c r="C349" s="3">
        <v>1</v>
      </c>
      <c r="D349" s="3">
        <v>0</v>
      </c>
      <c r="E349" s="3">
        <v>1</v>
      </c>
      <c r="F349" s="3">
        <v>23</v>
      </c>
      <c r="G349" s="3" t="b">
        <v>0</v>
      </c>
      <c r="H349" s="3">
        <v>6</v>
      </c>
      <c r="I349" s="3">
        <v>1</v>
      </c>
      <c r="J349" s="3">
        <v>0.3</v>
      </c>
    </row>
    <row r="350" spans="1:10" x14ac:dyDescent="0.3">
      <c r="A350" s="3">
        <v>349</v>
      </c>
      <c r="B350" s="4">
        <v>40559</v>
      </c>
      <c r="C350" s="3">
        <v>1</v>
      </c>
      <c r="D350" s="3">
        <v>0</v>
      </c>
      <c r="E350" s="3">
        <v>1</v>
      </c>
      <c r="F350" s="3">
        <v>0</v>
      </c>
      <c r="G350" s="3" t="b">
        <v>0</v>
      </c>
      <c r="H350" s="3">
        <v>0</v>
      </c>
      <c r="I350" s="3">
        <v>1</v>
      </c>
      <c r="J350" s="3">
        <v>0.26</v>
      </c>
    </row>
    <row r="351" spans="1:10" x14ac:dyDescent="0.3">
      <c r="A351" s="3">
        <v>350</v>
      </c>
      <c r="B351" s="4">
        <v>40559</v>
      </c>
      <c r="C351" s="3">
        <v>1</v>
      </c>
      <c r="D351" s="3">
        <v>0</v>
      </c>
      <c r="E351" s="3">
        <v>1</v>
      </c>
      <c r="F351" s="3">
        <v>1</v>
      </c>
      <c r="G351" s="3" t="b">
        <v>0</v>
      </c>
      <c r="H351" s="3">
        <v>0</v>
      </c>
      <c r="I351" s="3">
        <v>1</v>
      </c>
      <c r="J351" s="3">
        <v>0.26</v>
      </c>
    </row>
    <row r="352" spans="1:10" x14ac:dyDescent="0.3">
      <c r="A352" s="3">
        <v>351</v>
      </c>
      <c r="B352" s="4">
        <v>40559</v>
      </c>
      <c r="C352" s="3">
        <v>1</v>
      </c>
      <c r="D352" s="3">
        <v>0</v>
      </c>
      <c r="E352" s="3">
        <v>1</v>
      </c>
      <c r="F352" s="3">
        <v>2</v>
      </c>
      <c r="G352" s="3" t="b">
        <v>0</v>
      </c>
      <c r="H352" s="3">
        <v>0</v>
      </c>
      <c r="I352" s="3">
        <v>1</v>
      </c>
      <c r="J352" s="3">
        <v>0.26</v>
      </c>
    </row>
    <row r="353" spans="1:10" x14ac:dyDescent="0.3">
      <c r="A353" s="3">
        <v>352</v>
      </c>
      <c r="B353" s="4">
        <v>40559</v>
      </c>
      <c r="C353" s="3">
        <v>1</v>
      </c>
      <c r="D353" s="3">
        <v>0</v>
      </c>
      <c r="E353" s="3">
        <v>1</v>
      </c>
      <c r="F353" s="3">
        <v>3</v>
      </c>
      <c r="G353" s="3" t="b">
        <v>0</v>
      </c>
      <c r="H353" s="3">
        <v>0</v>
      </c>
      <c r="I353" s="3">
        <v>1</v>
      </c>
      <c r="J353" s="3">
        <v>0.22</v>
      </c>
    </row>
    <row r="354" spans="1:10" x14ac:dyDescent="0.3">
      <c r="A354" s="3">
        <v>353</v>
      </c>
      <c r="B354" s="4">
        <v>40559</v>
      </c>
      <c r="C354" s="3">
        <v>1</v>
      </c>
      <c r="D354" s="3">
        <v>0</v>
      </c>
      <c r="E354" s="3">
        <v>1</v>
      </c>
      <c r="F354" s="3">
        <v>4</v>
      </c>
      <c r="G354" s="3" t="b">
        <v>0</v>
      </c>
      <c r="H354" s="3">
        <v>0</v>
      </c>
      <c r="I354" s="3">
        <v>1</v>
      </c>
      <c r="J354" s="3">
        <v>0.26</v>
      </c>
    </row>
    <row r="355" spans="1:10" x14ac:dyDescent="0.3">
      <c r="A355" s="3">
        <v>354</v>
      </c>
      <c r="B355" s="4">
        <v>40559</v>
      </c>
      <c r="C355" s="3">
        <v>1</v>
      </c>
      <c r="D355" s="3">
        <v>0</v>
      </c>
      <c r="E355" s="3">
        <v>1</v>
      </c>
      <c r="F355" s="3">
        <v>5</v>
      </c>
      <c r="G355" s="3" t="b">
        <v>0</v>
      </c>
      <c r="H355" s="3">
        <v>0</v>
      </c>
      <c r="I355" s="3">
        <v>2</v>
      </c>
      <c r="J355" s="3">
        <v>0.26</v>
      </c>
    </row>
    <row r="356" spans="1:10" x14ac:dyDescent="0.3">
      <c r="A356" s="3">
        <v>355</v>
      </c>
      <c r="B356" s="4">
        <v>40559</v>
      </c>
      <c r="C356" s="3">
        <v>1</v>
      </c>
      <c r="D356" s="3">
        <v>0</v>
      </c>
      <c r="E356" s="3">
        <v>1</v>
      </c>
      <c r="F356" s="3">
        <v>6</v>
      </c>
      <c r="G356" s="3" t="b">
        <v>0</v>
      </c>
      <c r="H356" s="3">
        <v>0</v>
      </c>
      <c r="I356" s="3">
        <v>2</v>
      </c>
      <c r="J356" s="3">
        <v>0.26</v>
      </c>
    </row>
    <row r="357" spans="1:10" x14ac:dyDescent="0.3">
      <c r="A357" s="3">
        <v>356</v>
      </c>
      <c r="B357" s="4">
        <v>40559</v>
      </c>
      <c r="C357" s="3">
        <v>1</v>
      </c>
      <c r="D357" s="3">
        <v>0</v>
      </c>
      <c r="E357" s="3">
        <v>1</v>
      </c>
      <c r="F357" s="3">
        <v>7</v>
      </c>
      <c r="G357" s="3" t="b">
        <v>0</v>
      </c>
      <c r="H357" s="3">
        <v>0</v>
      </c>
      <c r="I357" s="3">
        <v>2</v>
      </c>
      <c r="J357" s="3">
        <v>0.24</v>
      </c>
    </row>
    <row r="358" spans="1:10" x14ac:dyDescent="0.3">
      <c r="A358" s="3">
        <v>357</v>
      </c>
      <c r="B358" s="4">
        <v>40559</v>
      </c>
      <c r="C358" s="3">
        <v>1</v>
      </c>
      <c r="D358" s="3">
        <v>0</v>
      </c>
      <c r="E358" s="3">
        <v>1</v>
      </c>
      <c r="F358" s="3">
        <v>8</v>
      </c>
      <c r="G358" s="3" t="b">
        <v>0</v>
      </c>
      <c r="H358" s="3">
        <v>0</v>
      </c>
      <c r="I358" s="3">
        <v>1</v>
      </c>
      <c r="J358" s="3">
        <v>0.22</v>
      </c>
    </row>
    <row r="359" spans="1:10" x14ac:dyDescent="0.3">
      <c r="A359" s="3">
        <v>358</v>
      </c>
      <c r="B359" s="4">
        <v>40559</v>
      </c>
      <c r="C359" s="3">
        <v>1</v>
      </c>
      <c r="D359" s="3">
        <v>0</v>
      </c>
      <c r="E359" s="3">
        <v>1</v>
      </c>
      <c r="F359" s="3">
        <v>9</v>
      </c>
      <c r="G359" s="3" t="b">
        <v>0</v>
      </c>
      <c r="H359" s="3">
        <v>0</v>
      </c>
      <c r="I359" s="3">
        <v>1</v>
      </c>
      <c r="J359" s="3">
        <v>0.22</v>
      </c>
    </row>
    <row r="360" spans="1:10" x14ac:dyDescent="0.3">
      <c r="A360" s="3">
        <v>359</v>
      </c>
      <c r="B360" s="4">
        <v>40559</v>
      </c>
      <c r="C360" s="3">
        <v>1</v>
      </c>
      <c r="D360" s="3">
        <v>0</v>
      </c>
      <c r="E360" s="3">
        <v>1</v>
      </c>
      <c r="F360" s="3">
        <v>10</v>
      </c>
      <c r="G360" s="3" t="b">
        <v>0</v>
      </c>
      <c r="H360" s="3">
        <v>0</v>
      </c>
      <c r="I360" s="3">
        <v>1</v>
      </c>
      <c r="J360" s="3">
        <v>0.22</v>
      </c>
    </row>
    <row r="361" spans="1:10" x14ac:dyDescent="0.3">
      <c r="A361" s="3">
        <v>360</v>
      </c>
      <c r="B361" s="4">
        <v>40559</v>
      </c>
      <c r="C361" s="3">
        <v>1</v>
      </c>
      <c r="D361" s="3">
        <v>0</v>
      </c>
      <c r="E361" s="3">
        <v>1</v>
      </c>
      <c r="F361" s="3">
        <v>11</v>
      </c>
      <c r="G361" s="3" t="b">
        <v>0</v>
      </c>
      <c r="H361" s="3">
        <v>0</v>
      </c>
      <c r="I361" s="3">
        <v>1</v>
      </c>
      <c r="J361" s="3">
        <v>0.24</v>
      </c>
    </row>
    <row r="362" spans="1:10" x14ac:dyDescent="0.3">
      <c r="A362" s="3">
        <v>361</v>
      </c>
      <c r="B362" s="4">
        <v>40559</v>
      </c>
      <c r="C362" s="3">
        <v>1</v>
      </c>
      <c r="D362" s="3">
        <v>0</v>
      </c>
      <c r="E362" s="3">
        <v>1</v>
      </c>
      <c r="F362" s="3">
        <v>12</v>
      </c>
      <c r="G362" s="3" t="b">
        <v>0</v>
      </c>
      <c r="H362" s="3">
        <v>0</v>
      </c>
      <c r="I362" s="3">
        <v>1</v>
      </c>
      <c r="J362" s="3">
        <v>0.24</v>
      </c>
    </row>
    <row r="363" spans="1:10" x14ac:dyDescent="0.3">
      <c r="A363" s="3">
        <v>362</v>
      </c>
      <c r="B363" s="4">
        <v>40559</v>
      </c>
      <c r="C363" s="3">
        <v>1</v>
      </c>
      <c r="D363" s="3">
        <v>0</v>
      </c>
      <c r="E363" s="3">
        <v>1</v>
      </c>
      <c r="F363" s="3">
        <v>13</v>
      </c>
      <c r="G363" s="3" t="b">
        <v>0</v>
      </c>
      <c r="H363" s="3">
        <v>0</v>
      </c>
      <c r="I363" s="3">
        <v>1</v>
      </c>
      <c r="J363" s="3">
        <v>0.26</v>
      </c>
    </row>
    <row r="364" spans="1:10" x14ac:dyDescent="0.3">
      <c r="A364" s="3">
        <v>363</v>
      </c>
      <c r="B364" s="4">
        <v>40559</v>
      </c>
      <c r="C364" s="3">
        <v>1</v>
      </c>
      <c r="D364" s="3">
        <v>0</v>
      </c>
      <c r="E364" s="3">
        <v>1</v>
      </c>
      <c r="F364" s="3">
        <v>14</v>
      </c>
      <c r="G364" s="3" t="b">
        <v>0</v>
      </c>
      <c r="H364" s="3">
        <v>0</v>
      </c>
      <c r="I364" s="3">
        <v>1</v>
      </c>
      <c r="J364" s="3">
        <v>0.28000000000000003</v>
      </c>
    </row>
    <row r="365" spans="1:10" x14ac:dyDescent="0.3">
      <c r="A365" s="3">
        <v>364</v>
      </c>
      <c r="B365" s="4">
        <v>40559</v>
      </c>
      <c r="C365" s="3">
        <v>1</v>
      </c>
      <c r="D365" s="3">
        <v>0</v>
      </c>
      <c r="E365" s="3">
        <v>1</v>
      </c>
      <c r="F365" s="3">
        <v>15</v>
      </c>
      <c r="G365" s="3" t="b">
        <v>0</v>
      </c>
      <c r="H365" s="3">
        <v>0</v>
      </c>
      <c r="I365" s="3">
        <v>1</v>
      </c>
      <c r="J365" s="3">
        <v>0.26</v>
      </c>
    </row>
    <row r="366" spans="1:10" x14ac:dyDescent="0.3">
      <c r="A366" s="3">
        <v>365</v>
      </c>
      <c r="B366" s="4">
        <v>40559</v>
      </c>
      <c r="C366" s="3">
        <v>1</v>
      </c>
      <c r="D366" s="3">
        <v>0</v>
      </c>
      <c r="E366" s="3">
        <v>1</v>
      </c>
      <c r="F366" s="3">
        <v>16</v>
      </c>
      <c r="G366" s="3" t="b">
        <v>0</v>
      </c>
      <c r="H366" s="3">
        <v>0</v>
      </c>
      <c r="I366" s="3">
        <v>1</v>
      </c>
      <c r="J366" s="3">
        <v>0.24</v>
      </c>
    </row>
    <row r="367" spans="1:10" x14ac:dyDescent="0.3">
      <c r="A367" s="3">
        <v>366</v>
      </c>
      <c r="B367" s="4">
        <v>40559</v>
      </c>
      <c r="C367" s="3">
        <v>1</v>
      </c>
      <c r="D367" s="3">
        <v>0</v>
      </c>
      <c r="E367" s="3">
        <v>1</v>
      </c>
      <c r="F367" s="3">
        <v>17</v>
      </c>
      <c r="G367" s="3" t="b">
        <v>0</v>
      </c>
      <c r="H367" s="3">
        <v>0</v>
      </c>
      <c r="I367" s="3">
        <v>1</v>
      </c>
      <c r="J367" s="3">
        <v>0.22</v>
      </c>
    </row>
    <row r="368" spans="1:10" x14ac:dyDescent="0.3">
      <c r="A368" s="3">
        <v>367</v>
      </c>
      <c r="B368" s="4">
        <v>40559</v>
      </c>
      <c r="C368" s="3">
        <v>1</v>
      </c>
      <c r="D368" s="3">
        <v>0</v>
      </c>
      <c r="E368" s="3">
        <v>1</v>
      </c>
      <c r="F368" s="3">
        <v>18</v>
      </c>
      <c r="G368" s="3" t="b">
        <v>0</v>
      </c>
      <c r="H368" s="3">
        <v>0</v>
      </c>
      <c r="I368" s="3">
        <v>1</v>
      </c>
      <c r="J368" s="3">
        <v>0.2</v>
      </c>
    </row>
    <row r="369" spans="1:10" x14ac:dyDescent="0.3">
      <c r="A369" s="3">
        <v>368</v>
      </c>
      <c r="B369" s="4">
        <v>40559</v>
      </c>
      <c r="C369" s="3">
        <v>1</v>
      </c>
      <c r="D369" s="3">
        <v>0</v>
      </c>
      <c r="E369" s="3">
        <v>1</v>
      </c>
      <c r="F369" s="3">
        <v>19</v>
      </c>
      <c r="G369" s="3" t="b">
        <v>0</v>
      </c>
      <c r="H369" s="3">
        <v>0</v>
      </c>
      <c r="I369" s="3">
        <v>1</v>
      </c>
      <c r="J369" s="3">
        <v>0.18</v>
      </c>
    </row>
    <row r="370" spans="1:10" x14ac:dyDescent="0.3">
      <c r="A370" s="3">
        <v>369</v>
      </c>
      <c r="B370" s="4">
        <v>40559</v>
      </c>
      <c r="C370" s="3">
        <v>1</v>
      </c>
      <c r="D370" s="3">
        <v>0</v>
      </c>
      <c r="E370" s="3">
        <v>1</v>
      </c>
      <c r="F370" s="3">
        <v>20</v>
      </c>
      <c r="G370" s="3" t="b">
        <v>0</v>
      </c>
      <c r="H370" s="3">
        <v>0</v>
      </c>
      <c r="I370" s="3">
        <v>1</v>
      </c>
      <c r="J370" s="3">
        <v>0.18</v>
      </c>
    </row>
    <row r="371" spans="1:10" x14ac:dyDescent="0.3">
      <c r="A371" s="3">
        <v>370</v>
      </c>
      <c r="B371" s="4">
        <v>40559</v>
      </c>
      <c r="C371" s="3">
        <v>1</v>
      </c>
      <c r="D371" s="3">
        <v>0</v>
      </c>
      <c r="E371" s="3">
        <v>1</v>
      </c>
      <c r="F371" s="3">
        <v>21</v>
      </c>
      <c r="G371" s="3" t="b">
        <v>0</v>
      </c>
      <c r="H371" s="3">
        <v>0</v>
      </c>
      <c r="I371" s="3">
        <v>1</v>
      </c>
      <c r="J371" s="3">
        <v>0.18</v>
      </c>
    </row>
    <row r="372" spans="1:10" x14ac:dyDescent="0.3">
      <c r="A372" s="3">
        <v>371</v>
      </c>
      <c r="B372" s="4">
        <v>40559</v>
      </c>
      <c r="C372" s="3">
        <v>1</v>
      </c>
      <c r="D372" s="3">
        <v>0</v>
      </c>
      <c r="E372" s="3">
        <v>1</v>
      </c>
      <c r="F372" s="3">
        <v>22</v>
      </c>
      <c r="G372" s="3" t="b">
        <v>0</v>
      </c>
      <c r="H372" s="3">
        <v>0</v>
      </c>
      <c r="I372" s="3">
        <v>2</v>
      </c>
      <c r="J372" s="3">
        <v>0.2</v>
      </c>
    </row>
    <row r="373" spans="1:10" x14ac:dyDescent="0.3">
      <c r="A373" s="3">
        <v>372</v>
      </c>
      <c r="B373" s="4">
        <v>40559</v>
      </c>
      <c r="C373" s="3">
        <v>1</v>
      </c>
      <c r="D373" s="3">
        <v>0</v>
      </c>
      <c r="E373" s="3">
        <v>1</v>
      </c>
      <c r="F373" s="3">
        <v>23</v>
      </c>
      <c r="G373" s="3" t="b">
        <v>0</v>
      </c>
      <c r="H373" s="3">
        <v>0</v>
      </c>
      <c r="I373" s="3">
        <v>2</v>
      </c>
      <c r="J373" s="3">
        <v>0.2</v>
      </c>
    </row>
    <row r="374" spans="1:10" x14ac:dyDescent="0.3">
      <c r="A374" s="3">
        <v>373</v>
      </c>
      <c r="B374" s="4">
        <v>40560</v>
      </c>
      <c r="C374" s="3">
        <v>1</v>
      </c>
      <c r="D374" s="3">
        <v>0</v>
      </c>
      <c r="E374" s="3">
        <v>1</v>
      </c>
      <c r="F374" s="3">
        <v>0</v>
      </c>
      <c r="G374" s="3" t="b">
        <v>1</v>
      </c>
      <c r="H374" s="3">
        <v>1</v>
      </c>
      <c r="I374" s="3">
        <v>2</v>
      </c>
      <c r="J374" s="3">
        <v>0.2</v>
      </c>
    </row>
    <row r="375" spans="1:10" x14ac:dyDescent="0.3">
      <c r="A375" s="3">
        <v>374</v>
      </c>
      <c r="B375" s="4">
        <v>40560</v>
      </c>
      <c r="C375" s="3">
        <v>1</v>
      </c>
      <c r="D375" s="3">
        <v>0</v>
      </c>
      <c r="E375" s="3">
        <v>1</v>
      </c>
      <c r="F375" s="3">
        <v>1</v>
      </c>
      <c r="G375" s="3" t="b">
        <v>1</v>
      </c>
      <c r="H375" s="3">
        <v>1</v>
      </c>
      <c r="I375" s="3">
        <v>2</v>
      </c>
      <c r="J375" s="3">
        <v>0.2</v>
      </c>
    </row>
    <row r="376" spans="1:10" x14ac:dyDescent="0.3">
      <c r="A376" s="3">
        <v>375</v>
      </c>
      <c r="B376" s="4">
        <v>40560</v>
      </c>
      <c r="C376" s="3">
        <v>1</v>
      </c>
      <c r="D376" s="3">
        <v>0</v>
      </c>
      <c r="E376" s="3">
        <v>1</v>
      </c>
      <c r="F376" s="3">
        <v>2</v>
      </c>
      <c r="G376" s="3" t="b">
        <v>1</v>
      </c>
      <c r="H376" s="3">
        <v>1</v>
      </c>
      <c r="I376" s="3">
        <v>2</v>
      </c>
      <c r="J376" s="3">
        <v>0.18</v>
      </c>
    </row>
    <row r="377" spans="1:10" x14ac:dyDescent="0.3">
      <c r="A377" s="3">
        <v>376</v>
      </c>
      <c r="B377" s="4">
        <v>40560</v>
      </c>
      <c r="C377" s="3">
        <v>1</v>
      </c>
      <c r="D377" s="3">
        <v>0</v>
      </c>
      <c r="E377" s="3">
        <v>1</v>
      </c>
      <c r="F377" s="3">
        <v>3</v>
      </c>
      <c r="G377" s="3" t="b">
        <v>1</v>
      </c>
      <c r="H377" s="3">
        <v>1</v>
      </c>
      <c r="I377" s="3">
        <v>2</v>
      </c>
      <c r="J377" s="3">
        <v>0.18</v>
      </c>
    </row>
    <row r="378" spans="1:10" x14ac:dyDescent="0.3">
      <c r="A378" s="3">
        <v>377</v>
      </c>
      <c r="B378" s="4">
        <v>40560</v>
      </c>
      <c r="C378" s="3">
        <v>1</v>
      </c>
      <c r="D378" s="3">
        <v>0</v>
      </c>
      <c r="E378" s="3">
        <v>1</v>
      </c>
      <c r="F378" s="3">
        <v>4</v>
      </c>
      <c r="G378" s="3" t="b">
        <v>1</v>
      </c>
      <c r="H378" s="3">
        <v>1</v>
      </c>
      <c r="I378" s="3">
        <v>2</v>
      </c>
      <c r="J378" s="3">
        <v>0.18</v>
      </c>
    </row>
    <row r="379" spans="1:10" x14ac:dyDescent="0.3">
      <c r="A379" s="3">
        <v>378</v>
      </c>
      <c r="B379" s="4">
        <v>40560</v>
      </c>
      <c r="C379" s="3">
        <v>1</v>
      </c>
      <c r="D379" s="3">
        <v>0</v>
      </c>
      <c r="E379" s="3">
        <v>1</v>
      </c>
      <c r="F379" s="3">
        <v>5</v>
      </c>
      <c r="G379" s="3" t="b">
        <v>1</v>
      </c>
      <c r="H379" s="3">
        <v>1</v>
      </c>
      <c r="I379" s="3">
        <v>2</v>
      </c>
      <c r="J379" s="3">
        <v>0.18</v>
      </c>
    </row>
    <row r="380" spans="1:10" x14ac:dyDescent="0.3">
      <c r="A380" s="3">
        <v>379</v>
      </c>
      <c r="B380" s="4">
        <v>40560</v>
      </c>
      <c r="C380" s="3">
        <v>1</v>
      </c>
      <c r="D380" s="3">
        <v>0</v>
      </c>
      <c r="E380" s="3">
        <v>1</v>
      </c>
      <c r="F380" s="3">
        <v>6</v>
      </c>
      <c r="G380" s="3" t="b">
        <v>1</v>
      </c>
      <c r="H380" s="3">
        <v>1</v>
      </c>
      <c r="I380" s="3">
        <v>2</v>
      </c>
      <c r="J380" s="3">
        <v>0.18</v>
      </c>
    </row>
    <row r="381" spans="1:10" x14ac:dyDescent="0.3">
      <c r="A381" s="3">
        <v>380</v>
      </c>
      <c r="B381" s="4">
        <v>40560</v>
      </c>
      <c r="C381" s="3">
        <v>1</v>
      </c>
      <c r="D381" s="3">
        <v>0</v>
      </c>
      <c r="E381" s="3">
        <v>1</v>
      </c>
      <c r="F381" s="3">
        <v>7</v>
      </c>
      <c r="G381" s="3" t="b">
        <v>1</v>
      </c>
      <c r="H381" s="3">
        <v>1</v>
      </c>
      <c r="I381" s="3">
        <v>2</v>
      </c>
      <c r="J381" s="3">
        <v>0.16</v>
      </c>
    </row>
    <row r="382" spans="1:10" x14ac:dyDescent="0.3">
      <c r="A382" s="3">
        <v>381</v>
      </c>
      <c r="B382" s="4">
        <v>40560</v>
      </c>
      <c r="C382" s="3">
        <v>1</v>
      </c>
      <c r="D382" s="3">
        <v>0</v>
      </c>
      <c r="E382" s="3">
        <v>1</v>
      </c>
      <c r="F382" s="3">
        <v>8</v>
      </c>
      <c r="G382" s="3" t="b">
        <v>1</v>
      </c>
      <c r="H382" s="3">
        <v>1</v>
      </c>
      <c r="I382" s="3">
        <v>2</v>
      </c>
      <c r="J382" s="3">
        <v>0.16</v>
      </c>
    </row>
    <row r="383" spans="1:10" x14ac:dyDescent="0.3">
      <c r="A383" s="3">
        <v>382</v>
      </c>
      <c r="B383" s="4">
        <v>40560</v>
      </c>
      <c r="C383" s="3">
        <v>1</v>
      </c>
      <c r="D383" s="3">
        <v>0</v>
      </c>
      <c r="E383" s="3">
        <v>1</v>
      </c>
      <c r="F383" s="3">
        <v>9</v>
      </c>
      <c r="G383" s="3" t="b">
        <v>1</v>
      </c>
      <c r="H383" s="3">
        <v>1</v>
      </c>
      <c r="I383" s="3">
        <v>2</v>
      </c>
      <c r="J383" s="3">
        <v>0.16</v>
      </c>
    </row>
    <row r="384" spans="1:10" x14ac:dyDescent="0.3">
      <c r="A384" s="3">
        <v>383</v>
      </c>
      <c r="B384" s="4">
        <v>40560</v>
      </c>
      <c r="C384" s="3">
        <v>1</v>
      </c>
      <c r="D384" s="3">
        <v>0</v>
      </c>
      <c r="E384" s="3">
        <v>1</v>
      </c>
      <c r="F384" s="3">
        <v>10</v>
      </c>
      <c r="G384" s="3" t="b">
        <v>1</v>
      </c>
      <c r="H384" s="3">
        <v>1</v>
      </c>
      <c r="I384" s="3">
        <v>2</v>
      </c>
      <c r="J384" s="3">
        <v>0.16</v>
      </c>
    </row>
    <row r="385" spans="1:10" x14ac:dyDescent="0.3">
      <c r="A385" s="3">
        <v>384</v>
      </c>
      <c r="B385" s="4">
        <v>40560</v>
      </c>
      <c r="C385" s="3">
        <v>1</v>
      </c>
      <c r="D385" s="3">
        <v>0</v>
      </c>
      <c r="E385" s="3">
        <v>1</v>
      </c>
      <c r="F385" s="3">
        <v>11</v>
      </c>
      <c r="G385" s="3" t="b">
        <v>1</v>
      </c>
      <c r="H385" s="3">
        <v>1</v>
      </c>
      <c r="I385" s="3">
        <v>2</v>
      </c>
      <c r="J385" s="3">
        <v>0.16</v>
      </c>
    </row>
    <row r="386" spans="1:10" x14ac:dyDescent="0.3">
      <c r="A386" s="3">
        <v>385</v>
      </c>
      <c r="B386" s="4">
        <v>40560</v>
      </c>
      <c r="C386" s="3">
        <v>1</v>
      </c>
      <c r="D386" s="3">
        <v>0</v>
      </c>
      <c r="E386" s="3">
        <v>1</v>
      </c>
      <c r="F386" s="3">
        <v>12</v>
      </c>
      <c r="G386" s="3" t="b">
        <v>1</v>
      </c>
      <c r="H386" s="3">
        <v>1</v>
      </c>
      <c r="I386" s="3">
        <v>2</v>
      </c>
      <c r="J386" s="3">
        <v>0.18</v>
      </c>
    </row>
    <row r="387" spans="1:10" x14ac:dyDescent="0.3">
      <c r="A387" s="3">
        <v>386</v>
      </c>
      <c r="B387" s="4">
        <v>40560</v>
      </c>
      <c r="C387" s="3">
        <v>1</v>
      </c>
      <c r="D387" s="3">
        <v>0</v>
      </c>
      <c r="E387" s="3">
        <v>1</v>
      </c>
      <c r="F387" s="3">
        <v>13</v>
      </c>
      <c r="G387" s="3" t="b">
        <v>1</v>
      </c>
      <c r="H387" s="3">
        <v>1</v>
      </c>
      <c r="I387" s="3">
        <v>2</v>
      </c>
      <c r="J387" s="3">
        <v>0.18</v>
      </c>
    </row>
    <row r="388" spans="1:10" x14ac:dyDescent="0.3">
      <c r="A388" s="3">
        <v>387</v>
      </c>
      <c r="B388" s="4">
        <v>40560</v>
      </c>
      <c r="C388" s="3">
        <v>1</v>
      </c>
      <c r="D388" s="3">
        <v>0</v>
      </c>
      <c r="E388" s="3">
        <v>1</v>
      </c>
      <c r="F388" s="3">
        <v>14</v>
      </c>
      <c r="G388" s="3" t="b">
        <v>1</v>
      </c>
      <c r="H388" s="3">
        <v>1</v>
      </c>
      <c r="I388" s="3">
        <v>2</v>
      </c>
      <c r="J388" s="3">
        <v>0.18</v>
      </c>
    </row>
    <row r="389" spans="1:10" x14ac:dyDescent="0.3">
      <c r="A389" s="3">
        <v>388</v>
      </c>
      <c r="B389" s="4">
        <v>40560</v>
      </c>
      <c r="C389" s="3">
        <v>1</v>
      </c>
      <c r="D389" s="3">
        <v>0</v>
      </c>
      <c r="E389" s="3">
        <v>1</v>
      </c>
      <c r="F389" s="3">
        <v>15</v>
      </c>
      <c r="G389" s="3" t="b">
        <v>1</v>
      </c>
      <c r="H389" s="3">
        <v>1</v>
      </c>
      <c r="I389" s="3">
        <v>2</v>
      </c>
      <c r="J389" s="3">
        <v>0.2</v>
      </c>
    </row>
    <row r="390" spans="1:10" x14ac:dyDescent="0.3">
      <c r="A390" s="3">
        <v>389</v>
      </c>
      <c r="B390" s="4">
        <v>40560</v>
      </c>
      <c r="C390" s="3">
        <v>1</v>
      </c>
      <c r="D390" s="3">
        <v>0</v>
      </c>
      <c r="E390" s="3">
        <v>1</v>
      </c>
      <c r="F390" s="3">
        <v>16</v>
      </c>
      <c r="G390" s="3" t="b">
        <v>1</v>
      </c>
      <c r="H390" s="3">
        <v>1</v>
      </c>
      <c r="I390" s="3">
        <v>2</v>
      </c>
      <c r="J390" s="3">
        <v>0.2</v>
      </c>
    </row>
    <row r="391" spans="1:10" x14ac:dyDescent="0.3">
      <c r="A391" s="3">
        <v>390</v>
      </c>
      <c r="B391" s="4">
        <v>40560</v>
      </c>
      <c r="C391" s="3">
        <v>1</v>
      </c>
      <c r="D391" s="3">
        <v>0</v>
      </c>
      <c r="E391" s="3">
        <v>1</v>
      </c>
      <c r="F391" s="3">
        <v>17</v>
      </c>
      <c r="G391" s="3" t="b">
        <v>1</v>
      </c>
      <c r="H391" s="3">
        <v>1</v>
      </c>
      <c r="I391" s="3">
        <v>1</v>
      </c>
      <c r="J391" s="3">
        <v>0.2</v>
      </c>
    </row>
    <row r="392" spans="1:10" x14ac:dyDescent="0.3">
      <c r="A392" s="3">
        <v>391</v>
      </c>
      <c r="B392" s="4">
        <v>40560</v>
      </c>
      <c r="C392" s="3">
        <v>1</v>
      </c>
      <c r="D392" s="3">
        <v>0</v>
      </c>
      <c r="E392" s="3">
        <v>1</v>
      </c>
      <c r="F392" s="3">
        <v>18</v>
      </c>
      <c r="G392" s="3" t="b">
        <v>1</v>
      </c>
      <c r="H392" s="3">
        <v>1</v>
      </c>
      <c r="I392" s="3">
        <v>2</v>
      </c>
      <c r="J392" s="3">
        <v>0.18</v>
      </c>
    </row>
    <row r="393" spans="1:10" x14ac:dyDescent="0.3">
      <c r="A393" s="3">
        <v>392</v>
      </c>
      <c r="B393" s="4">
        <v>40560</v>
      </c>
      <c r="C393" s="3">
        <v>1</v>
      </c>
      <c r="D393" s="3">
        <v>0</v>
      </c>
      <c r="E393" s="3">
        <v>1</v>
      </c>
      <c r="F393" s="3">
        <v>19</v>
      </c>
      <c r="G393" s="3" t="b">
        <v>1</v>
      </c>
      <c r="H393" s="3">
        <v>1</v>
      </c>
      <c r="I393" s="3">
        <v>3</v>
      </c>
      <c r="J393" s="3">
        <v>0.18</v>
      </c>
    </row>
    <row r="394" spans="1:10" x14ac:dyDescent="0.3">
      <c r="A394" s="3">
        <v>393</v>
      </c>
      <c r="B394" s="4">
        <v>40560</v>
      </c>
      <c r="C394" s="3">
        <v>1</v>
      </c>
      <c r="D394" s="3">
        <v>0</v>
      </c>
      <c r="E394" s="3">
        <v>1</v>
      </c>
      <c r="F394" s="3">
        <v>20</v>
      </c>
      <c r="G394" s="3" t="b">
        <v>1</v>
      </c>
      <c r="H394" s="3">
        <v>1</v>
      </c>
      <c r="I394" s="3">
        <v>3</v>
      </c>
      <c r="J394" s="3">
        <v>0.16</v>
      </c>
    </row>
    <row r="395" spans="1:10" x14ac:dyDescent="0.3">
      <c r="A395" s="3">
        <v>394</v>
      </c>
      <c r="B395" s="4">
        <v>40560</v>
      </c>
      <c r="C395" s="3">
        <v>1</v>
      </c>
      <c r="D395" s="3">
        <v>0</v>
      </c>
      <c r="E395" s="3">
        <v>1</v>
      </c>
      <c r="F395" s="3">
        <v>21</v>
      </c>
      <c r="G395" s="3" t="b">
        <v>1</v>
      </c>
      <c r="H395" s="3">
        <v>1</v>
      </c>
      <c r="I395" s="3">
        <v>3</v>
      </c>
      <c r="J395" s="3">
        <v>0.16</v>
      </c>
    </row>
    <row r="396" spans="1:10" x14ac:dyDescent="0.3">
      <c r="A396" s="3">
        <v>395</v>
      </c>
      <c r="B396" s="4">
        <v>40560</v>
      </c>
      <c r="C396" s="3">
        <v>1</v>
      </c>
      <c r="D396" s="3">
        <v>0</v>
      </c>
      <c r="E396" s="3">
        <v>1</v>
      </c>
      <c r="F396" s="3">
        <v>22</v>
      </c>
      <c r="G396" s="3" t="b">
        <v>1</v>
      </c>
      <c r="H396" s="3">
        <v>1</v>
      </c>
      <c r="I396" s="3">
        <v>3</v>
      </c>
      <c r="J396" s="3">
        <v>0.14000000000000001</v>
      </c>
    </row>
    <row r="397" spans="1:10" x14ac:dyDescent="0.3">
      <c r="A397" s="3">
        <v>396</v>
      </c>
      <c r="B397" s="4">
        <v>40560</v>
      </c>
      <c r="C397" s="3">
        <v>1</v>
      </c>
      <c r="D397" s="3">
        <v>0</v>
      </c>
      <c r="E397" s="3">
        <v>1</v>
      </c>
      <c r="F397" s="3">
        <v>23</v>
      </c>
      <c r="G397" s="3" t="b">
        <v>1</v>
      </c>
      <c r="H397" s="3">
        <v>1</v>
      </c>
      <c r="I397" s="3">
        <v>3</v>
      </c>
      <c r="J397" s="3">
        <v>0.16</v>
      </c>
    </row>
    <row r="398" spans="1:10" x14ac:dyDescent="0.3">
      <c r="A398" s="3">
        <v>397</v>
      </c>
      <c r="B398" s="4">
        <v>40561</v>
      </c>
      <c r="C398" s="3">
        <v>1</v>
      </c>
      <c r="D398" s="3">
        <v>0</v>
      </c>
      <c r="E398" s="3">
        <v>1</v>
      </c>
      <c r="F398" s="3">
        <v>12</v>
      </c>
      <c r="G398" s="3" t="b">
        <v>0</v>
      </c>
      <c r="H398" s="3">
        <v>2</v>
      </c>
      <c r="I398" s="3">
        <v>2</v>
      </c>
      <c r="J398" s="3">
        <v>0.2</v>
      </c>
    </row>
    <row r="399" spans="1:10" x14ac:dyDescent="0.3">
      <c r="A399" s="3">
        <v>398</v>
      </c>
      <c r="B399" s="4">
        <v>40561</v>
      </c>
      <c r="C399" s="3">
        <v>1</v>
      </c>
      <c r="D399" s="3">
        <v>0</v>
      </c>
      <c r="E399" s="3">
        <v>1</v>
      </c>
      <c r="F399" s="3">
        <v>13</v>
      </c>
      <c r="G399" s="3" t="b">
        <v>0</v>
      </c>
      <c r="H399" s="3">
        <v>2</v>
      </c>
      <c r="I399" s="3">
        <v>2</v>
      </c>
      <c r="J399" s="3">
        <v>0.2</v>
      </c>
    </row>
    <row r="400" spans="1:10" x14ac:dyDescent="0.3">
      <c r="A400" s="3">
        <v>399</v>
      </c>
      <c r="B400" s="4">
        <v>40561</v>
      </c>
      <c r="C400" s="3">
        <v>1</v>
      </c>
      <c r="D400" s="3">
        <v>0</v>
      </c>
      <c r="E400" s="3">
        <v>1</v>
      </c>
      <c r="F400" s="3">
        <v>14</v>
      </c>
      <c r="G400" s="3" t="b">
        <v>0</v>
      </c>
      <c r="H400" s="3">
        <v>2</v>
      </c>
      <c r="I400" s="3">
        <v>2</v>
      </c>
      <c r="J400" s="3">
        <v>0.22</v>
      </c>
    </row>
    <row r="401" spans="1:10" x14ac:dyDescent="0.3">
      <c r="A401" s="3">
        <v>400</v>
      </c>
      <c r="B401" s="4">
        <v>40561</v>
      </c>
      <c r="C401" s="3">
        <v>1</v>
      </c>
      <c r="D401" s="3">
        <v>0</v>
      </c>
      <c r="E401" s="3">
        <v>1</v>
      </c>
      <c r="F401" s="3">
        <v>15</v>
      </c>
      <c r="G401" s="3" t="b">
        <v>0</v>
      </c>
      <c r="H401" s="3">
        <v>2</v>
      </c>
      <c r="I401" s="3">
        <v>2</v>
      </c>
      <c r="J401" s="3">
        <v>0.22</v>
      </c>
    </row>
    <row r="402" spans="1:10" x14ac:dyDescent="0.3">
      <c r="A402" s="3">
        <v>401</v>
      </c>
      <c r="B402" s="4">
        <v>40561</v>
      </c>
      <c r="C402" s="3">
        <v>1</v>
      </c>
      <c r="D402" s="3">
        <v>0</v>
      </c>
      <c r="E402" s="3">
        <v>1</v>
      </c>
      <c r="F402" s="3">
        <v>16</v>
      </c>
      <c r="G402" s="3" t="b">
        <v>0</v>
      </c>
      <c r="H402" s="3">
        <v>2</v>
      </c>
      <c r="I402" s="3">
        <v>2</v>
      </c>
      <c r="J402" s="3">
        <v>0.22</v>
      </c>
    </row>
    <row r="403" spans="1:10" x14ac:dyDescent="0.3">
      <c r="A403" s="3">
        <v>402</v>
      </c>
      <c r="B403" s="4">
        <v>40561</v>
      </c>
      <c r="C403" s="3">
        <v>1</v>
      </c>
      <c r="D403" s="3">
        <v>0</v>
      </c>
      <c r="E403" s="3">
        <v>1</v>
      </c>
      <c r="F403" s="3">
        <v>17</v>
      </c>
      <c r="G403" s="3" t="b">
        <v>0</v>
      </c>
      <c r="H403" s="3">
        <v>2</v>
      </c>
      <c r="I403" s="3">
        <v>2</v>
      </c>
      <c r="J403" s="3">
        <v>0.22</v>
      </c>
    </row>
    <row r="404" spans="1:10" x14ac:dyDescent="0.3">
      <c r="A404" s="3">
        <v>403</v>
      </c>
      <c r="B404" s="4">
        <v>40561</v>
      </c>
      <c r="C404" s="3">
        <v>1</v>
      </c>
      <c r="D404" s="3">
        <v>0</v>
      </c>
      <c r="E404" s="3">
        <v>1</v>
      </c>
      <c r="F404" s="3">
        <v>18</v>
      </c>
      <c r="G404" s="3" t="b">
        <v>0</v>
      </c>
      <c r="H404" s="3">
        <v>2</v>
      </c>
      <c r="I404" s="3">
        <v>2</v>
      </c>
      <c r="J404" s="3">
        <v>0.22</v>
      </c>
    </row>
    <row r="405" spans="1:10" x14ac:dyDescent="0.3">
      <c r="A405" s="3">
        <v>404</v>
      </c>
      <c r="B405" s="4">
        <v>40561</v>
      </c>
      <c r="C405" s="3">
        <v>1</v>
      </c>
      <c r="D405" s="3">
        <v>0</v>
      </c>
      <c r="E405" s="3">
        <v>1</v>
      </c>
      <c r="F405" s="3">
        <v>19</v>
      </c>
      <c r="G405" s="3" t="b">
        <v>0</v>
      </c>
      <c r="H405" s="3">
        <v>2</v>
      </c>
      <c r="I405" s="3">
        <v>2</v>
      </c>
      <c r="J405" s="3">
        <v>0.22</v>
      </c>
    </row>
    <row r="406" spans="1:10" x14ac:dyDescent="0.3">
      <c r="A406" s="3">
        <v>405</v>
      </c>
      <c r="B406" s="4">
        <v>40561</v>
      </c>
      <c r="C406" s="3">
        <v>1</v>
      </c>
      <c r="D406" s="3">
        <v>0</v>
      </c>
      <c r="E406" s="3">
        <v>1</v>
      </c>
      <c r="F406" s="3">
        <v>20</v>
      </c>
      <c r="G406" s="3" t="b">
        <v>0</v>
      </c>
      <c r="H406" s="3">
        <v>2</v>
      </c>
      <c r="I406" s="3">
        <v>2</v>
      </c>
      <c r="J406" s="3">
        <v>0.22</v>
      </c>
    </row>
    <row r="407" spans="1:10" x14ac:dyDescent="0.3">
      <c r="A407" s="3">
        <v>406</v>
      </c>
      <c r="B407" s="4">
        <v>40561</v>
      </c>
      <c r="C407" s="3">
        <v>1</v>
      </c>
      <c r="D407" s="3">
        <v>0</v>
      </c>
      <c r="E407" s="3">
        <v>1</v>
      </c>
      <c r="F407" s="3">
        <v>21</v>
      </c>
      <c r="G407" s="3" t="b">
        <v>0</v>
      </c>
      <c r="H407" s="3">
        <v>2</v>
      </c>
      <c r="I407" s="3">
        <v>2</v>
      </c>
      <c r="J407" s="3">
        <v>0.22</v>
      </c>
    </row>
    <row r="408" spans="1:10" x14ac:dyDescent="0.3">
      <c r="A408" s="3">
        <v>407</v>
      </c>
      <c r="B408" s="4">
        <v>40561</v>
      </c>
      <c r="C408" s="3">
        <v>1</v>
      </c>
      <c r="D408" s="3">
        <v>0</v>
      </c>
      <c r="E408" s="3">
        <v>1</v>
      </c>
      <c r="F408" s="3">
        <v>22</v>
      </c>
      <c r="G408" s="3" t="b">
        <v>0</v>
      </c>
      <c r="H408" s="3">
        <v>2</v>
      </c>
      <c r="I408" s="3">
        <v>2</v>
      </c>
      <c r="J408" s="3">
        <v>0.22</v>
      </c>
    </row>
    <row r="409" spans="1:10" x14ac:dyDescent="0.3">
      <c r="A409" s="3">
        <v>408</v>
      </c>
      <c r="B409" s="4">
        <v>40561</v>
      </c>
      <c r="C409" s="3">
        <v>1</v>
      </c>
      <c r="D409" s="3">
        <v>0</v>
      </c>
      <c r="E409" s="3">
        <v>1</v>
      </c>
      <c r="F409" s="3">
        <v>23</v>
      </c>
      <c r="G409" s="3" t="b">
        <v>0</v>
      </c>
      <c r="H409" s="3">
        <v>2</v>
      </c>
      <c r="I409" s="3">
        <v>2</v>
      </c>
      <c r="J409" s="3">
        <v>0.22</v>
      </c>
    </row>
    <row r="410" spans="1:10" x14ac:dyDescent="0.3">
      <c r="A410" s="3">
        <v>409</v>
      </c>
      <c r="B410" s="4">
        <v>40562</v>
      </c>
      <c r="C410" s="3">
        <v>1</v>
      </c>
      <c r="D410" s="3">
        <v>0</v>
      </c>
      <c r="E410" s="3">
        <v>1</v>
      </c>
      <c r="F410" s="3">
        <v>0</v>
      </c>
      <c r="G410" s="3" t="b">
        <v>0</v>
      </c>
      <c r="H410" s="3">
        <v>3</v>
      </c>
      <c r="I410" s="3">
        <v>2</v>
      </c>
      <c r="J410" s="3">
        <v>0.22</v>
      </c>
    </row>
    <row r="411" spans="1:10" x14ac:dyDescent="0.3">
      <c r="A411" s="3">
        <v>410</v>
      </c>
      <c r="B411" s="4">
        <v>40562</v>
      </c>
      <c r="C411" s="3">
        <v>1</v>
      </c>
      <c r="D411" s="3">
        <v>0</v>
      </c>
      <c r="E411" s="3">
        <v>1</v>
      </c>
      <c r="F411" s="3">
        <v>1</v>
      </c>
      <c r="G411" s="3" t="b">
        <v>0</v>
      </c>
      <c r="H411" s="3">
        <v>3</v>
      </c>
      <c r="I411" s="3">
        <v>3</v>
      </c>
      <c r="J411" s="3">
        <v>0.22</v>
      </c>
    </row>
    <row r="412" spans="1:10" x14ac:dyDescent="0.3">
      <c r="A412" s="3">
        <v>411</v>
      </c>
      <c r="B412" s="4">
        <v>40562</v>
      </c>
      <c r="C412" s="3">
        <v>1</v>
      </c>
      <c r="D412" s="3">
        <v>0</v>
      </c>
      <c r="E412" s="3">
        <v>1</v>
      </c>
      <c r="F412" s="3">
        <v>2</v>
      </c>
      <c r="G412" s="3" t="b">
        <v>0</v>
      </c>
      <c r="H412" s="3">
        <v>3</v>
      </c>
      <c r="I412" s="3">
        <v>3</v>
      </c>
      <c r="J412" s="3">
        <v>0.22</v>
      </c>
    </row>
    <row r="413" spans="1:10" x14ac:dyDescent="0.3">
      <c r="A413" s="3">
        <v>412</v>
      </c>
      <c r="B413" s="4">
        <v>40562</v>
      </c>
      <c r="C413" s="3">
        <v>1</v>
      </c>
      <c r="D413" s="3">
        <v>0</v>
      </c>
      <c r="E413" s="3">
        <v>1</v>
      </c>
      <c r="F413" s="3">
        <v>4</v>
      </c>
      <c r="G413" s="3" t="b">
        <v>0</v>
      </c>
      <c r="H413" s="3">
        <v>3</v>
      </c>
      <c r="I413" s="3">
        <v>3</v>
      </c>
      <c r="J413" s="3">
        <v>0.22</v>
      </c>
    </row>
    <row r="414" spans="1:10" x14ac:dyDescent="0.3">
      <c r="A414" s="3">
        <v>413</v>
      </c>
      <c r="B414" s="4">
        <v>40562</v>
      </c>
      <c r="C414" s="3">
        <v>1</v>
      </c>
      <c r="D414" s="3">
        <v>0</v>
      </c>
      <c r="E414" s="3">
        <v>1</v>
      </c>
      <c r="F414" s="3">
        <v>5</v>
      </c>
      <c r="G414" s="3" t="b">
        <v>0</v>
      </c>
      <c r="H414" s="3">
        <v>3</v>
      </c>
      <c r="I414" s="3">
        <v>2</v>
      </c>
      <c r="J414" s="3">
        <v>0.22</v>
      </c>
    </row>
    <row r="415" spans="1:10" x14ac:dyDescent="0.3">
      <c r="A415" s="3">
        <v>414</v>
      </c>
      <c r="B415" s="4">
        <v>40562</v>
      </c>
      <c r="C415" s="3">
        <v>1</v>
      </c>
      <c r="D415" s="3">
        <v>0</v>
      </c>
      <c r="E415" s="3">
        <v>1</v>
      </c>
      <c r="F415" s="3">
        <v>6</v>
      </c>
      <c r="G415" s="3" t="b">
        <v>0</v>
      </c>
      <c r="H415" s="3">
        <v>3</v>
      </c>
      <c r="I415" s="3">
        <v>2</v>
      </c>
      <c r="J415" s="3">
        <v>0.22</v>
      </c>
    </row>
    <row r="416" spans="1:10" x14ac:dyDescent="0.3">
      <c r="A416" s="3">
        <v>415</v>
      </c>
      <c r="B416" s="4">
        <v>40562</v>
      </c>
      <c r="C416" s="3">
        <v>1</v>
      </c>
      <c r="D416" s="3">
        <v>0</v>
      </c>
      <c r="E416" s="3">
        <v>1</v>
      </c>
      <c r="F416" s="3">
        <v>7</v>
      </c>
      <c r="G416" s="3" t="b">
        <v>0</v>
      </c>
      <c r="H416" s="3">
        <v>3</v>
      </c>
      <c r="I416" s="3">
        <v>2</v>
      </c>
      <c r="J416" s="3">
        <v>0.24</v>
      </c>
    </row>
    <row r="417" spans="1:10" x14ac:dyDescent="0.3">
      <c r="A417" s="3">
        <v>416</v>
      </c>
      <c r="B417" s="4">
        <v>40562</v>
      </c>
      <c r="C417" s="3">
        <v>1</v>
      </c>
      <c r="D417" s="3">
        <v>0</v>
      </c>
      <c r="E417" s="3">
        <v>1</v>
      </c>
      <c r="F417" s="3">
        <v>8</v>
      </c>
      <c r="G417" s="3" t="b">
        <v>0</v>
      </c>
      <c r="H417" s="3">
        <v>3</v>
      </c>
      <c r="I417" s="3">
        <v>2</v>
      </c>
      <c r="J417" s="3">
        <v>0.24</v>
      </c>
    </row>
    <row r="418" spans="1:10" x14ac:dyDescent="0.3">
      <c r="A418" s="3">
        <v>417</v>
      </c>
      <c r="B418" s="4">
        <v>40562</v>
      </c>
      <c r="C418" s="3">
        <v>1</v>
      </c>
      <c r="D418" s="3">
        <v>0</v>
      </c>
      <c r="E418" s="3">
        <v>1</v>
      </c>
      <c r="F418" s="3">
        <v>9</v>
      </c>
      <c r="G418" s="3" t="b">
        <v>0</v>
      </c>
      <c r="H418" s="3">
        <v>3</v>
      </c>
      <c r="I418" s="3">
        <v>2</v>
      </c>
      <c r="J418" s="3">
        <v>0.24</v>
      </c>
    </row>
    <row r="419" spans="1:10" x14ac:dyDescent="0.3">
      <c r="A419" s="3">
        <v>418</v>
      </c>
      <c r="B419" s="4">
        <v>40562</v>
      </c>
      <c r="C419" s="3">
        <v>1</v>
      </c>
      <c r="D419" s="3">
        <v>0</v>
      </c>
      <c r="E419" s="3">
        <v>1</v>
      </c>
      <c r="F419" s="3">
        <v>10</v>
      </c>
      <c r="G419" s="3" t="b">
        <v>0</v>
      </c>
      <c r="H419" s="3">
        <v>3</v>
      </c>
      <c r="I419" s="3">
        <v>2</v>
      </c>
      <c r="J419" s="3">
        <v>0.26</v>
      </c>
    </row>
    <row r="420" spans="1:10" x14ac:dyDescent="0.3">
      <c r="A420" s="3">
        <v>419</v>
      </c>
      <c r="B420" s="4">
        <v>40562</v>
      </c>
      <c r="C420" s="3">
        <v>1</v>
      </c>
      <c r="D420" s="3">
        <v>0</v>
      </c>
      <c r="E420" s="3">
        <v>1</v>
      </c>
      <c r="F420" s="3">
        <v>11</v>
      </c>
      <c r="G420" s="3" t="b">
        <v>0</v>
      </c>
      <c r="H420" s="3">
        <v>3</v>
      </c>
      <c r="I420" s="3">
        <v>2</v>
      </c>
      <c r="J420" s="3">
        <v>0.28000000000000003</v>
      </c>
    </row>
    <row r="421" spans="1:10" x14ac:dyDescent="0.3">
      <c r="A421" s="3">
        <v>420</v>
      </c>
      <c r="B421" s="4">
        <v>40562</v>
      </c>
      <c r="C421" s="3">
        <v>1</v>
      </c>
      <c r="D421" s="3">
        <v>0</v>
      </c>
      <c r="E421" s="3">
        <v>1</v>
      </c>
      <c r="F421" s="3">
        <v>12</v>
      </c>
      <c r="G421" s="3" t="b">
        <v>0</v>
      </c>
      <c r="H421" s="3">
        <v>3</v>
      </c>
      <c r="I421" s="3">
        <v>2</v>
      </c>
      <c r="J421" s="3">
        <v>0.3</v>
      </c>
    </row>
    <row r="422" spans="1:10" x14ac:dyDescent="0.3">
      <c r="A422" s="3">
        <v>421</v>
      </c>
      <c r="B422" s="4">
        <v>40562</v>
      </c>
      <c r="C422" s="3">
        <v>1</v>
      </c>
      <c r="D422" s="3">
        <v>0</v>
      </c>
      <c r="E422" s="3">
        <v>1</v>
      </c>
      <c r="F422" s="3">
        <v>13</v>
      </c>
      <c r="G422" s="3" t="b">
        <v>0</v>
      </c>
      <c r="H422" s="3">
        <v>3</v>
      </c>
      <c r="I422" s="3">
        <v>1</v>
      </c>
      <c r="J422" s="3">
        <v>0.4</v>
      </c>
    </row>
    <row r="423" spans="1:10" x14ac:dyDescent="0.3">
      <c r="A423" s="3">
        <v>422</v>
      </c>
      <c r="B423" s="4">
        <v>40562</v>
      </c>
      <c r="C423" s="3">
        <v>1</v>
      </c>
      <c r="D423" s="3">
        <v>0</v>
      </c>
      <c r="E423" s="3">
        <v>1</v>
      </c>
      <c r="F423" s="3">
        <v>14</v>
      </c>
      <c r="G423" s="3" t="b">
        <v>0</v>
      </c>
      <c r="H423" s="3">
        <v>3</v>
      </c>
      <c r="I423" s="3">
        <v>1</v>
      </c>
      <c r="J423" s="3">
        <v>0.4</v>
      </c>
    </row>
    <row r="424" spans="1:10" x14ac:dyDescent="0.3">
      <c r="A424" s="3">
        <v>423</v>
      </c>
      <c r="B424" s="4">
        <v>40562</v>
      </c>
      <c r="C424" s="3">
        <v>1</v>
      </c>
      <c r="D424" s="3">
        <v>0</v>
      </c>
      <c r="E424" s="3">
        <v>1</v>
      </c>
      <c r="F424" s="3">
        <v>15</v>
      </c>
      <c r="G424" s="3" t="b">
        <v>0</v>
      </c>
      <c r="H424" s="3">
        <v>3</v>
      </c>
      <c r="I424" s="3">
        <v>1</v>
      </c>
      <c r="J424" s="3">
        <v>0.4</v>
      </c>
    </row>
    <row r="425" spans="1:10" x14ac:dyDescent="0.3">
      <c r="A425" s="3">
        <v>424</v>
      </c>
      <c r="B425" s="4">
        <v>40562</v>
      </c>
      <c r="C425" s="3">
        <v>1</v>
      </c>
      <c r="D425" s="3">
        <v>0</v>
      </c>
      <c r="E425" s="3">
        <v>1</v>
      </c>
      <c r="F425" s="3">
        <v>16</v>
      </c>
      <c r="G425" s="3" t="b">
        <v>0</v>
      </c>
      <c r="H425" s="3">
        <v>3</v>
      </c>
      <c r="I425" s="3">
        <v>1</v>
      </c>
      <c r="J425" s="3">
        <v>0.38</v>
      </c>
    </row>
    <row r="426" spans="1:10" x14ac:dyDescent="0.3">
      <c r="A426" s="3">
        <v>425</v>
      </c>
      <c r="B426" s="4">
        <v>40562</v>
      </c>
      <c r="C426" s="3">
        <v>1</v>
      </c>
      <c r="D426" s="3">
        <v>0</v>
      </c>
      <c r="E426" s="3">
        <v>1</v>
      </c>
      <c r="F426" s="3">
        <v>17</v>
      </c>
      <c r="G426" s="3" t="b">
        <v>0</v>
      </c>
      <c r="H426" s="3">
        <v>3</v>
      </c>
      <c r="I426" s="3">
        <v>1</v>
      </c>
      <c r="J426" s="3">
        <v>0.36</v>
      </c>
    </row>
    <row r="427" spans="1:10" x14ac:dyDescent="0.3">
      <c r="A427" s="3">
        <v>426</v>
      </c>
      <c r="B427" s="4">
        <v>40562</v>
      </c>
      <c r="C427" s="3">
        <v>1</v>
      </c>
      <c r="D427" s="3">
        <v>0</v>
      </c>
      <c r="E427" s="3">
        <v>1</v>
      </c>
      <c r="F427" s="3">
        <v>18</v>
      </c>
      <c r="G427" s="3" t="b">
        <v>0</v>
      </c>
      <c r="H427" s="3">
        <v>3</v>
      </c>
      <c r="I427" s="3">
        <v>1</v>
      </c>
      <c r="J427" s="3">
        <v>0.34</v>
      </c>
    </row>
    <row r="428" spans="1:10" x14ac:dyDescent="0.3">
      <c r="A428" s="3">
        <v>427</v>
      </c>
      <c r="B428" s="4">
        <v>40562</v>
      </c>
      <c r="C428" s="3">
        <v>1</v>
      </c>
      <c r="D428" s="3">
        <v>0</v>
      </c>
      <c r="E428" s="3">
        <v>1</v>
      </c>
      <c r="F428" s="3">
        <v>19</v>
      </c>
      <c r="G428" s="3" t="b">
        <v>0</v>
      </c>
      <c r="H428" s="3">
        <v>3</v>
      </c>
      <c r="I428" s="3">
        <v>1</v>
      </c>
      <c r="J428" s="3">
        <v>0.32</v>
      </c>
    </row>
    <row r="429" spans="1:10" x14ac:dyDescent="0.3">
      <c r="A429" s="3">
        <v>428</v>
      </c>
      <c r="B429" s="4">
        <v>40562</v>
      </c>
      <c r="C429" s="3">
        <v>1</v>
      </c>
      <c r="D429" s="3">
        <v>0</v>
      </c>
      <c r="E429" s="3">
        <v>1</v>
      </c>
      <c r="F429" s="3">
        <v>20</v>
      </c>
      <c r="G429" s="3" t="b">
        <v>0</v>
      </c>
      <c r="H429" s="3">
        <v>3</v>
      </c>
      <c r="I429" s="3">
        <v>1</v>
      </c>
      <c r="J429" s="3">
        <v>0.32</v>
      </c>
    </row>
    <row r="430" spans="1:10" x14ac:dyDescent="0.3">
      <c r="A430" s="3">
        <v>429</v>
      </c>
      <c r="B430" s="4">
        <v>40562</v>
      </c>
      <c r="C430" s="3">
        <v>1</v>
      </c>
      <c r="D430" s="3">
        <v>0</v>
      </c>
      <c r="E430" s="3">
        <v>1</v>
      </c>
      <c r="F430" s="3">
        <v>21</v>
      </c>
      <c r="G430" s="3" t="b">
        <v>0</v>
      </c>
      <c r="H430" s="3">
        <v>3</v>
      </c>
      <c r="I430" s="3">
        <v>1</v>
      </c>
      <c r="J430" s="3">
        <v>0.32</v>
      </c>
    </row>
    <row r="431" spans="1:10" x14ac:dyDescent="0.3">
      <c r="A431" s="3">
        <v>430</v>
      </c>
      <c r="B431" s="4">
        <v>40562</v>
      </c>
      <c r="C431" s="3">
        <v>1</v>
      </c>
      <c r="D431" s="3">
        <v>0</v>
      </c>
      <c r="E431" s="3">
        <v>1</v>
      </c>
      <c r="F431" s="3">
        <v>22</v>
      </c>
      <c r="G431" s="3" t="b">
        <v>0</v>
      </c>
      <c r="H431" s="3">
        <v>3</v>
      </c>
      <c r="I431" s="3">
        <v>1</v>
      </c>
      <c r="J431" s="3">
        <v>0.3</v>
      </c>
    </row>
    <row r="432" spans="1:10" x14ac:dyDescent="0.3">
      <c r="A432" s="3">
        <v>431</v>
      </c>
      <c r="B432" s="4">
        <v>40562</v>
      </c>
      <c r="C432" s="3">
        <v>1</v>
      </c>
      <c r="D432" s="3">
        <v>0</v>
      </c>
      <c r="E432" s="3">
        <v>1</v>
      </c>
      <c r="F432" s="3">
        <v>23</v>
      </c>
      <c r="G432" s="3" t="b">
        <v>0</v>
      </c>
      <c r="H432" s="3">
        <v>3</v>
      </c>
      <c r="I432" s="3">
        <v>1</v>
      </c>
      <c r="J432" s="3">
        <v>0.3</v>
      </c>
    </row>
    <row r="433" spans="1:10" x14ac:dyDescent="0.3">
      <c r="A433" s="3">
        <v>432</v>
      </c>
      <c r="B433" s="4">
        <v>40563</v>
      </c>
      <c r="C433" s="3">
        <v>1</v>
      </c>
      <c r="D433" s="3">
        <v>0</v>
      </c>
      <c r="E433" s="3">
        <v>1</v>
      </c>
      <c r="F433" s="3">
        <v>0</v>
      </c>
      <c r="G433" s="3" t="b">
        <v>0</v>
      </c>
      <c r="H433" s="3">
        <v>4</v>
      </c>
      <c r="I433" s="3">
        <v>1</v>
      </c>
      <c r="J433" s="3">
        <v>0.26</v>
      </c>
    </row>
    <row r="434" spans="1:10" x14ac:dyDescent="0.3">
      <c r="A434" s="3">
        <v>433</v>
      </c>
      <c r="B434" s="4">
        <v>40563</v>
      </c>
      <c r="C434" s="3">
        <v>1</v>
      </c>
      <c r="D434" s="3">
        <v>0</v>
      </c>
      <c r="E434" s="3">
        <v>1</v>
      </c>
      <c r="F434" s="3">
        <v>1</v>
      </c>
      <c r="G434" s="3" t="b">
        <v>0</v>
      </c>
      <c r="H434" s="3">
        <v>4</v>
      </c>
      <c r="I434" s="3">
        <v>1</v>
      </c>
      <c r="J434" s="3">
        <v>0.26</v>
      </c>
    </row>
    <row r="435" spans="1:10" x14ac:dyDescent="0.3">
      <c r="A435" s="3">
        <v>434</v>
      </c>
      <c r="B435" s="4">
        <v>40563</v>
      </c>
      <c r="C435" s="3">
        <v>1</v>
      </c>
      <c r="D435" s="3">
        <v>0</v>
      </c>
      <c r="E435" s="3">
        <v>1</v>
      </c>
      <c r="F435" s="3">
        <v>2</v>
      </c>
      <c r="G435" s="3" t="b">
        <v>0</v>
      </c>
      <c r="H435" s="3">
        <v>4</v>
      </c>
      <c r="I435" s="3">
        <v>1</v>
      </c>
      <c r="J435" s="3">
        <v>0.26</v>
      </c>
    </row>
    <row r="436" spans="1:10" x14ac:dyDescent="0.3">
      <c r="A436" s="3">
        <v>435</v>
      </c>
      <c r="B436" s="4">
        <v>40563</v>
      </c>
      <c r="C436" s="3">
        <v>1</v>
      </c>
      <c r="D436" s="3">
        <v>0</v>
      </c>
      <c r="E436" s="3">
        <v>1</v>
      </c>
      <c r="F436" s="3">
        <v>3</v>
      </c>
      <c r="G436" s="3" t="b">
        <v>0</v>
      </c>
      <c r="H436" s="3">
        <v>4</v>
      </c>
      <c r="I436" s="3">
        <v>1</v>
      </c>
      <c r="J436" s="3">
        <v>0.26</v>
      </c>
    </row>
    <row r="437" spans="1:10" x14ac:dyDescent="0.3">
      <c r="A437" s="3">
        <v>436</v>
      </c>
      <c r="B437" s="4">
        <v>40563</v>
      </c>
      <c r="C437" s="3">
        <v>1</v>
      </c>
      <c r="D437" s="3">
        <v>0</v>
      </c>
      <c r="E437" s="3">
        <v>1</v>
      </c>
      <c r="F437" s="3">
        <v>4</v>
      </c>
      <c r="G437" s="3" t="b">
        <v>0</v>
      </c>
      <c r="H437" s="3">
        <v>4</v>
      </c>
      <c r="I437" s="3">
        <v>1</v>
      </c>
      <c r="J437" s="3">
        <v>0.26</v>
      </c>
    </row>
    <row r="438" spans="1:10" x14ac:dyDescent="0.3">
      <c r="A438" s="3">
        <v>437</v>
      </c>
      <c r="B438" s="4">
        <v>40563</v>
      </c>
      <c r="C438" s="3">
        <v>1</v>
      </c>
      <c r="D438" s="3">
        <v>0</v>
      </c>
      <c r="E438" s="3">
        <v>1</v>
      </c>
      <c r="F438" s="3">
        <v>5</v>
      </c>
      <c r="G438" s="3" t="b">
        <v>0</v>
      </c>
      <c r="H438" s="3">
        <v>4</v>
      </c>
      <c r="I438" s="3">
        <v>1</v>
      </c>
      <c r="J438" s="3">
        <v>0.24</v>
      </c>
    </row>
    <row r="439" spans="1:10" x14ac:dyDescent="0.3">
      <c r="A439" s="3">
        <v>438</v>
      </c>
      <c r="B439" s="4">
        <v>40563</v>
      </c>
      <c r="C439" s="3">
        <v>1</v>
      </c>
      <c r="D439" s="3">
        <v>0</v>
      </c>
      <c r="E439" s="3">
        <v>1</v>
      </c>
      <c r="F439" s="3">
        <v>6</v>
      </c>
      <c r="G439" s="3" t="b">
        <v>0</v>
      </c>
      <c r="H439" s="3">
        <v>4</v>
      </c>
      <c r="I439" s="3">
        <v>1</v>
      </c>
      <c r="J439" s="3">
        <v>0.22</v>
      </c>
    </row>
    <row r="440" spans="1:10" x14ac:dyDescent="0.3">
      <c r="A440" s="3">
        <v>439</v>
      </c>
      <c r="B440" s="4">
        <v>40563</v>
      </c>
      <c r="C440" s="3">
        <v>1</v>
      </c>
      <c r="D440" s="3">
        <v>0</v>
      </c>
      <c r="E440" s="3">
        <v>1</v>
      </c>
      <c r="F440" s="3">
        <v>7</v>
      </c>
      <c r="G440" s="3" t="b">
        <v>0</v>
      </c>
      <c r="H440" s="3">
        <v>4</v>
      </c>
      <c r="I440" s="3">
        <v>1</v>
      </c>
      <c r="J440" s="3">
        <v>0.22</v>
      </c>
    </row>
    <row r="441" spans="1:10" x14ac:dyDescent="0.3">
      <c r="A441" s="3">
        <v>440</v>
      </c>
      <c r="B441" s="4">
        <v>40563</v>
      </c>
      <c r="C441" s="3">
        <v>1</v>
      </c>
      <c r="D441" s="3">
        <v>0</v>
      </c>
      <c r="E441" s="3">
        <v>1</v>
      </c>
      <c r="F441" s="3">
        <v>8</v>
      </c>
      <c r="G441" s="3" t="b">
        <v>0</v>
      </c>
      <c r="H441" s="3">
        <v>4</v>
      </c>
      <c r="I441" s="3">
        <v>1</v>
      </c>
      <c r="J441" s="3">
        <v>0.22</v>
      </c>
    </row>
    <row r="442" spans="1:10" x14ac:dyDescent="0.3">
      <c r="A442" s="3">
        <v>441</v>
      </c>
      <c r="B442" s="4">
        <v>40563</v>
      </c>
      <c r="C442" s="3">
        <v>1</v>
      </c>
      <c r="D442" s="3">
        <v>0</v>
      </c>
      <c r="E442" s="3">
        <v>1</v>
      </c>
      <c r="F442" s="3">
        <v>9</v>
      </c>
      <c r="G442" s="3" t="b">
        <v>0</v>
      </c>
      <c r="H442" s="3">
        <v>4</v>
      </c>
      <c r="I442" s="3">
        <v>2</v>
      </c>
      <c r="J442" s="3">
        <v>0.24</v>
      </c>
    </row>
    <row r="443" spans="1:10" x14ac:dyDescent="0.3">
      <c r="A443" s="3">
        <v>442</v>
      </c>
      <c r="B443" s="4">
        <v>40563</v>
      </c>
      <c r="C443" s="3">
        <v>1</v>
      </c>
      <c r="D443" s="3">
        <v>0</v>
      </c>
      <c r="E443" s="3">
        <v>1</v>
      </c>
      <c r="F443" s="3">
        <v>10</v>
      </c>
      <c r="G443" s="3" t="b">
        <v>0</v>
      </c>
      <c r="H443" s="3">
        <v>4</v>
      </c>
      <c r="I443" s="3">
        <v>1</v>
      </c>
      <c r="J443" s="3">
        <v>0.26</v>
      </c>
    </row>
    <row r="444" spans="1:10" x14ac:dyDescent="0.3">
      <c r="A444" s="3">
        <v>443</v>
      </c>
      <c r="B444" s="4">
        <v>40563</v>
      </c>
      <c r="C444" s="3">
        <v>1</v>
      </c>
      <c r="D444" s="3">
        <v>0</v>
      </c>
      <c r="E444" s="3">
        <v>1</v>
      </c>
      <c r="F444" s="3">
        <v>11</v>
      </c>
      <c r="G444" s="3" t="b">
        <v>0</v>
      </c>
      <c r="H444" s="3">
        <v>4</v>
      </c>
      <c r="I444" s="3">
        <v>2</v>
      </c>
      <c r="J444" s="3">
        <v>0.28000000000000003</v>
      </c>
    </row>
    <row r="445" spans="1:10" x14ac:dyDescent="0.3">
      <c r="A445" s="3">
        <v>444</v>
      </c>
      <c r="B445" s="4">
        <v>40563</v>
      </c>
      <c r="C445" s="3">
        <v>1</v>
      </c>
      <c r="D445" s="3">
        <v>0</v>
      </c>
      <c r="E445" s="3">
        <v>1</v>
      </c>
      <c r="F445" s="3">
        <v>12</v>
      </c>
      <c r="G445" s="3" t="b">
        <v>0</v>
      </c>
      <c r="H445" s="3">
        <v>4</v>
      </c>
      <c r="I445" s="3">
        <v>2</v>
      </c>
      <c r="J445" s="3">
        <v>0.3</v>
      </c>
    </row>
    <row r="446" spans="1:10" x14ac:dyDescent="0.3">
      <c r="A446" s="3">
        <v>445</v>
      </c>
      <c r="B446" s="4">
        <v>40563</v>
      </c>
      <c r="C446" s="3">
        <v>1</v>
      </c>
      <c r="D446" s="3">
        <v>0</v>
      </c>
      <c r="E446" s="3">
        <v>1</v>
      </c>
      <c r="F446" s="3">
        <v>13</v>
      </c>
      <c r="G446" s="3" t="b">
        <v>0</v>
      </c>
      <c r="H446" s="3">
        <v>4</v>
      </c>
      <c r="I446" s="3">
        <v>2</v>
      </c>
      <c r="J446" s="3">
        <v>0.28000000000000003</v>
      </c>
    </row>
    <row r="447" spans="1:10" x14ac:dyDescent="0.3">
      <c r="A447" s="3">
        <v>446</v>
      </c>
      <c r="B447" s="4">
        <v>40563</v>
      </c>
      <c r="C447" s="3">
        <v>1</v>
      </c>
      <c r="D447" s="3">
        <v>0</v>
      </c>
      <c r="E447" s="3">
        <v>1</v>
      </c>
      <c r="F447" s="3">
        <v>14</v>
      </c>
      <c r="G447" s="3" t="b">
        <v>0</v>
      </c>
      <c r="H447" s="3">
        <v>4</v>
      </c>
      <c r="I447" s="3">
        <v>2</v>
      </c>
      <c r="J447" s="3">
        <v>0.3</v>
      </c>
    </row>
    <row r="448" spans="1:10" x14ac:dyDescent="0.3">
      <c r="A448" s="3">
        <v>447</v>
      </c>
      <c r="B448" s="4">
        <v>40563</v>
      </c>
      <c r="C448" s="3">
        <v>1</v>
      </c>
      <c r="D448" s="3">
        <v>0</v>
      </c>
      <c r="E448" s="3">
        <v>1</v>
      </c>
      <c r="F448" s="3">
        <v>15</v>
      </c>
      <c r="G448" s="3" t="b">
        <v>0</v>
      </c>
      <c r="H448" s="3">
        <v>4</v>
      </c>
      <c r="I448" s="3">
        <v>2</v>
      </c>
      <c r="J448" s="3">
        <v>0.32</v>
      </c>
    </row>
    <row r="449" spans="1:10" x14ac:dyDescent="0.3">
      <c r="A449" s="3">
        <v>448</v>
      </c>
      <c r="B449" s="4">
        <v>40563</v>
      </c>
      <c r="C449" s="3">
        <v>1</v>
      </c>
      <c r="D449" s="3">
        <v>0</v>
      </c>
      <c r="E449" s="3">
        <v>1</v>
      </c>
      <c r="F449" s="3">
        <v>16</v>
      </c>
      <c r="G449" s="3" t="b">
        <v>0</v>
      </c>
      <c r="H449" s="3">
        <v>4</v>
      </c>
      <c r="I449" s="3">
        <v>2</v>
      </c>
      <c r="J449" s="3">
        <v>0.3</v>
      </c>
    </row>
    <row r="450" spans="1:10" x14ac:dyDescent="0.3">
      <c r="A450" s="3">
        <v>449</v>
      </c>
      <c r="B450" s="4">
        <v>40563</v>
      </c>
      <c r="C450" s="3">
        <v>1</v>
      </c>
      <c r="D450" s="3">
        <v>0</v>
      </c>
      <c r="E450" s="3">
        <v>1</v>
      </c>
      <c r="F450" s="3">
        <v>17</v>
      </c>
      <c r="G450" s="3" t="b">
        <v>0</v>
      </c>
      <c r="H450" s="3">
        <v>4</v>
      </c>
      <c r="I450" s="3">
        <v>2</v>
      </c>
      <c r="J450" s="3">
        <v>0.3</v>
      </c>
    </row>
    <row r="451" spans="1:10" x14ac:dyDescent="0.3">
      <c r="A451" s="3">
        <v>450</v>
      </c>
      <c r="B451" s="4">
        <v>40563</v>
      </c>
      <c r="C451" s="3">
        <v>1</v>
      </c>
      <c r="D451" s="3">
        <v>0</v>
      </c>
      <c r="E451" s="3">
        <v>1</v>
      </c>
      <c r="F451" s="3">
        <v>18</v>
      </c>
      <c r="G451" s="3" t="b">
        <v>0</v>
      </c>
      <c r="H451" s="3">
        <v>4</v>
      </c>
      <c r="I451" s="3">
        <v>2</v>
      </c>
      <c r="J451" s="3">
        <v>0.26</v>
      </c>
    </row>
    <row r="452" spans="1:10" x14ac:dyDescent="0.3">
      <c r="A452" s="3">
        <v>451</v>
      </c>
      <c r="B452" s="4">
        <v>40563</v>
      </c>
      <c r="C452" s="3">
        <v>1</v>
      </c>
      <c r="D452" s="3">
        <v>0</v>
      </c>
      <c r="E452" s="3">
        <v>1</v>
      </c>
      <c r="F452" s="3">
        <v>19</v>
      </c>
      <c r="G452" s="3" t="b">
        <v>0</v>
      </c>
      <c r="H452" s="3">
        <v>4</v>
      </c>
      <c r="I452" s="3">
        <v>1</v>
      </c>
      <c r="J452" s="3">
        <v>0.26</v>
      </c>
    </row>
    <row r="453" spans="1:10" x14ac:dyDescent="0.3">
      <c r="A453" s="3">
        <v>452</v>
      </c>
      <c r="B453" s="4">
        <v>40563</v>
      </c>
      <c r="C453" s="3">
        <v>1</v>
      </c>
      <c r="D453" s="3">
        <v>0</v>
      </c>
      <c r="E453" s="3">
        <v>1</v>
      </c>
      <c r="F453" s="3">
        <v>20</v>
      </c>
      <c r="G453" s="3" t="b">
        <v>0</v>
      </c>
      <c r="H453" s="3">
        <v>4</v>
      </c>
      <c r="I453" s="3">
        <v>2</v>
      </c>
      <c r="J453" s="3">
        <v>0.26</v>
      </c>
    </row>
    <row r="454" spans="1:10" x14ac:dyDescent="0.3">
      <c r="A454" s="3">
        <v>453</v>
      </c>
      <c r="B454" s="4">
        <v>40563</v>
      </c>
      <c r="C454" s="3">
        <v>1</v>
      </c>
      <c r="D454" s="3">
        <v>0</v>
      </c>
      <c r="E454" s="3">
        <v>1</v>
      </c>
      <c r="F454" s="3">
        <v>21</v>
      </c>
      <c r="G454" s="3" t="b">
        <v>0</v>
      </c>
      <c r="H454" s="3">
        <v>4</v>
      </c>
      <c r="I454" s="3">
        <v>2</v>
      </c>
      <c r="J454" s="3">
        <v>0.24</v>
      </c>
    </row>
    <row r="455" spans="1:10" x14ac:dyDescent="0.3">
      <c r="A455" s="3">
        <v>454</v>
      </c>
      <c r="B455" s="4">
        <v>40563</v>
      </c>
      <c r="C455" s="3">
        <v>1</v>
      </c>
      <c r="D455" s="3">
        <v>0</v>
      </c>
      <c r="E455" s="3">
        <v>1</v>
      </c>
      <c r="F455" s="3">
        <v>22</v>
      </c>
      <c r="G455" s="3" t="b">
        <v>0</v>
      </c>
      <c r="H455" s="3">
        <v>4</v>
      </c>
      <c r="I455" s="3">
        <v>2</v>
      </c>
      <c r="J455" s="3">
        <v>0.24</v>
      </c>
    </row>
    <row r="456" spans="1:10" x14ac:dyDescent="0.3">
      <c r="A456" s="3">
        <v>455</v>
      </c>
      <c r="B456" s="4">
        <v>40563</v>
      </c>
      <c r="C456" s="3">
        <v>1</v>
      </c>
      <c r="D456" s="3">
        <v>0</v>
      </c>
      <c r="E456" s="3">
        <v>1</v>
      </c>
      <c r="F456" s="3">
        <v>23</v>
      </c>
      <c r="G456" s="3" t="b">
        <v>0</v>
      </c>
      <c r="H456" s="3">
        <v>4</v>
      </c>
      <c r="I456" s="3">
        <v>2</v>
      </c>
      <c r="J456" s="3">
        <v>0.24</v>
      </c>
    </row>
    <row r="457" spans="1:10" x14ac:dyDescent="0.3">
      <c r="A457" s="3">
        <v>456</v>
      </c>
      <c r="B457" s="4">
        <v>40564</v>
      </c>
      <c r="C457" s="3">
        <v>1</v>
      </c>
      <c r="D457" s="3">
        <v>0</v>
      </c>
      <c r="E457" s="3">
        <v>1</v>
      </c>
      <c r="F457" s="3">
        <v>0</v>
      </c>
      <c r="G457" s="3" t="b">
        <v>0</v>
      </c>
      <c r="H457" s="3">
        <v>5</v>
      </c>
      <c r="I457" s="3">
        <v>2</v>
      </c>
      <c r="J457" s="3">
        <v>0.24</v>
      </c>
    </row>
    <row r="458" spans="1:10" x14ac:dyDescent="0.3">
      <c r="A458" s="3">
        <v>457</v>
      </c>
      <c r="B458" s="4">
        <v>40564</v>
      </c>
      <c r="C458" s="3">
        <v>1</v>
      </c>
      <c r="D458" s="3">
        <v>0</v>
      </c>
      <c r="E458" s="3">
        <v>1</v>
      </c>
      <c r="F458" s="3">
        <v>1</v>
      </c>
      <c r="G458" s="3" t="b">
        <v>0</v>
      </c>
      <c r="H458" s="3">
        <v>5</v>
      </c>
      <c r="I458" s="3">
        <v>2</v>
      </c>
      <c r="J458" s="3">
        <v>0.24</v>
      </c>
    </row>
    <row r="459" spans="1:10" x14ac:dyDescent="0.3">
      <c r="A459" s="3">
        <v>458</v>
      </c>
      <c r="B459" s="4">
        <v>40564</v>
      </c>
      <c r="C459" s="3">
        <v>1</v>
      </c>
      <c r="D459" s="3">
        <v>0</v>
      </c>
      <c r="E459" s="3">
        <v>1</v>
      </c>
      <c r="F459" s="3">
        <v>2</v>
      </c>
      <c r="G459" s="3" t="b">
        <v>0</v>
      </c>
      <c r="H459" s="3">
        <v>5</v>
      </c>
      <c r="I459" s="3">
        <v>3</v>
      </c>
      <c r="J459" s="3">
        <v>0.24</v>
      </c>
    </row>
    <row r="460" spans="1:10" x14ac:dyDescent="0.3">
      <c r="A460" s="3">
        <v>459</v>
      </c>
      <c r="B460" s="4">
        <v>40564</v>
      </c>
      <c r="C460" s="3">
        <v>1</v>
      </c>
      <c r="D460" s="3">
        <v>0</v>
      </c>
      <c r="E460" s="3">
        <v>1</v>
      </c>
      <c r="F460" s="3">
        <v>3</v>
      </c>
      <c r="G460" s="3" t="b">
        <v>0</v>
      </c>
      <c r="H460" s="3">
        <v>5</v>
      </c>
      <c r="I460" s="3">
        <v>3</v>
      </c>
      <c r="J460" s="3">
        <v>0.22</v>
      </c>
    </row>
    <row r="461" spans="1:10" x14ac:dyDescent="0.3">
      <c r="A461" s="3">
        <v>460</v>
      </c>
      <c r="B461" s="4">
        <v>40564</v>
      </c>
      <c r="C461" s="3">
        <v>1</v>
      </c>
      <c r="D461" s="3">
        <v>0</v>
      </c>
      <c r="E461" s="3">
        <v>1</v>
      </c>
      <c r="F461" s="3">
        <v>4</v>
      </c>
      <c r="G461" s="3" t="b">
        <v>0</v>
      </c>
      <c r="H461" s="3">
        <v>5</v>
      </c>
      <c r="I461" s="3">
        <v>2</v>
      </c>
      <c r="J461" s="3">
        <v>0.22</v>
      </c>
    </row>
    <row r="462" spans="1:10" x14ac:dyDescent="0.3">
      <c r="A462" s="3">
        <v>461</v>
      </c>
      <c r="B462" s="4">
        <v>40564</v>
      </c>
      <c r="C462" s="3">
        <v>1</v>
      </c>
      <c r="D462" s="3">
        <v>0</v>
      </c>
      <c r="E462" s="3">
        <v>1</v>
      </c>
      <c r="F462" s="3">
        <v>5</v>
      </c>
      <c r="G462" s="3" t="b">
        <v>0</v>
      </c>
      <c r="H462" s="3">
        <v>5</v>
      </c>
      <c r="I462" s="3">
        <v>1</v>
      </c>
      <c r="J462" s="3">
        <v>0.24</v>
      </c>
    </row>
    <row r="463" spans="1:10" x14ac:dyDescent="0.3">
      <c r="A463" s="3">
        <v>462</v>
      </c>
      <c r="B463" s="4">
        <v>40564</v>
      </c>
      <c r="C463" s="3">
        <v>1</v>
      </c>
      <c r="D463" s="3">
        <v>0</v>
      </c>
      <c r="E463" s="3">
        <v>1</v>
      </c>
      <c r="F463" s="3">
        <v>6</v>
      </c>
      <c r="G463" s="3" t="b">
        <v>0</v>
      </c>
      <c r="H463" s="3">
        <v>5</v>
      </c>
      <c r="I463" s="3">
        <v>1</v>
      </c>
      <c r="J463" s="3">
        <v>0.22</v>
      </c>
    </row>
    <row r="464" spans="1:10" x14ac:dyDescent="0.3">
      <c r="A464" s="3">
        <v>463</v>
      </c>
      <c r="B464" s="4">
        <v>40564</v>
      </c>
      <c r="C464" s="3">
        <v>1</v>
      </c>
      <c r="D464" s="3">
        <v>0</v>
      </c>
      <c r="E464" s="3">
        <v>1</v>
      </c>
      <c r="F464" s="3">
        <v>7</v>
      </c>
      <c r="G464" s="3" t="b">
        <v>0</v>
      </c>
      <c r="H464" s="3">
        <v>5</v>
      </c>
      <c r="I464" s="3">
        <v>1</v>
      </c>
      <c r="J464" s="3">
        <v>0.2</v>
      </c>
    </row>
    <row r="465" spans="1:10" x14ac:dyDescent="0.3">
      <c r="A465" s="3">
        <v>464</v>
      </c>
      <c r="B465" s="4">
        <v>40564</v>
      </c>
      <c r="C465" s="3">
        <v>1</v>
      </c>
      <c r="D465" s="3">
        <v>0</v>
      </c>
      <c r="E465" s="3">
        <v>1</v>
      </c>
      <c r="F465" s="3">
        <v>8</v>
      </c>
      <c r="G465" s="3" t="b">
        <v>0</v>
      </c>
      <c r="H465" s="3">
        <v>5</v>
      </c>
      <c r="I465" s="3">
        <v>1</v>
      </c>
      <c r="J465" s="3">
        <v>0.2</v>
      </c>
    </row>
    <row r="466" spans="1:10" x14ac:dyDescent="0.3">
      <c r="A466" s="3">
        <v>465</v>
      </c>
      <c r="B466" s="4">
        <v>40564</v>
      </c>
      <c r="C466" s="3">
        <v>1</v>
      </c>
      <c r="D466" s="3">
        <v>0</v>
      </c>
      <c r="E466" s="3">
        <v>1</v>
      </c>
      <c r="F466" s="3">
        <v>9</v>
      </c>
      <c r="G466" s="3" t="b">
        <v>0</v>
      </c>
      <c r="H466" s="3">
        <v>5</v>
      </c>
      <c r="I466" s="3">
        <v>1</v>
      </c>
      <c r="J466" s="3">
        <v>0.2</v>
      </c>
    </row>
    <row r="467" spans="1:10" x14ac:dyDescent="0.3">
      <c r="A467" s="3">
        <v>466</v>
      </c>
      <c r="B467" s="4">
        <v>40564</v>
      </c>
      <c r="C467" s="3">
        <v>1</v>
      </c>
      <c r="D467" s="3">
        <v>0</v>
      </c>
      <c r="E467" s="3">
        <v>1</v>
      </c>
      <c r="F467" s="3">
        <v>10</v>
      </c>
      <c r="G467" s="3" t="b">
        <v>0</v>
      </c>
      <c r="H467" s="3">
        <v>5</v>
      </c>
      <c r="I467" s="3">
        <v>1</v>
      </c>
      <c r="J467" s="3">
        <v>0.2</v>
      </c>
    </row>
    <row r="468" spans="1:10" x14ac:dyDescent="0.3">
      <c r="A468" s="3">
        <v>467</v>
      </c>
      <c r="B468" s="4">
        <v>40564</v>
      </c>
      <c r="C468" s="3">
        <v>1</v>
      </c>
      <c r="D468" s="3">
        <v>0</v>
      </c>
      <c r="E468" s="3">
        <v>1</v>
      </c>
      <c r="F468" s="3">
        <v>11</v>
      </c>
      <c r="G468" s="3" t="b">
        <v>0</v>
      </c>
      <c r="H468" s="3">
        <v>5</v>
      </c>
      <c r="I468" s="3">
        <v>1</v>
      </c>
      <c r="J468" s="3">
        <v>0.22</v>
      </c>
    </row>
    <row r="469" spans="1:10" x14ac:dyDescent="0.3">
      <c r="A469" s="3">
        <v>468</v>
      </c>
      <c r="B469" s="4">
        <v>40564</v>
      </c>
      <c r="C469" s="3">
        <v>1</v>
      </c>
      <c r="D469" s="3">
        <v>0</v>
      </c>
      <c r="E469" s="3">
        <v>1</v>
      </c>
      <c r="F469" s="3">
        <v>12</v>
      </c>
      <c r="G469" s="3" t="b">
        <v>0</v>
      </c>
      <c r="H469" s="3">
        <v>5</v>
      </c>
      <c r="I469" s="3">
        <v>1</v>
      </c>
      <c r="J469" s="3">
        <v>0.22</v>
      </c>
    </row>
    <row r="470" spans="1:10" x14ac:dyDescent="0.3">
      <c r="A470" s="3">
        <v>469</v>
      </c>
      <c r="B470" s="4">
        <v>40564</v>
      </c>
      <c r="C470" s="3">
        <v>1</v>
      </c>
      <c r="D470" s="3">
        <v>0</v>
      </c>
      <c r="E470" s="3">
        <v>1</v>
      </c>
      <c r="F470" s="3">
        <v>13</v>
      </c>
      <c r="G470" s="3" t="b">
        <v>0</v>
      </c>
      <c r="H470" s="3">
        <v>5</v>
      </c>
      <c r="I470" s="3">
        <v>1</v>
      </c>
      <c r="J470" s="3">
        <v>0.2</v>
      </c>
    </row>
    <row r="471" spans="1:10" x14ac:dyDescent="0.3">
      <c r="A471" s="3">
        <v>470</v>
      </c>
      <c r="B471" s="4">
        <v>40564</v>
      </c>
      <c r="C471" s="3">
        <v>1</v>
      </c>
      <c r="D471" s="3">
        <v>0</v>
      </c>
      <c r="E471" s="3">
        <v>1</v>
      </c>
      <c r="F471" s="3">
        <v>14</v>
      </c>
      <c r="G471" s="3" t="b">
        <v>0</v>
      </c>
      <c r="H471" s="3">
        <v>5</v>
      </c>
      <c r="I471" s="3">
        <v>1</v>
      </c>
      <c r="J471" s="3">
        <v>0.2</v>
      </c>
    </row>
    <row r="472" spans="1:10" x14ac:dyDescent="0.3">
      <c r="A472" s="3">
        <v>471</v>
      </c>
      <c r="B472" s="4">
        <v>40564</v>
      </c>
      <c r="C472" s="3">
        <v>1</v>
      </c>
      <c r="D472" s="3">
        <v>0</v>
      </c>
      <c r="E472" s="3">
        <v>1</v>
      </c>
      <c r="F472" s="3">
        <v>15</v>
      </c>
      <c r="G472" s="3" t="b">
        <v>0</v>
      </c>
      <c r="H472" s="3">
        <v>5</v>
      </c>
      <c r="I472" s="3">
        <v>1</v>
      </c>
      <c r="J472" s="3">
        <v>0.16</v>
      </c>
    </row>
    <row r="473" spans="1:10" x14ac:dyDescent="0.3">
      <c r="A473" s="3">
        <v>472</v>
      </c>
      <c r="B473" s="4">
        <v>40564</v>
      </c>
      <c r="C473" s="3">
        <v>1</v>
      </c>
      <c r="D473" s="3">
        <v>0</v>
      </c>
      <c r="E473" s="3">
        <v>1</v>
      </c>
      <c r="F473" s="3">
        <v>16</v>
      </c>
      <c r="G473" s="3" t="b">
        <v>0</v>
      </c>
      <c r="H473" s="3">
        <v>5</v>
      </c>
      <c r="I473" s="3">
        <v>1</v>
      </c>
      <c r="J473" s="3">
        <v>0.16</v>
      </c>
    </row>
    <row r="474" spans="1:10" x14ac:dyDescent="0.3">
      <c r="A474" s="3">
        <v>473</v>
      </c>
      <c r="B474" s="4">
        <v>40564</v>
      </c>
      <c r="C474" s="3">
        <v>1</v>
      </c>
      <c r="D474" s="3">
        <v>0</v>
      </c>
      <c r="E474" s="3">
        <v>1</v>
      </c>
      <c r="F474" s="3">
        <v>17</v>
      </c>
      <c r="G474" s="3" t="b">
        <v>0</v>
      </c>
      <c r="H474" s="3">
        <v>5</v>
      </c>
      <c r="I474" s="3">
        <v>1</v>
      </c>
      <c r="J474" s="3">
        <v>0.14000000000000001</v>
      </c>
    </row>
    <row r="475" spans="1:10" x14ac:dyDescent="0.3">
      <c r="A475" s="3">
        <v>474</v>
      </c>
      <c r="B475" s="4">
        <v>40564</v>
      </c>
      <c r="C475" s="3">
        <v>1</v>
      </c>
      <c r="D475" s="3">
        <v>0</v>
      </c>
      <c r="E475" s="3">
        <v>1</v>
      </c>
      <c r="F475" s="3">
        <v>18</v>
      </c>
      <c r="G475" s="3" t="b">
        <v>0</v>
      </c>
      <c r="H475" s="3">
        <v>5</v>
      </c>
      <c r="I475" s="3">
        <v>1</v>
      </c>
      <c r="J475" s="3">
        <v>0.12</v>
      </c>
    </row>
    <row r="476" spans="1:10" x14ac:dyDescent="0.3">
      <c r="A476" s="3">
        <v>475</v>
      </c>
      <c r="B476" s="4">
        <v>40564</v>
      </c>
      <c r="C476" s="3">
        <v>1</v>
      </c>
      <c r="D476" s="3">
        <v>0</v>
      </c>
      <c r="E476" s="3">
        <v>1</v>
      </c>
      <c r="F476" s="3">
        <v>19</v>
      </c>
      <c r="G476" s="3" t="b">
        <v>0</v>
      </c>
      <c r="H476" s="3">
        <v>5</v>
      </c>
      <c r="I476" s="3">
        <v>1</v>
      </c>
      <c r="J476" s="3">
        <v>0.12</v>
      </c>
    </row>
    <row r="477" spans="1:10" x14ac:dyDescent="0.3">
      <c r="A477" s="3">
        <v>476</v>
      </c>
      <c r="B477" s="4">
        <v>40564</v>
      </c>
      <c r="C477" s="3">
        <v>1</v>
      </c>
      <c r="D477" s="3">
        <v>0</v>
      </c>
      <c r="E477" s="3">
        <v>1</v>
      </c>
      <c r="F477" s="3">
        <v>20</v>
      </c>
      <c r="G477" s="3" t="b">
        <v>0</v>
      </c>
      <c r="H477" s="3">
        <v>5</v>
      </c>
      <c r="I477" s="3">
        <v>1</v>
      </c>
      <c r="J477" s="3">
        <v>0.1</v>
      </c>
    </row>
    <row r="478" spans="1:10" x14ac:dyDescent="0.3">
      <c r="A478" s="3">
        <v>477</v>
      </c>
      <c r="B478" s="4">
        <v>40564</v>
      </c>
      <c r="C478" s="3">
        <v>1</v>
      </c>
      <c r="D478" s="3">
        <v>0</v>
      </c>
      <c r="E478" s="3">
        <v>1</v>
      </c>
      <c r="F478" s="3">
        <v>21</v>
      </c>
      <c r="G478" s="3" t="b">
        <v>0</v>
      </c>
      <c r="H478" s="3">
        <v>5</v>
      </c>
      <c r="I478" s="3">
        <v>1</v>
      </c>
      <c r="J478" s="3">
        <v>0.08</v>
      </c>
    </row>
    <row r="479" spans="1:10" x14ac:dyDescent="0.3">
      <c r="A479" s="3">
        <v>478</v>
      </c>
      <c r="B479" s="4">
        <v>40564</v>
      </c>
      <c r="C479" s="3">
        <v>1</v>
      </c>
      <c r="D479" s="3">
        <v>0</v>
      </c>
      <c r="E479" s="3">
        <v>1</v>
      </c>
      <c r="F479" s="3">
        <v>22</v>
      </c>
      <c r="G479" s="3" t="b">
        <v>0</v>
      </c>
      <c r="H479" s="3">
        <v>5</v>
      </c>
      <c r="I479" s="3">
        <v>1</v>
      </c>
      <c r="J479" s="3">
        <v>0.06</v>
      </c>
    </row>
    <row r="480" spans="1:10" x14ac:dyDescent="0.3">
      <c r="A480" s="3">
        <v>479</v>
      </c>
      <c r="B480" s="4">
        <v>40564</v>
      </c>
      <c r="C480" s="3">
        <v>1</v>
      </c>
      <c r="D480" s="3">
        <v>0</v>
      </c>
      <c r="E480" s="3">
        <v>1</v>
      </c>
      <c r="F480" s="3">
        <v>23</v>
      </c>
      <c r="G480" s="3" t="b">
        <v>0</v>
      </c>
      <c r="H480" s="3">
        <v>5</v>
      </c>
      <c r="I480" s="3">
        <v>1</v>
      </c>
      <c r="J480" s="3">
        <v>0.06</v>
      </c>
    </row>
    <row r="481" spans="1:10" x14ac:dyDescent="0.3">
      <c r="A481" s="3">
        <v>480</v>
      </c>
      <c r="B481" s="4">
        <v>40565</v>
      </c>
      <c r="C481" s="3">
        <v>1</v>
      </c>
      <c r="D481" s="3">
        <v>0</v>
      </c>
      <c r="E481" s="3">
        <v>1</v>
      </c>
      <c r="F481" s="3">
        <v>0</v>
      </c>
      <c r="G481" s="3" t="b">
        <v>0</v>
      </c>
      <c r="H481" s="3">
        <v>6</v>
      </c>
      <c r="I481" s="3">
        <v>1</v>
      </c>
      <c r="J481" s="3">
        <v>0.04</v>
      </c>
    </row>
    <row r="482" spans="1:10" x14ac:dyDescent="0.3">
      <c r="A482" s="3">
        <v>481</v>
      </c>
      <c r="B482" s="4">
        <v>40565</v>
      </c>
      <c r="C482" s="3">
        <v>1</v>
      </c>
      <c r="D482" s="3">
        <v>0</v>
      </c>
      <c r="E482" s="3">
        <v>1</v>
      </c>
      <c r="F482" s="3">
        <v>1</v>
      </c>
      <c r="G482" s="3" t="b">
        <v>0</v>
      </c>
      <c r="H482" s="3">
        <v>6</v>
      </c>
      <c r="I482" s="3">
        <v>2</v>
      </c>
      <c r="J482" s="3">
        <v>0.04</v>
      </c>
    </row>
    <row r="483" spans="1:10" x14ac:dyDescent="0.3">
      <c r="A483" s="3">
        <v>482</v>
      </c>
      <c r="B483" s="4">
        <v>40565</v>
      </c>
      <c r="C483" s="3">
        <v>1</v>
      </c>
      <c r="D483" s="3">
        <v>0</v>
      </c>
      <c r="E483" s="3">
        <v>1</v>
      </c>
      <c r="F483" s="3">
        <v>2</v>
      </c>
      <c r="G483" s="3" t="b">
        <v>0</v>
      </c>
      <c r="H483" s="3">
        <v>6</v>
      </c>
      <c r="I483" s="3">
        <v>2</v>
      </c>
      <c r="J483" s="3">
        <v>0.04</v>
      </c>
    </row>
    <row r="484" spans="1:10" x14ac:dyDescent="0.3">
      <c r="A484" s="3">
        <v>483</v>
      </c>
      <c r="B484" s="4">
        <v>40565</v>
      </c>
      <c r="C484" s="3">
        <v>1</v>
      </c>
      <c r="D484" s="3">
        <v>0</v>
      </c>
      <c r="E484" s="3">
        <v>1</v>
      </c>
      <c r="F484" s="3">
        <v>3</v>
      </c>
      <c r="G484" s="3" t="b">
        <v>0</v>
      </c>
      <c r="H484" s="3">
        <v>6</v>
      </c>
      <c r="I484" s="3">
        <v>2</v>
      </c>
      <c r="J484" s="3">
        <v>0.04</v>
      </c>
    </row>
    <row r="485" spans="1:10" x14ac:dyDescent="0.3">
      <c r="A485" s="3">
        <v>484</v>
      </c>
      <c r="B485" s="4">
        <v>40565</v>
      </c>
      <c r="C485" s="3">
        <v>1</v>
      </c>
      <c r="D485" s="3">
        <v>0</v>
      </c>
      <c r="E485" s="3">
        <v>1</v>
      </c>
      <c r="F485" s="3">
        <v>4</v>
      </c>
      <c r="G485" s="3" t="b">
        <v>0</v>
      </c>
      <c r="H485" s="3">
        <v>6</v>
      </c>
      <c r="I485" s="3">
        <v>2</v>
      </c>
      <c r="J485" s="3">
        <v>0.02</v>
      </c>
    </row>
    <row r="486" spans="1:10" x14ac:dyDescent="0.3">
      <c r="A486" s="3">
        <v>485</v>
      </c>
      <c r="B486" s="4">
        <v>40565</v>
      </c>
      <c r="C486" s="3">
        <v>1</v>
      </c>
      <c r="D486" s="3">
        <v>0</v>
      </c>
      <c r="E486" s="3">
        <v>1</v>
      </c>
      <c r="F486" s="3">
        <v>6</v>
      </c>
      <c r="G486" s="3" t="b">
        <v>0</v>
      </c>
      <c r="H486" s="3">
        <v>6</v>
      </c>
      <c r="I486" s="3">
        <v>2</v>
      </c>
      <c r="J486" s="3">
        <v>0.02</v>
      </c>
    </row>
    <row r="487" spans="1:10" x14ac:dyDescent="0.3">
      <c r="A487" s="3">
        <v>486</v>
      </c>
      <c r="B487" s="4">
        <v>40565</v>
      </c>
      <c r="C487" s="3">
        <v>1</v>
      </c>
      <c r="D487" s="3">
        <v>0</v>
      </c>
      <c r="E487" s="3">
        <v>1</v>
      </c>
      <c r="F487" s="3">
        <v>7</v>
      </c>
      <c r="G487" s="3" t="b">
        <v>0</v>
      </c>
      <c r="H487" s="3">
        <v>6</v>
      </c>
      <c r="I487" s="3">
        <v>1</v>
      </c>
      <c r="J487" s="3">
        <v>0.02</v>
      </c>
    </row>
    <row r="488" spans="1:10" x14ac:dyDescent="0.3">
      <c r="A488" s="3">
        <v>487</v>
      </c>
      <c r="B488" s="4">
        <v>40565</v>
      </c>
      <c r="C488" s="3">
        <v>1</v>
      </c>
      <c r="D488" s="3">
        <v>0</v>
      </c>
      <c r="E488" s="3">
        <v>1</v>
      </c>
      <c r="F488" s="3">
        <v>8</v>
      </c>
      <c r="G488" s="3" t="b">
        <v>0</v>
      </c>
      <c r="H488" s="3">
        <v>6</v>
      </c>
      <c r="I488" s="3">
        <v>1</v>
      </c>
      <c r="J488" s="3">
        <v>0.02</v>
      </c>
    </row>
    <row r="489" spans="1:10" x14ac:dyDescent="0.3">
      <c r="A489" s="3">
        <v>488</v>
      </c>
      <c r="B489" s="4">
        <v>40565</v>
      </c>
      <c r="C489" s="3">
        <v>1</v>
      </c>
      <c r="D489" s="3">
        <v>0</v>
      </c>
      <c r="E489" s="3">
        <v>1</v>
      </c>
      <c r="F489" s="3">
        <v>9</v>
      </c>
      <c r="G489" s="3" t="b">
        <v>0</v>
      </c>
      <c r="H489" s="3">
        <v>6</v>
      </c>
      <c r="I489" s="3">
        <v>1</v>
      </c>
      <c r="J489" s="3">
        <v>0.04</v>
      </c>
    </row>
    <row r="490" spans="1:10" x14ac:dyDescent="0.3">
      <c r="A490" s="3">
        <v>489</v>
      </c>
      <c r="B490" s="4">
        <v>40565</v>
      </c>
      <c r="C490" s="3">
        <v>1</v>
      </c>
      <c r="D490" s="3">
        <v>0</v>
      </c>
      <c r="E490" s="3">
        <v>1</v>
      </c>
      <c r="F490" s="3">
        <v>10</v>
      </c>
      <c r="G490" s="3" t="b">
        <v>0</v>
      </c>
      <c r="H490" s="3">
        <v>6</v>
      </c>
      <c r="I490" s="3">
        <v>2</v>
      </c>
      <c r="J490" s="3">
        <v>0.04</v>
      </c>
    </row>
    <row r="491" spans="1:10" x14ac:dyDescent="0.3">
      <c r="A491" s="3">
        <v>490</v>
      </c>
      <c r="B491" s="4">
        <v>40565</v>
      </c>
      <c r="C491" s="3">
        <v>1</v>
      </c>
      <c r="D491" s="3">
        <v>0</v>
      </c>
      <c r="E491" s="3">
        <v>1</v>
      </c>
      <c r="F491" s="3">
        <v>11</v>
      </c>
      <c r="G491" s="3" t="b">
        <v>0</v>
      </c>
      <c r="H491" s="3">
        <v>6</v>
      </c>
      <c r="I491" s="3">
        <v>2</v>
      </c>
      <c r="J491" s="3">
        <v>0.06</v>
      </c>
    </row>
    <row r="492" spans="1:10" x14ac:dyDescent="0.3">
      <c r="A492" s="3">
        <v>491</v>
      </c>
      <c r="B492" s="4">
        <v>40565</v>
      </c>
      <c r="C492" s="3">
        <v>1</v>
      </c>
      <c r="D492" s="3">
        <v>0</v>
      </c>
      <c r="E492" s="3">
        <v>1</v>
      </c>
      <c r="F492" s="3">
        <v>12</v>
      </c>
      <c r="G492" s="3" t="b">
        <v>0</v>
      </c>
      <c r="H492" s="3">
        <v>6</v>
      </c>
      <c r="I492" s="3">
        <v>2</v>
      </c>
      <c r="J492" s="3">
        <v>0.06</v>
      </c>
    </row>
    <row r="493" spans="1:10" x14ac:dyDescent="0.3">
      <c r="A493" s="3">
        <v>492</v>
      </c>
      <c r="B493" s="4">
        <v>40565</v>
      </c>
      <c r="C493" s="3">
        <v>1</v>
      </c>
      <c r="D493" s="3">
        <v>0</v>
      </c>
      <c r="E493" s="3">
        <v>1</v>
      </c>
      <c r="F493" s="3">
        <v>13</v>
      </c>
      <c r="G493" s="3" t="b">
        <v>0</v>
      </c>
      <c r="H493" s="3">
        <v>6</v>
      </c>
      <c r="I493" s="3">
        <v>1</v>
      </c>
      <c r="J493" s="3">
        <v>0.08</v>
      </c>
    </row>
    <row r="494" spans="1:10" x14ac:dyDescent="0.3">
      <c r="A494" s="3">
        <v>493</v>
      </c>
      <c r="B494" s="4">
        <v>40565</v>
      </c>
      <c r="C494" s="3">
        <v>1</v>
      </c>
      <c r="D494" s="3">
        <v>0</v>
      </c>
      <c r="E494" s="3">
        <v>1</v>
      </c>
      <c r="F494" s="3">
        <v>14</v>
      </c>
      <c r="G494" s="3" t="b">
        <v>0</v>
      </c>
      <c r="H494" s="3">
        <v>6</v>
      </c>
      <c r="I494" s="3">
        <v>1</v>
      </c>
      <c r="J494" s="3">
        <v>0.1</v>
      </c>
    </row>
    <row r="495" spans="1:10" x14ac:dyDescent="0.3">
      <c r="A495" s="3">
        <v>494</v>
      </c>
      <c r="B495" s="4">
        <v>40565</v>
      </c>
      <c r="C495" s="3">
        <v>1</v>
      </c>
      <c r="D495" s="3">
        <v>0</v>
      </c>
      <c r="E495" s="3">
        <v>1</v>
      </c>
      <c r="F495" s="3">
        <v>15</v>
      </c>
      <c r="G495" s="3" t="b">
        <v>0</v>
      </c>
      <c r="H495" s="3">
        <v>6</v>
      </c>
      <c r="I495" s="3">
        <v>1</v>
      </c>
      <c r="J495" s="3">
        <v>0.12</v>
      </c>
    </row>
    <row r="496" spans="1:10" x14ac:dyDescent="0.3">
      <c r="A496" s="3">
        <v>495</v>
      </c>
      <c r="B496" s="4">
        <v>40565</v>
      </c>
      <c r="C496" s="3">
        <v>1</v>
      </c>
      <c r="D496" s="3">
        <v>0</v>
      </c>
      <c r="E496" s="3">
        <v>1</v>
      </c>
      <c r="F496" s="3">
        <v>16</v>
      </c>
      <c r="G496" s="3" t="b">
        <v>0</v>
      </c>
      <c r="H496" s="3">
        <v>6</v>
      </c>
      <c r="I496" s="3">
        <v>1</v>
      </c>
      <c r="J496" s="3">
        <v>0.12</v>
      </c>
    </row>
    <row r="497" spans="1:10" x14ac:dyDescent="0.3">
      <c r="A497" s="3">
        <v>496</v>
      </c>
      <c r="B497" s="4">
        <v>40565</v>
      </c>
      <c r="C497" s="3">
        <v>1</v>
      </c>
      <c r="D497" s="3">
        <v>0</v>
      </c>
      <c r="E497" s="3">
        <v>1</v>
      </c>
      <c r="F497" s="3">
        <v>17</v>
      </c>
      <c r="G497" s="3" t="b">
        <v>0</v>
      </c>
      <c r="H497" s="3">
        <v>6</v>
      </c>
      <c r="I497" s="3">
        <v>1</v>
      </c>
      <c r="J497" s="3">
        <v>0.12</v>
      </c>
    </row>
    <row r="498" spans="1:10" x14ac:dyDescent="0.3">
      <c r="A498" s="3">
        <v>497</v>
      </c>
      <c r="B498" s="4">
        <v>40565</v>
      </c>
      <c r="C498" s="3">
        <v>1</v>
      </c>
      <c r="D498" s="3">
        <v>0</v>
      </c>
      <c r="E498" s="3">
        <v>1</v>
      </c>
      <c r="F498" s="3">
        <v>18</v>
      </c>
      <c r="G498" s="3" t="b">
        <v>0</v>
      </c>
      <c r="H498" s="3">
        <v>6</v>
      </c>
      <c r="I498" s="3">
        <v>1</v>
      </c>
      <c r="J498" s="3">
        <v>0.08</v>
      </c>
    </row>
    <row r="499" spans="1:10" x14ac:dyDescent="0.3">
      <c r="A499" s="3">
        <v>498</v>
      </c>
      <c r="B499" s="4">
        <v>40565</v>
      </c>
      <c r="C499" s="3">
        <v>1</v>
      </c>
      <c r="D499" s="3">
        <v>0</v>
      </c>
      <c r="E499" s="3">
        <v>1</v>
      </c>
      <c r="F499" s="3">
        <v>19</v>
      </c>
      <c r="G499" s="3" t="b">
        <v>0</v>
      </c>
      <c r="H499" s="3">
        <v>6</v>
      </c>
      <c r="I499" s="3">
        <v>1</v>
      </c>
      <c r="J499" s="3">
        <v>0.08</v>
      </c>
    </row>
    <row r="500" spans="1:10" x14ac:dyDescent="0.3">
      <c r="A500" s="3">
        <v>499</v>
      </c>
      <c r="B500" s="4">
        <v>40565</v>
      </c>
      <c r="C500" s="3">
        <v>1</v>
      </c>
      <c r="D500" s="3">
        <v>0</v>
      </c>
      <c r="E500" s="3">
        <v>1</v>
      </c>
      <c r="F500" s="3">
        <v>20</v>
      </c>
      <c r="G500" s="3" t="b">
        <v>0</v>
      </c>
      <c r="H500" s="3">
        <v>6</v>
      </c>
      <c r="I500" s="3">
        <v>1</v>
      </c>
      <c r="J500" s="3">
        <v>0.06</v>
      </c>
    </row>
    <row r="501" spans="1:10" x14ac:dyDescent="0.3">
      <c r="A501" s="3">
        <v>500</v>
      </c>
      <c r="B501" s="4">
        <v>40565</v>
      </c>
      <c r="C501" s="3">
        <v>1</v>
      </c>
      <c r="D501" s="3">
        <v>0</v>
      </c>
      <c r="E501" s="3">
        <v>1</v>
      </c>
      <c r="F501" s="3">
        <v>21</v>
      </c>
      <c r="G501" s="3" t="b">
        <v>0</v>
      </c>
      <c r="H501" s="3">
        <v>6</v>
      </c>
      <c r="I501" s="3">
        <v>1</v>
      </c>
      <c r="J501" s="3">
        <v>0.06</v>
      </c>
    </row>
    <row r="502" spans="1:10" x14ac:dyDescent="0.3">
      <c r="A502" s="3">
        <v>501</v>
      </c>
      <c r="B502" s="4">
        <v>40565</v>
      </c>
      <c r="C502" s="3">
        <v>1</v>
      </c>
      <c r="D502" s="3">
        <v>0</v>
      </c>
      <c r="E502" s="3">
        <v>1</v>
      </c>
      <c r="F502" s="3">
        <v>22</v>
      </c>
      <c r="G502" s="3" t="b">
        <v>0</v>
      </c>
      <c r="H502" s="3">
        <v>6</v>
      </c>
      <c r="I502" s="3">
        <v>1</v>
      </c>
      <c r="J502" s="3">
        <v>0.06</v>
      </c>
    </row>
    <row r="503" spans="1:10" x14ac:dyDescent="0.3">
      <c r="A503" s="3">
        <v>502</v>
      </c>
      <c r="B503" s="4">
        <v>40565</v>
      </c>
      <c r="C503" s="3">
        <v>1</v>
      </c>
      <c r="D503" s="3">
        <v>0</v>
      </c>
      <c r="E503" s="3">
        <v>1</v>
      </c>
      <c r="F503" s="3">
        <v>23</v>
      </c>
      <c r="G503" s="3" t="b">
        <v>0</v>
      </c>
      <c r="H503" s="3">
        <v>6</v>
      </c>
      <c r="I503" s="3">
        <v>1</v>
      </c>
      <c r="J503" s="3">
        <v>0.04</v>
      </c>
    </row>
    <row r="504" spans="1:10" x14ac:dyDescent="0.3">
      <c r="A504" s="3">
        <v>503</v>
      </c>
      <c r="B504" s="4">
        <v>40566</v>
      </c>
      <c r="C504" s="3">
        <v>1</v>
      </c>
      <c r="D504" s="3">
        <v>0</v>
      </c>
      <c r="E504" s="3">
        <v>1</v>
      </c>
      <c r="F504" s="3">
        <v>0</v>
      </c>
      <c r="G504" s="3" t="b">
        <v>0</v>
      </c>
      <c r="H504" s="3">
        <v>0</v>
      </c>
      <c r="I504" s="3">
        <v>1</v>
      </c>
      <c r="J504" s="3">
        <v>0.04</v>
      </c>
    </row>
    <row r="505" spans="1:10" x14ac:dyDescent="0.3">
      <c r="A505" s="3">
        <v>504</v>
      </c>
      <c r="B505" s="4">
        <v>40566</v>
      </c>
      <c r="C505" s="3">
        <v>1</v>
      </c>
      <c r="D505" s="3">
        <v>0</v>
      </c>
      <c r="E505" s="3">
        <v>1</v>
      </c>
      <c r="F505" s="3">
        <v>1</v>
      </c>
      <c r="G505" s="3" t="b">
        <v>0</v>
      </c>
      <c r="H505" s="3">
        <v>0</v>
      </c>
      <c r="I505" s="3">
        <v>1</v>
      </c>
      <c r="J505" s="3">
        <v>0.04</v>
      </c>
    </row>
    <row r="506" spans="1:10" x14ac:dyDescent="0.3">
      <c r="A506" s="3">
        <v>505</v>
      </c>
      <c r="B506" s="4">
        <v>40566</v>
      </c>
      <c r="C506" s="3">
        <v>1</v>
      </c>
      <c r="D506" s="3">
        <v>0</v>
      </c>
      <c r="E506" s="3">
        <v>1</v>
      </c>
      <c r="F506" s="3">
        <v>2</v>
      </c>
      <c r="G506" s="3" t="b">
        <v>0</v>
      </c>
      <c r="H506" s="3">
        <v>0</v>
      </c>
      <c r="I506" s="3">
        <v>1</v>
      </c>
      <c r="J506" s="3">
        <v>0.02</v>
      </c>
    </row>
    <row r="507" spans="1:10" x14ac:dyDescent="0.3">
      <c r="A507" s="3">
        <v>506</v>
      </c>
      <c r="B507" s="4">
        <v>40566</v>
      </c>
      <c r="C507" s="3">
        <v>1</v>
      </c>
      <c r="D507" s="3">
        <v>0</v>
      </c>
      <c r="E507" s="3">
        <v>1</v>
      </c>
      <c r="F507" s="3">
        <v>3</v>
      </c>
      <c r="G507" s="3" t="b">
        <v>0</v>
      </c>
      <c r="H507" s="3">
        <v>0</v>
      </c>
      <c r="I507" s="3">
        <v>1</v>
      </c>
      <c r="J507" s="3">
        <v>0.02</v>
      </c>
    </row>
    <row r="508" spans="1:10" x14ac:dyDescent="0.3">
      <c r="A508" s="3">
        <v>507</v>
      </c>
      <c r="B508" s="4">
        <v>40566</v>
      </c>
      <c r="C508" s="3">
        <v>1</v>
      </c>
      <c r="D508" s="3">
        <v>0</v>
      </c>
      <c r="E508" s="3">
        <v>1</v>
      </c>
      <c r="F508" s="3">
        <v>5</v>
      </c>
      <c r="G508" s="3" t="b">
        <v>0</v>
      </c>
      <c r="H508" s="3">
        <v>0</v>
      </c>
      <c r="I508" s="3">
        <v>2</v>
      </c>
      <c r="J508" s="3">
        <v>0.04</v>
      </c>
    </row>
    <row r="509" spans="1:10" x14ac:dyDescent="0.3">
      <c r="A509" s="3">
        <v>508</v>
      </c>
      <c r="B509" s="4">
        <v>40566</v>
      </c>
      <c r="C509" s="3">
        <v>1</v>
      </c>
      <c r="D509" s="3">
        <v>0</v>
      </c>
      <c r="E509" s="3">
        <v>1</v>
      </c>
      <c r="F509" s="3">
        <v>6</v>
      </c>
      <c r="G509" s="3" t="b">
        <v>0</v>
      </c>
      <c r="H509" s="3">
        <v>0</v>
      </c>
      <c r="I509" s="3">
        <v>2</v>
      </c>
      <c r="J509" s="3">
        <v>0.04</v>
      </c>
    </row>
    <row r="510" spans="1:10" x14ac:dyDescent="0.3">
      <c r="A510" s="3">
        <v>509</v>
      </c>
      <c r="B510" s="4">
        <v>40566</v>
      </c>
      <c r="C510" s="3">
        <v>1</v>
      </c>
      <c r="D510" s="3">
        <v>0</v>
      </c>
      <c r="E510" s="3">
        <v>1</v>
      </c>
      <c r="F510" s="3">
        <v>7</v>
      </c>
      <c r="G510" s="3" t="b">
        <v>0</v>
      </c>
      <c r="H510" s="3">
        <v>0</v>
      </c>
      <c r="I510" s="3">
        <v>1</v>
      </c>
      <c r="J510" s="3">
        <v>0.08</v>
      </c>
    </row>
    <row r="511" spans="1:10" x14ac:dyDescent="0.3">
      <c r="A511" s="3">
        <v>510</v>
      </c>
      <c r="B511" s="4">
        <v>40566</v>
      </c>
      <c r="C511" s="3">
        <v>1</v>
      </c>
      <c r="D511" s="3">
        <v>0</v>
      </c>
      <c r="E511" s="3">
        <v>1</v>
      </c>
      <c r="F511" s="3">
        <v>8</v>
      </c>
      <c r="G511" s="3" t="b">
        <v>0</v>
      </c>
      <c r="H511" s="3">
        <v>0</v>
      </c>
      <c r="I511" s="3">
        <v>1</v>
      </c>
      <c r="J511" s="3">
        <v>0.06</v>
      </c>
    </row>
    <row r="512" spans="1:10" x14ac:dyDescent="0.3">
      <c r="A512" s="3">
        <v>511</v>
      </c>
      <c r="B512" s="4">
        <v>40566</v>
      </c>
      <c r="C512" s="3">
        <v>1</v>
      </c>
      <c r="D512" s="3">
        <v>0</v>
      </c>
      <c r="E512" s="3">
        <v>1</v>
      </c>
      <c r="F512" s="3">
        <v>9</v>
      </c>
      <c r="G512" s="3" t="b">
        <v>0</v>
      </c>
      <c r="H512" s="3">
        <v>0</v>
      </c>
      <c r="I512" s="3">
        <v>1</v>
      </c>
      <c r="J512" s="3">
        <v>0.1</v>
      </c>
    </row>
    <row r="513" spans="1:10" x14ac:dyDescent="0.3">
      <c r="A513" s="3">
        <v>512</v>
      </c>
      <c r="B513" s="4">
        <v>40566</v>
      </c>
      <c r="C513" s="3">
        <v>1</v>
      </c>
      <c r="D513" s="3">
        <v>0</v>
      </c>
      <c r="E513" s="3">
        <v>1</v>
      </c>
      <c r="F513" s="3">
        <v>10</v>
      </c>
      <c r="G513" s="3" t="b">
        <v>0</v>
      </c>
      <c r="H513" s="3">
        <v>0</v>
      </c>
      <c r="I513" s="3">
        <v>1</v>
      </c>
      <c r="J513" s="3">
        <v>0.14000000000000001</v>
      </c>
    </row>
    <row r="514" spans="1:10" x14ac:dyDescent="0.3">
      <c r="A514" s="3">
        <v>513</v>
      </c>
      <c r="B514" s="4">
        <v>40566</v>
      </c>
      <c r="C514" s="3">
        <v>1</v>
      </c>
      <c r="D514" s="3">
        <v>0</v>
      </c>
      <c r="E514" s="3">
        <v>1</v>
      </c>
      <c r="F514" s="3">
        <v>11</v>
      </c>
      <c r="G514" s="3" t="b">
        <v>0</v>
      </c>
      <c r="H514" s="3">
        <v>0</v>
      </c>
      <c r="I514" s="3">
        <v>1</v>
      </c>
      <c r="J514" s="3">
        <v>0.14000000000000001</v>
      </c>
    </row>
    <row r="515" spans="1:10" x14ac:dyDescent="0.3">
      <c r="A515" s="3">
        <v>514</v>
      </c>
      <c r="B515" s="4">
        <v>40566</v>
      </c>
      <c r="C515" s="3">
        <v>1</v>
      </c>
      <c r="D515" s="3">
        <v>0</v>
      </c>
      <c r="E515" s="3">
        <v>1</v>
      </c>
      <c r="F515" s="3">
        <v>12</v>
      </c>
      <c r="G515" s="3" t="b">
        <v>0</v>
      </c>
      <c r="H515" s="3">
        <v>0</v>
      </c>
      <c r="I515" s="3">
        <v>1</v>
      </c>
      <c r="J515" s="3">
        <v>0.16</v>
      </c>
    </row>
    <row r="516" spans="1:10" x14ac:dyDescent="0.3">
      <c r="A516" s="3">
        <v>515</v>
      </c>
      <c r="B516" s="4">
        <v>40566</v>
      </c>
      <c r="C516" s="3">
        <v>1</v>
      </c>
      <c r="D516" s="3">
        <v>0</v>
      </c>
      <c r="E516" s="3">
        <v>1</v>
      </c>
      <c r="F516" s="3">
        <v>13</v>
      </c>
      <c r="G516" s="3" t="b">
        <v>0</v>
      </c>
      <c r="H516" s="3">
        <v>0</v>
      </c>
      <c r="I516" s="3">
        <v>1</v>
      </c>
      <c r="J516" s="3">
        <v>0.14000000000000001</v>
      </c>
    </row>
    <row r="517" spans="1:10" x14ac:dyDescent="0.3">
      <c r="A517" s="3">
        <v>516</v>
      </c>
      <c r="B517" s="4">
        <v>40566</v>
      </c>
      <c r="C517" s="3">
        <v>1</v>
      </c>
      <c r="D517" s="3">
        <v>0</v>
      </c>
      <c r="E517" s="3">
        <v>1</v>
      </c>
      <c r="F517" s="3">
        <v>14</v>
      </c>
      <c r="G517" s="3" t="b">
        <v>0</v>
      </c>
      <c r="H517" s="3">
        <v>0</v>
      </c>
      <c r="I517" s="3">
        <v>1</v>
      </c>
      <c r="J517" s="3">
        <v>0.16</v>
      </c>
    </row>
    <row r="518" spans="1:10" x14ac:dyDescent="0.3">
      <c r="A518" s="3">
        <v>517</v>
      </c>
      <c r="B518" s="4">
        <v>40566</v>
      </c>
      <c r="C518" s="3">
        <v>1</v>
      </c>
      <c r="D518" s="3">
        <v>0</v>
      </c>
      <c r="E518" s="3">
        <v>1</v>
      </c>
      <c r="F518" s="3">
        <v>15</v>
      </c>
      <c r="G518" s="3" t="b">
        <v>0</v>
      </c>
      <c r="H518" s="3">
        <v>0</v>
      </c>
      <c r="I518" s="3">
        <v>1</v>
      </c>
      <c r="J518" s="3">
        <v>0.16</v>
      </c>
    </row>
    <row r="519" spans="1:10" x14ac:dyDescent="0.3">
      <c r="A519" s="3">
        <v>518</v>
      </c>
      <c r="B519" s="4">
        <v>40566</v>
      </c>
      <c r="C519" s="3">
        <v>1</v>
      </c>
      <c r="D519" s="3">
        <v>0</v>
      </c>
      <c r="E519" s="3">
        <v>1</v>
      </c>
      <c r="F519" s="3">
        <v>16</v>
      </c>
      <c r="G519" s="3" t="b">
        <v>0</v>
      </c>
      <c r="H519" s="3">
        <v>0</v>
      </c>
      <c r="I519" s="3">
        <v>1</v>
      </c>
      <c r="J519" s="3">
        <v>0.16</v>
      </c>
    </row>
    <row r="520" spans="1:10" x14ac:dyDescent="0.3">
      <c r="A520" s="3">
        <v>519</v>
      </c>
      <c r="B520" s="4">
        <v>40566</v>
      </c>
      <c r="C520" s="3">
        <v>1</v>
      </c>
      <c r="D520" s="3">
        <v>0</v>
      </c>
      <c r="E520" s="3">
        <v>1</v>
      </c>
      <c r="F520" s="3">
        <v>17</v>
      </c>
      <c r="G520" s="3" t="b">
        <v>0</v>
      </c>
      <c r="H520" s="3">
        <v>0</v>
      </c>
      <c r="I520" s="3">
        <v>1</v>
      </c>
      <c r="J520" s="3">
        <v>0.14000000000000001</v>
      </c>
    </row>
    <row r="521" spans="1:10" x14ac:dyDescent="0.3">
      <c r="A521" s="3">
        <v>520</v>
      </c>
      <c r="B521" s="4">
        <v>40566</v>
      </c>
      <c r="C521" s="3">
        <v>1</v>
      </c>
      <c r="D521" s="3">
        <v>0</v>
      </c>
      <c r="E521" s="3">
        <v>1</v>
      </c>
      <c r="F521" s="3">
        <v>18</v>
      </c>
      <c r="G521" s="3" t="b">
        <v>0</v>
      </c>
      <c r="H521" s="3">
        <v>0</v>
      </c>
      <c r="I521" s="3">
        <v>1</v>
      </c>
      <c r="J521" s="3">
        <v>0.12</v>
      </c>
    </row>
    <row r="522" spans="1:10" x14ac:dyDescent="0.3">
      <c r="A522" s="3">
        <v>521</v>
      </c>
      <c r="B522" s="4">
        <v>40566</v>
      </c>
      <c r="C522" s="3">
        <v>1</v>
      </c>
      <c r="D522" s="3">
        <v>0</v>
      </c>
      <c r="E522" s="3">
        <v>1</v>
      </c>
      <c r="F522" s="3">
        <v>19</v>
      </c>
      <c r="G522" s="3" t="b">
        <v>0</v>
      </c>
      <c r="H522" s="3">
        <v>0</v>
      </c>
      <c r="I522" s="3">
        <v>1</v>
      </c>
      <c r="J522" s="3">
        <v>0.12</v>
      </c>
    </row>
    <row r="523" spans="1:10" x14ac:dyDescent="0.3">
      <c r="A523" s="3">
        <v>522</v>
      </c>
      <c r="B523" s="4">
        <v>40566</v>
      </c>
      <c r="C523" s="3">
        <v>1</v>
      </c>
      <c r="D523" s="3">
        <v>0</v>
      </c>
      <c r="E523" s="3">
        <v>1</v>
      </c>
      <c r="F523" s="3">
        <v>20</v>
      </c>
      <c r="G523" s="3" t="b">
        <v>0</v>
      </c>
      <c r="H523" s="3">
        <v>0</v>
      </c>
      <c r="I523" s="3">
        <v>1</v>
      </c>
      <c r="J523" s="3">
        <v>0.1</v>
      </c>
    </row>
    <row r="524" spans="1:10" x14ac:dyDescent="0.3">
      <c r="A524" s="3">
        <v>523</v>
      </c>
      <c r="B524" s="4">
        <v>40566</v>
      </c>
      <c r="C524" s="3">
        <v>1</v>
      </c>
      <c r="D524" s="3">
        <v>0</v>
      </c>
      <c r="E524" s="3">
        <v>1</v>
      </c>
      <c r="F524" s="3">
        <v>21</v>
      </c>
      <c r="G524" s="3" t="b">
        <v>0</v>
      </c>
      <c r="H524" s="3">
        <v>0</v>
      </c>
      <c r="I524" s="3">
        <v>1</v>
      </c>
      <c r="J524" s="3">
        <v>0.1</v>
      </c>
    </row>
    <row r="525" spans="1:10" x14ac:dyDescent="0.3">
      <c r="A525" s="3">
        <v>524</v>
      </c>
      <c r="B525" s="4">
        <v>40566</v>
      </c>
      <c r="C525" s="3">
        <v>1</v>
      </c>
      <c r="D525" s="3">
        <v>0</v>
      </c>
      <c r="E525" s="3">
        <v>1</v>
      </c>
      <c r="F525" s="3">
        <v>22</v>
      </c>
      <c r="G525" s="3" t="b">
        <v>0</v>
      </c>
      <c r="H525" s="3">
        <v>0</v>
      </c>
      <c r="I525" s="3">
        <v>1</v>
      </c>
      <c r="J525" s="3">
        <v>0.08</v>
      </c>
    </row>
    <row r="526" spans="1:10" x14ac:dyDescent="0.3">
      <c r="A526" s="3">
        <v>525</v>
      </c>
      <c r="B526" s="4">
        <v>40566</v>
      </c>
      <c r="C526" s="3">
        <v>1</v>
      </c>
      <c r="D526" s="3">
        <v>0</v>
      </c>
      <c r="E526" s="3">
        <v>1</v>
      </c>
      <c r="F526" s="3">
        <v>23</v>
      </c>
      <c r="G526" s="3" t="b">
        <v>0</v>
      </c>
      <c r="H526" s="3">
        <v>0</v>
      </c>
      <c r="I526" s="3">
        <v>1</v>
      </c>
      <c r="J526" s="3">
        <v>0.06</v>
      </c>
    </row>
    <row r="527" spans="1:10" x14ac:dyDescent="0.3">
      <c r="A527" s="3">
        <v>526</v>
      </c>
      <c r="B527" s="4">
        <v>40567</v>
      </c>
      <c r="C527" s="3">
        <v>1</v>
      </c>
      <c r="D527" s="3">
        <v>0</v>
      </c>
      <c r="E527" s="3">
        <v>1</v>
      </c>
      <c r="F527" s="3">
        <v>0</v>
      </c>
      <c r="G527" s="3" t="b">
        <v>0</v>
      </c>
      <c r="H527" s="3">
        <v>1</v>
      </c>
      <c r="I527" s="3">
        <v>1</v>
      </c>
      <c r="J527" s="3">
        <v>0.06</v>
      </c>
    </row>
    <row r="528" spans="1:10" x14ac:dyDescent="0.3">
      <c r="A528" s="3">
        <v>527</v>
      </c>
      <c r="B528" s="4">
        <v>40567</v>
      </c>
      <c r="C528" s="3">
        <v>1</v>
      </c>
      <c r="D528" s="3">
        <v>0</v>
      </c>
      <c r="E528" s="3">
        <v>1</v>
      </c>
      <c r="F528" s="3">
        <v>1</v>
      </c>
      <c r="G528" s="3" t="b">
        <v>0</v>
      </c>
      <c r="H528" s="3">
        <v>1</v>
      </c>
      <c r="I528" s="3">
        <v>1</v>
      </c>
      <c r="J528" s="3">
        <v>0.04</v>
      </c>
    </row>
    <row r="529" spans="1:10" x14ac:dyDescent="0.3">
      <c r="A529" s="3">
        <v>528</v>
      </c>
      <c r="B529" s="4">
        <v>40567</v>
      </c>
      <c r="C529" s="3">
        <v>1</v>
      </c>
      <c r="D529" s="3">
        <v>0</v>
      </c>
      <c r="E529" s="3">
        <v>1</v>
      </c>
      <c r="F529" s="3">
        <v>3</v>
      </c>
      <c r="G529" s="3" t="b">
        <v>0</v>
      </c>
      <c r="H529" s="3">
        <v>1</v>
      </c>
      <c r="I529" s="3">
        <v>1</v>
      </c>
      <c r="J529" s="3">
        <v>0.04</v>
      </c>
    </row>
    <row r="530" spans="1:10" x14ac:dyDescent="0.3">
      <c r="A530" s="3">
        <v>529</v>
      </c>
      <c r="B530" s="4">
        <v>40567</v>
      </c>
      <c r="C530" s="3">
        <v>1</v>
      </c>
      <c r="D530" s="3">
        <v>0</v>
      </c>
      <c r="E530" s="3">
        <v>1</v>
      </c>
      <c r="F530" s="3">
        <v>4</v>
      </c>
      <c r="G530" s="3" t="b">
        <v>0</v>
      </c>
      <c r="H530" s="3">
        <v>1</v>
      </c>
      <c r="I530" s="3">
        <v>1</v>
      </c>
      <c r="J530" s="3">
        <v>0.02</v>
      </c>
    </row>
    <row r="531" spans="1:10" x14ac:dyDescent="0.3">
      <c r="A531" s="3">
        <v>530</v>
      </c>
      <c r="B531" s="4">
        <v>40567</v>
      </c>
      <c r="C531" s="3">
        <v>1</v>
      </c>
      <c r="D531" s="3">
        <v>0</v>
      </c>
      <c r="E531" s="3">
        <v>1</v>
      </c>
      <c r="F531" s="3">
        <v>5</v>
      </c>
      <c r="G531" s="3" t="b">
        <v>0</v>
      </c>
      <c r="H531" s="3">
        <v>1</v>
      </c>
      <c r="I531" s="3">
        <v>1</v>
      </c>
      <c r="J531" s="3">
        <v>0.02</v>
      </c>
    </row>
    <row r="532" spans="1:10" x14ac:dyDescent="0.3">
      <c r="A532" s="3">
        <v>531</v>
      </c>
      <c r="B532" s="4">
        <v>40567</v>
      </c>
      <c r="C532" s="3">
        <v>1</v>
      </c>
      <c r="D532" s="3">
        <v>0</v>
      </c>
      <c r="E532" s="3">
        <v>1</v>
      </c>
      <c r="F532" s="3">
        <v>6</v>
      </c>
      <c r="G532" s="3" t="b">
        <v>0</v>
      </c>
      <c r="H532" s="3">
        <v>1</v>
      </c>
      <c r="I532" s="3">
        <v>1</v>
      </c>
      <c r="J532" s="3">
        <v>0.02</v>
      </c>
    </row>
    <row r="533" spans="1:10" x14ac:dyDescent="0.3">
      <c r="A533" s="3">
        <v>532</v>
      </c>
      <c r="B533" s="4">
        <v>40567</v>
      </c>
      <c r="C533" s="3">
        <v>1</v>
      </c>
      <c r="D533" s="3">
        <v>0</v>
      </c>
      <c r="E533" s="3">
        <v>1</v>
      </c>
      <c r="F533" s="3">
        <v>7</v>
      </c>
      <c r="G533" s="3" t="b">
        <v>0</v>
      </c>
      <c r="H533" s="3">
        <v>1</v>
      </c>
      <c r="I533" s="3">
        <v>1</v>
      </c>
      <c r="J533" s="3">
        <v>0.02</v>
      </c>
    </row>
    <row r="534" spans="1:10" x14ac:dyDescent="0.3">
      <c r="A534" s="3">
        <v>533</v>
      </c>
      <c r="B534" s="4">
        <v>40567</v>
      </c>
      <c r="C534" s="3">
        <v>1</v>
      </c>
      <c r="D534" s="3">
        <v>0</v>
      </c>
      <c r="E534" s="3">
        <v>1</v>
      </c>
      <c r="F534" s="3">
        <v>8</v>
      </c>
      <c r="G534" s="3" t="b">
        <v>0</v>
      </c>
      <c r="H534" s="3">
        <v>1</v>
      </c>
      <c r="I534" s="3">
        <v>1</v>
      </c>
      <c r="J534" s="3">
        <v>0.04</v>
      </c>
    </row>
    <row r="535" spans="1:10" x14ac:dyDescent="0.3">
      <c r="A535" s="3">
        <v>534</v>
      </c>
      <c r="B535" s="4">
        <v>40567</v>
      </c>
      <c r="C535" s="3">
        <v>1</v>
      </c>
      <c r="D535" s="3">
        <v>0</v>
      </c>
      <c r="E535" s="3">
        <v>1</v>
      </c>
      <c r="F535" s="3">
        <v>9</v>
      </c>
      <c r="G535" s="3" t="b">
        <v>0</v>
      </c>
      <c r="H535" s="3">
        <v>1</v>
      </c>
      <c r="I535" s="3">
        <v>1</v>
      </c>
      <c r="J535" s="3">
        <v>0.06</v>
      </c>
    </row>
    <row r="536" spans="1:10" x14ac:dyDescent="0.3">
      <c r="A536" s="3">
        <v>535</v>
      </c>
      <c r="B536" s="4">
        <v>40567</v>
      </c>
      <c r="C536" s="3">
        <v>1</v>
      </c>
      <c r="D536" s="3">
        <v>0</v>
      </c>
      <c r="E536" s="3">
        <v>1</v>
      </c>
      <c r="F536" s="3">
        <v>10</v>
      </c>
      <c r="G536" s="3" t="b">
        <v>0</v>
      </c>
      <c r="H536" s="3">
        <v>1</v>
      </c>
      <c r="I536" s="3">
        <v>1</v>
      </c>
      <c r="J536" s="3">
        <v>0.1</v>
      </c>
    </row>
    <row r="537" spans="1:10" x14ac:dyDescent="0.3">
      <c r="A537" s="3">
        <v>536</v>
      </c>
      <c r="B537" s="4">
        <v>40567</v>
      </c>
      <c r="C537" s="3">
        <v>1</v>
      </c>
      <c r="D537" s="3">
        <v>0</v>
      </c>
      <c r="E537" s="3">
        <v>1</v>
      </c>
      <c r="F537" s="3">
        <v>11</v>
      </c>
      <c r="G537" s="3" t="b">
        <v>0</v>
      </c>
      <c r="H537" s="3">
        <v>1</v>
      </c>
      <c r="I537" s="3">
        <v>1</v>
      </c>
      <c r="J537" s="3">
        <v>0.1</v>
      </c>
    </row>
    <row r="538" spans="1:10" x14ac:dyDescent="0.3">
      <c r="A538" s="3">
        <v>537</v>
      </c>
      <c r="B538" s="4">
        <v>40567</v>
      </c>
      <c r="C538" s="3">
        <v>1</v>
      </c>
      <c r="D538" s="3">
        <v>0</v>
      </c>
      <c r="E538" s="3">
        <v>1</v>
      </c>
      <c r="F538" s="3">
        <v>12</v>
      </c>
      <c r="G538" s="3" t="b">
        <v>0</v>
      </c>
      <c r="H538" s="3">
        <v>1</v>
      </c>
      <c r="I538" s="3">
        <v>2</v>
      </c>
      <c r="J538" s="3">
        <v>0.12</v>
      </c>
    </row>
    <row r="539" spans="1:10" x14ac:dyDescent="0.3">
      <c r="A539" s="3">
        <v>538</v>
      </c>
      <c r="B539" s="4">
        <v>40567</v>
      </c>
      <c r="C539" s="3">
        <v>1</v>
      </c>
      <c r="D539" s="3">
        <v>0</v>
      </c>
      <c r="E539" s="3">
        <v>1</v>
      </c>
      <c r="F539" s="3">
        <v>13</v>
      </c>
      <c r="G539" s="3" t="b">
        <v>0</v>
      </c>
      <c r="H539" s="3">
        <v>1</v>
      </c>
      <c r="I539" s="3">
        <v>2</v>
      </c>
      <c r="J539" s="3">
        <v>0.14000000000000001</v>
      </c>
    </row>
    <row r="540" spans="1:10" x14ac:dyDescent="0.3">
      <c r="A540" s="3">
        <v>539</v>
      </c>
      <c r="B540" s="4">
        <v>40567</v>
      </c>
      <c r="C540" s="3">
        <v>1</v>
      </c>
      <c r="D540" s="3">
        <v>0</v>
      </c>
      <c r="E540" s="3">
        <v>1</v>
      </c>
      <c r="F540" s="3">
        <v>14</v>
      </c>
      <c r="G540" s="3" t="b">
        <v>0</v>
      </c>
      <c r="H540" s="3">
        <v>1</v>
      </c>
      <c r="I540" s="3">
        <v>2</v>
      </c>
      <c r="J540" s="3">
        <v>0.14000000000000001</v>
      </c>
    </row>
    <row r="541" spans="1:10" x14ac:dyDescent="0.3">
      <c r="A541" s="3">
        <v>540</v>
      </c>
      <c r="B541" s="4">
        <v>40567</v>
      </c>
      <c r="C541" s="3">
        <v>1</v>
      </c>
      <c r="D541" s="3">
        <v>0</v>
      </c>
      <c r="E541" s="3">
        <v>1</v>
      </c>
      <c r="F541" s="3">
        <v>15</v>
      </c>
      <c r="G541" s="3" t="b">
        <v>0</v>
      </c>
      <c r="H541" s="3">
        <v>1</v>
      </c>
      <c r="I541" s="3">
        <v>1</v>
      </c>
      <c r="J541" s="3">
        <v>0.16</v>
      </c>
    </row>
    <row r="542" spans="1:10" x14ac:dyDescent="0.3">
      <c r="A542" s="3">
        <v>541</v>
      </c>
      <c r="B542" s="4">
        <v>40567</v>
      </c>
      <c r="C542" s="3">
        <v>1</v>
      </c>
      <c r="D542" s="3">
        <v>0</v>
      </c>
      <c r="E542" s="3">
        <v>1</v>
      </c>
      <c r="F542" s="3">
        <v>16</v>
      </c>
      <c r="G542" s="3" t="b">
        <v>0</v>
      </c>
      <c r="H542" s="3">
        <v>1</v>
      </c>
      <c r="I542" s="3">
        <v>1</v>
      </c>
      <c r="J542" s="3">
        <v>0.16</v>
      </c>
    </row>
    <row r="543" spans="1:10" x14ac:dyDescent="0.3">
      <c r="A543" s="3">
        <v>542</v>
      </c>
      <c r="B543" s="4">
        <v>40567</v>
      </c>
      <c r="C543" s="3">
        <v>1</v>
      </c>
      <c r="D543" s="3">
        <v>0</v>
      </c>
      <c r="E543" s="3">
        <v>1</v>
      </c>
      <c r="F543" s="3">
        <v>17</v>
      </c>
      <c r="G543" s="3" t="b">
        <v>0</v>
      </c>
      <c r="H543" s="3">
        <v>1</v>
      </c>
      <c r="I543" s="3">
        <v>1</v>
      </c>
      <c r="J543" s="3">
        <v>0.14000000000000001</v>
      </c>
    </row>
    <row r="544" spans="1:10" x14ac:dyDescent="0.3">
      <c r="A544" s="3">
        <v>543</v>
      </c>
      <c r="B544" s="4">
        <v>40567</v>
      </c>
      <c r="C544" s="3">
        <v>1</v>
      </c>
      <c r="D544" s="3">
        <v>0</v>
      </c>
      <c r="E544" s="3">
        <v>1</v>
      </c>
      <c r="F544" s="3">
        <v>18</v>
      </c>
      <c r="G544" s="3" t="b">
        <v>0</v>
      </c>
      <c r="H544" s="3">
        <v>1</v>
      </c>
      <c r="I544" s="3">
        <v>1</v>
      </c>
      <c r="J544" s="3">
        <v>0.14000000000000001</v>
      </c>
    </row>
    <row r="545" spans="1:10" x14ac:dyDescent="0.3">
      <c r="A545" s="3">
        <v>544</v>
      </c>
      <c r="B545" s="4">
        <v>40567</v>
      </c>
      <c r="C545" s="3">
        <v>1</v>
      </c>
      <c r="D545" s="3">
        <v>0</v>
      </c>
      <c r="E545" s="3">
        <v>1</v>
      </c>
      <c r="F545" s="3">
        <v>19</v>
      </c>
      <c r="G545" s="3" t="b">
        <v>0</v>
      </c>
      <c r="H545" s="3">
        <v>1</v>
      </c>
      <c r="I545" s="3">
        <v>1</v>
      </c>
      <c r="J545" s="3">
        <v>0.14000000000000001</v>
      </c>
    </row>
    <row r="546" spans="1:10" x14ac:dyDescent="0.3">
      <c r="A546" s="3">
        <v>545</v>
      </c>
      <c r="B546" s="4">
        <v>40567</v>
      </c>
      <c r="C546" s="3">
        <v>1</v>
      </c>
      <c r="D546" s="3">
        <v>0</v>
      </c>
      <c r="E546" s="3">
        <v>1</v>
      </c>
      <c r="F546" s="3">
        <v>20</v>
      </c>
      <c r="G546" s="3" t="b">
        <v>0</v>
      </c>
      <c r="H546" s="3">
        <v>1</v>
      </c>
      <c r="I546" s="3">
        <v>1</v>
      </c>
      <c r="J546" s="3">
        <v>0.14000000000000001</v>
      </c>
    </row>
    <row r="547" spans="1:10" x14ac:dyDescent="0.3">
      <c r="A547" s="3">
        <v>546</v>
      </c>
      <c r="B547" s="4">
        <v>40567</v>
      </c>
      <c r="C547" s="3">
        <v>1</v>
      </c>
      <c r="D547" s="3">
        <v>0</v>
      </c>
      <c r="E547" s="3">
        <v>1</v>
      </c>
      <c r="F547" s="3">
        <v>21</v>
      </c>
      <c r="G547" s="3" t="b">
        <v>0</v>
      </c>
      <c r="H547" s="3">
        <v>1</v>
      </c>
      <c r="I547" s="3">
        <v>1</v>
      </c>
      <c r="J547" s="3">
        <v>0.14000000000000001</v>
      </c>
    </row>
    <row r="548" spans="1:10" x14ac:dyDescent="0.3">
      <c r="A548" s="3">
        <v>547</v>
      </c>
      <c r="B548" s="4">
        <v>40567</v>
      </c>
      <c r="C548" s="3">
        <v>1</v>
      </c>
      <c r="D548" s="3">
        <v>0</v>
      </c>
      <c r="E548" s="3">
        <v>1</v>
      </c>
      <c r="F548" s="3">
        <v>22</v>
      </c>
      <c r="G548" s="3" t="b">
        <v>0</v>
      </c>
      <c r="H548" s="3">
        <v>1</v>
      </c>
      <c r="I548" s="3">
        <v>2</v>
      </c>
      <c r="J548" s="3">
        <v>0.14000000000000001</v>
      </c>
    </row>
    <row r="549" spans="1:10" x14ac:dyDescent="0.3">
      <c r="A549" s="3">
        <v>548</v>
      </c>
      <c r="B549" s="4">
        <v>40567</v>
      </c>
      <c r="C549" s="3">
        <v>1</v>
      </c>
      <c r="D549" s="3">
        <v>0</v>
      </c>
      <c r="E549" s="3">
        <v>1</v>
      </c>
      <c r="F549" s="3">
        <v>23</v>
      </c>
      <c r="G549" s="3" t="b">
        <v>0</v>
      </c>
      <c r="H549" s="3">
        <v>1</v>
      </c>
      <c r="I549" s="3">
        <v>2</v>
      </c>
      <c r="J549" s="3">
        <v>0.16</v>
      </c>
    </row>
    <row r="550" spans="1:10" x14ac:dyDescent="0.3">
      <c r="A550" s="3">
        <v>549</v>
      </c>
      <c r="B550" s="4">
        <v>40568</v>
      </c>
      <c r="C550" s="3">
        <v>1</v>
      </c>
      <c r="D550" s="3">
        <v>0</v>
      </c>
      <c r="E550" s="3">
        <v>1</v>
      </c>
      <c r="F550" s="3">
        <v>0</v>
      </c>
      <c r="G550" s="3" t="b">
        <v>0</v>
      </c>
      <c r="H550" s="3">
        <v>2</v>
      </c>
      <c r="I550" s="3">
        <v>2</v>
      </c>
      <c r="J550" s="3">
        <v>0.16</v>
      </c>
    </row>
    <row r="551" spans="1:10" x14ac:dyDescent="0.3">
      <c r="A551" s="3">
        <v>550</v>
      </c>
      <c r="B551" s="4">
        <v>40568</v>
      </c>
      <c r="C551" s="3">
        <v>1</v>
      </c>
      <c r="D551" s="3">
        <v>0</v>
      </c>
      <c r="E551" s="3">
        <v>1</v>
      </c>
      <c r="F551" s="3">
        <v>1</v>
      </c>
      <c r="G551" s="3" t="b">
        <v>0</v>
      </c>
      <c r="H551" s="3">
        <v>2</v>
      </c>
      <c r="I551" s="3">
        <v>2</v>
      </c>
      <c r="J551" s="3">
        <v>0.16</v>
      </c>
    </row>
    <row r="552" spans="1:10" x14ac:dyDescent="0.3">
      <c r="A552" s="3">
        <v>551</v>
      </c>
      <c r="B552" s="4">
        <v>40568</v>
      </c>
      <c r="C552" s="3">
        <v>1</v>
      </c>
      <c r="D552" s="3">
        <v>0</v>
      </c>
      <c r="E552" s="3">
        <v>1</v>
      </c>
      <c r="F552" s="3">
        <v>2</v>
      </c>
      <c r="G552" s="3" t="b">
        <v>0</v>
      </c>
      <c r="H552" s="3">
        <v>2</v>
      </c>
      <c r="I552" s="3">
        <v>1</v>
      </c>
      <c r="J552" s="3">
        <v>0.16</v>
      </c>
    </row>
    <row r="553" spans="1:10" x14ac:dyDescent="0.3">
      <c r="A553" s="3">
        <v>552</v>
      </c>
      <c r="B553" s="4">
        <v>40568</v>
      </c>
      <c r="C553" s="3">
        <v>1</v>
      </c>
      <c r="D553" s="3">
        <v>0</v>
      </c>
      <c r="E553" s="3">
        <v>1</v>
      </c>
      <c r="F553" s="3">
        <v>4</v>
      </c>
      <c r="G553" s="3" t="b">
        <v>0</v>
      </c>
      <c r="H553" s="3">
        <v>2</v>
      </c>
      <c r="I553" s="3">
        <v>1</v>
      </c>
      <c r="J553" s="3">
        <v>0.14000000000000001</v>
      </c>
    </row>
    <row r="554" spans="1:10" x14ac:dyDescent="0.3">
      <c r="A554" s="3">
        <v>553</v>
      </c>
      <c r="B554" s="4">
        <v>40568</v>
      </c>
      <c r="C554" s="3">
        <v>1</v>
      </c>
      <c r="D554" s="3">
        <v>0</v>
      </c>
      <c r="E554" s="3">
        <v>1</v>
      </c>
      <c r="F554" s="3">
        <v>5</v>
      </c>
      <c r="G554" s="3" t="b">
        <v>0</v>
      </c>
      <c r="H554" s="3">
        <v>2</v>
      </c>
      <c r="I554" s="3">
        <v>1</v>
      </c>
      <c r="J554" s="3">
        <v>0.14000000000000001</v>
      </c>
    </row>
    <row r="555" spans="1:10" x14ac:dyDescent="0.3">
      <c r="A555" s="3">
        <v>554</v>
      </c>
      <c r="B555" s="4">
        <v>40568</v>
      </c>
      <c r="C555" s="3">
        <v>1</v>
      </c>
      <c r="D555" s="3">
        <v>0</v>
      </c>
      <c r="E555" s="3">
        <v>1</v>
      </c>
      <c r="F555" s="3">
        <v>6</v>
      </c>
      <c r="G555" s="3" t="b">
        <v>0</v>
      </c>
      <c r="H555" s="3">
        <v>2</v>
      </c>
      <c r="I555" s="3">
        <v>1</v>
      </c>
      <c r="J555" s="3">
        <v>0.16</v>
      </c>
    </row>
    <row r="556" spans="1:10" x14ac:dyDescent="0.3">
      <c r="A556" s="3">
        <v>555</v>
      </c>
      <c r="B556" s="4">
        <v>40568</v>
      </c>
      <c r="C556" s="3">
        <v>1</v>
      </c>
      <c r="D556" s="3">
        <v>0</v>
      </c>
      <c r="E556" s="3">
        <v>1</v>
      </c>
      <c r="F556" s="3">
        <v>7</v>
      </c>
      <c r="G556" s="3" t="b">
        <v>0</v>
      </c>
      <c r="H556" s="3">
        <v>2</v>
      </c>
      <c r="I556" s="3">
        <v>1</v>
      </c>
      <c r="J556" s="3">
        <v>0.16</v>
      </c>
    </row>
    <row r="557" spans="1:10" x14ac:dyDescent="0.3">
      <c r="A557" s="3">
        <v>556</v>
      </c>
      <c r="B557" s="4">
        <v>40568</v>
      </c>
      <c r="C557" s="3">
        <v>1</v>
      </c>
      <c r="D557" s="3">
        <v>0</v>
      </c>
      <c r="E557" s="3">
        <v>1</v>
      </c>
      <c r="F557" s="3">
        <v>8</v>
      </c>
      <c r="G557" s="3" t="b">
        <v>0</v>
      </c>
      <c r="H557" s="3">
        <v>2</v>
      </c>
      <c r="I557" s="3">
        <v>2</v>
      </c>
      <c r="J557" s="3">
        <v>0.16</v>
      </c>
    </row>
    <row r="558" spans="1:10" x14ac:dyDescent="0.3">
      <c r="A558" s="3">
        <v>557</v>
      </c>
      <c r="B558" s="4">
        <v>40568</v>
      </c>
      <c r="C558" s="3">
        <v>1</v>
      </c>
      <c r="D558" s="3">
        <v>0</v>
      </c>
      <c r="E558" s="3">
        <v>1</v>
      </c>
      <c r="F558" s="3">
        <v>9</v>
      </c>
      <c r="G558" s="3" t="b">
        <v>0</v>
      </c>
      <c r="H558" s="3">
        <v>2</v>
      </c>
      <c r="I558" s="3">
        <v>2</v>
      </c>
      <c r="J558" s="3">
        <v>0.2</v>
      </c>
    </row>
    <row r="559" spans="1:10" x14ac:dyDescent="0.3">
      <c r="A559" s="3">
        <v>558</v>
      </c>
      <c r="B559" s="4">
        <v>40568</v>
      </c>
      <c r="C559" s="3">
        <v>1</v>
      </c>
      <c r="D559" s="3">
        <v>0</v>
      </c>
      <c r="E559" s="3">
        <v>1</v>
      </c>
      <c r="F559" s="3">
        <v>10</v>
      </c>
      <c r="G559" s="3" t="b">
        <v>0</v>
      </c>
      <c r="H559" s="3">
        <v>2</v>
      </c>
      <c r="I559" s="3">
        <v>2</v>
      </c>
      <c r="J559" s="3">
        <v>0.22</v>
      </c>
    </row>
    <row r="560" spans="1:10" x14ac:dyDescent="0.3">
      <c r="A560" s="3">
        <v>559</v>
      </c>
      <c r="B560" s="4">
        <v>40568</v>
      </c>
      <c r="C560" s="3">
        <v>1</v>
      </c>
      <c r="D560" s="3">
        <v>0</v>
      </c>
      <c r="E560" s="3">
        <v>1</v>
      </c>
      <c r="F560" s="3">
        <v>11</v>
      </c>
      <c r="G560" s="3" t="b">
        <v>0</v>
      </c>
      <c r="H560" s="3">
        <v>2</v>
      </c>
      <c r="I560" s="3">
        <v>2</v>
      </c>
      <c r="J560" s="3">
        <v>0.24</v>
      </c>
    </row>
    <row r="561" spans="1:10" x14ac:dyDescent="0.3">
      <c r="A561" s="3">
        <v>560</v>
      </c>
      <c r="B561" s="4">
        <v>40568</v>
      </c>
      <c r="C561" s="3">
        <v>1</v>
      </c>
      <c r="D561" s="3">
        <v>0</v>
      </c>
      <c r="E561" s="3">
        <v>1</v>
      </c>
      <c r="F561" s="3">
        <v>12</v>
      </c>
      <c r="G561" s="3" t="b">
        <v>0</v>
      </c>
      <c r="H561" s="3">
        <v>2</v>
      </c>
      <c r="I561" s="3">
        <v>2</v>
      </c>
      <c r="J561" s="3">
        <v>0.26</v>
      </c>
    </row>
    <row r="562" spans="1:10" x14ac:dyDescent="0.3">
      <c r="A562" s="3">
        <v>561</v>
      </c>
      <c r="B562" s="4">
        <v>40568</v>
      </c>
      <c r="C562" s="3">
        <v>1</v>
      </c>
      <c r="D562" s="3">
        <v>0</v>
      </c>
      <c r="E562" s="3">
        <v>1</v>
      </c>
      <c r="F562" s="3">
        <v>13</v>
      </c>
      <c r="G562" s="3" t="b">
        <v>0</v>
      </c>
      <c r="H562" s="3">
        <v>2</v>
      </c>
      <c r="I562" s="3">
        <v>2</v>
      </c>
      <c r="J562" s="3">
        <v>0.26</v>
      </c>
    </row>
    <row r="563" spans="1:10" x14ac:dyDescent="0.3">
      <c r="A563" s="3">
        <v>562</v>
      </c>
      <c r="B563" s="4">
        <v>40568</v>
      </c>
      <c r="C563" s="3">
        <v>1</v>
      </c>
      <c r="D563" s="3">
        <v>0</v>
      </c>
      <c r="E563" s="3">
        <v>1</v>
      </c>
      <c r="F563" s="3">
        <v>14</v>
      </c>
      <c r="G563" s="3" t="b">
        <v>0</v>
      </c>
      <c r="H563" s="3">
        <v>2</v>
      </c>
      <c r="I563" s="3">
        <v>2</v>
      </c>
      <c r="J563" s="3">
        <v>0.3</v>
      </c>
    </row>
    <row r="564" spans="1:10" x14ac:dyDescent="0.3">
      <c r="A564" s="3">
        <v>563</v>
      </c>
      <c r="B564" s="4">
        <v>40568</v>
      </c>
      <c r="C564" s="3">
        <v>1</v>
      </c>
      <c r="D564" s="3">
        <v>0</v>
      </c>
      <c r="E564" s="3">
        <v>1</v>
      </c>
      <c r="F564" s="3">
        <v>15</v>
      </c>
      <c r="G564" s="3" t="b">
        <v>0</v>
      </c>
      <c r="H564" s="3">
        <v>2</v>
      </c>
      <c r="I564" s="3">
        <v>2</v>
      </c>
      <c r="J564" s="3">
        <v>0.32</v>
      </c>
    </row>
    <row r="565" spans="1:10" x14ac:dyDescent="0.3">
      <c r="A565" s="3">
        <v>564</v>
      </c>
      <c r="B565" s="4">
        <v>40568</v>
      </c>
      <c r="C565" s="3">
        <v>1</v>
      </c>
      <c r="D565" s="3">
        <v>0</v>
      </c>
      <c r="E565" s="3">
        <v>1</v>
      </c>
      <c r="F565" s="3">
        <v>16</v>
      </c>
      <c r="G565" s="3" t="b">
        <v>0</v>
      </c>
      <c r="H565" s="3">
        <v>2</v>
      </c>
      <c r="I565" s="3">
        <v>2</v>
      </c>
      <c r="J565" s="3">
        <v>0.32</v>
      </c>
    </row>
    <row r="566" spans="1:10" x14ac:dyDescent="0.3">
      <c r="A566" s="3">
        <v>565</v>
      </c>
      <c r="B566" s="4">
        <v>40568</v>
      </c>
      <c r="C566" s="3">
        <v>1</v>
      </c>
      <c r="D566" s="3">
        <v>0</v>
      </c>
      <c r="E566" s="3">
        <v>1</v>
      </c>
      <c r="F566" s="3">
        <v>17</v>
      </c>
      <c r="G566" s="3" t="b">
        <v>0</v>
      </c>
      <c r="H566" s="3">
        <v>2</v>
      </c>
      <c r="I566" s="3">
        <v>1</v>
      </c>
      <c r="J566" s="3">
        <v>0.3</v>
      </c>
    </row>
    <row r="567" spans="1:10" x14ac:dyDescent="0.3">
      <c r="A567" s="3">
        <v>566</v>
      </c>
      <c r="B567" s="4">
        <v>40568</v>
      </c>
      <c r="C567" s="3">
        <v>1</v>
      </c>
      <c r="D567" s="3">
        <v>0</v>
      </c>
      <c r="E567" s="3">
        <v>1</v>
      </c>
      <c r="F567" s="3">
        <v>18</v>
      </c>
      <c r="G567" s="3" t="b">
        <v>0</v>
      </c>
      <c r="H567" s="3">
        <v>2</v>
      </c>
      <c r="I567" s="3">
        <v>2</v>
      </c>
      <c r="J567" s="3">
        <v>0.3</v>
      </c>
    </row>
    <row r="568" spans="1:10" x14ac:dyDescent="0.3">
      <c r="A568" s="3">
        <v>567</v>
      </c>
      <c r="B568" s="4">
        <v>40568</v>
      </c>
      <c r="C568" s="3">
        <v>1</v>
      </c>
      <c r="D568" s="3">
        <v>0</v>
      </c>
      <c r="E568" s="3">
        <v>1</v>
      </c>
      <c r="F568" s="3">
        <v>19</v>
      </c>
      <c r="G568" s="3" t="b">
        <v>0</v>
      </c>
      <c r="H568" s="3">
        <v>2</v>
      </c>
      <c r="I568" s="3">
        <v>2</v>
      </c>
      <c r="J568" s="3">
        <v>0.26</v>
      </c>
    </row>
    <row r="569" spans="1:10" x14ac:dyDescent="0.3">
      <c r="A569" s="3">
        <v>568</v>
      </c>
      <c r="B569" s="4">
        <v>40568</v>
      </c>
      <c r="C569" s="3">
        <v>1</v>
      </c>
      <c r="D569" s="3">
        <v>0</v>
      </c>
      <c r="E569" s="3">
        <v>1</v>
      </c>
      <c r="F569" s="3">
        <v>20</v>
      </c>
      <c r="G569" s="3" t="b">
        <v>0</v>
      </c>
      <c r="H569" s="3">
        <v>2</v>
      </c>
      <c r="I569" s="3">
        <v>1</v>
      </c>
      <c r="J569" s="3">
        <v>0.24</v>
      </c>
    </row>
    <row r="570" spans="1:10" x14ac:dyDescent="0.3">
      <c r="A570" s="3">
        <v>569</v>
      </c>
      <c r="B570" s="4">
        <v>40568</v>
      </c>
      <c r="C570" s="3">
        <v>1</v>
      </c>
      <c r="D570" s="3">
        <v>0</v>
      </c>
      <c r="E570" s="3">
        <v>1</v>
      </c>
      <c r="F570" s="3">
        <v>21</v>
      </c>
      <c r="G570" s="3" t="b">
        <v>0</v>
      </c>
      <c r="H570" s="3">
        <v>2</v>
      </c>
      <c r="I570" s="3">
        <v>1</v>
      </c>
      <c r="J570" s="3">
        <v>0.24</v>
      </c>
    </row>
    <row r="571" spans="1:10" x14ac:dyDescent="0.3">
      <c r="A571" s="3">
        <v>570</v>
      </c>
      <c r="B571" s="4">
        <v>40568</v>
      </c>
      <c r="C571" s="3">
        <v>1</v>
      </c>
      <c r="D571" s="3">
        <v>0</v>
      </c>
      <c r="E571" s="3">
        <v>1</v>
      </c>
      <c r="F571" s="3">
        <v>22</v>
      </c>
      <c r="G571" s="3" t="b">
        <v>0</v>
      </c>
      <c r="H571" s="3">
        <v>2</v>
      </c>
      <c r="I571" s="3">
        <v>1</v>
      </c>
      <c r="J571" s="3">
        <v>0.22</v>
      </c>
    </row>
    <row r="572" spans="1:10" x14ac:dyDescent="0.3">
      <c r="A572" s="3">
        <v>571</v>
      </c>
      <c r="B572" s="4">
        <v>40568</v>
      </c>
      <c r="C572" s="3">
        <v>1</v>
      </c>
      <c r="D572" s="3">
        <v>0</v>
      </c>
      <c r="E572" s="3">
        <v>1</v>
      </c>
      <c r="F572" s="3">
        <v>23</v>
      </c>
      <c r="G572" s="3" t="b">
        <v>0</v>
      </c>
      <c r="H572" s="3">
        <v>2</v>
      </c>
      <c r="I572" s="3">
        <v>2</v>
      </c>
      <c r="J572" s="3">
        <v>0.22</v>
      </c>
    </row>
    <row r="573" spans="1:10" x14ac:dyDescent="0.3">
      <c r="A573" s="3">
        <v>572</v>
      </c>
      <c r="B573" s="4">
        <v>40569</v>
      </c>
      <c r="C573" s="3">
        <v>1</v>
      </c>
      <c r="D573" s="3">
        <v>0</v>
      </c>
      <c r="E573" s="3">
        <v>1</v>
      </c>
      <c r="F573" s="3">
        <v>0</v>
      </c>
      <c r="G573" s="3" t="b">
        <v>0</v>
      </c>
      <c r="H573" s="3">
        <v>3</v>
      </c>
      <c r="I573" s="3">
        <v>2</v>
      </c>
      <c r="J573" s="3">
        <v>0.22</v>
      </c>
    </row>
    <row r="574" spans="1:10" x14ac:dyDescent="0.3">
      <c r="A574" s="3">
        <v>573</v>
      </c>
      <c r="B574" s="4">
        <v>40569</v>
      </c>
      <c r="C574" s="3">
        <v>1</v>
      </c>
      <c r="D574" s="3">
        <v>0</v>
      </c>
      <c r="E574" s="3">
        <v>1</v>
      </c>
      <c r="F574" s="3">
        <v>1</v>
      </c>
      <c r="G574" s="3" t="b">
        <v>0</v>
      </c>
      <c r="H574" s="3">
        <v>3</v>
      </c>
      <c r="I574" s="3">
        <v>2</v>
      </c>
      <c r="J574" s="3">
        <v>0.24</v>
      </c>
    </row>
    <row r="575" spans="1:10" x14ac:dyDescent="0.3">
      <c r="A575" s="3">
        <v>574</v>
      </c>
      <c r="B575" s="4">
        <v>40569</v>
      </c>
      <c r="C575" s="3">
        <v>1</v>
      </c>
      <c r="D575" s="3">
        <v>0</v>
      </c>
      <c r="E575" s="3">
        <v>1</v>
      </c>
      <c r="F575" s="3">
        <v>2</v>
      </c>
      <c r="G575" s="3" t="b">
        <v>0</v>
      </c>
      <c r="H575" s="3">
        <v>3</v>
      </c>
      <c r="I575" s="3">
        <v>3</v>
      </c>
      <c r="J575" s="3">
        <v>0.22</v>
      </c>
    </row>
    <row r="576" spans="1:10" x14ac:dyDescent="0.3">
      <c r="A576" s="3">
        <v>575</v>
      </c>
      <c r="B576" s="4">
        <v>40569</v>
      </c>
      <c r="C576" s="3">
        <v>1</v>
      </c>
      <c r="D576" s="3">
        <v>0</v>
      </c>
      <c r="E576" s="3">
        <v>1</v>
      </c>
      <c r="F576" s="3">
        <v>5</v>
      </c>
      <c r="G576" s="3" t="b">
        <v>0</v>
      </c>
      <c r="H576" s="3">
        <v>3</v>
      </c>
      <c r="I576" s="3">
        <v>3</v>
      </c>
      <c r="J576" s="3">
        <v>0.2</v>
      </c>
    </row>
    <row r="577" spans="1:10" x14ac:dyDescent="0.3">
      <c r="A577" s="3">
        <v>576</v>
      </c>
      <c r="B577" s="4">
        <v>40569</v>
      </c>
      <c r="C577" s="3">
        <v>1</v>
      </c>
      <c r="D577" s="3">
        <v>0</v>
      </c>
      <c r="E577" s="3">
        <v>1</v>
      </c>
      <c r="F577" s="3">
        <v>6</v>
      </c>
      <c r="G577" s="3" t="b">
        <v>0</v>
      </c>
      <c r="H577" s="3">
        <v>3</v>
      </c>
      <c r="I577" s="3">
        <v>3</v>
      </c>
      <c r="J577" s="3">
        <v>0.2</v>
      </c>
    </row>
    <row r="578" spans="1:10" x14ac:dyDescent="0.3">
      <c r="A578" s="3">
        <v>577</v>
      </c>
      <c r="B578" s="4">
        <v>40569</v>
      </c>
      <c r="C578" s="3">
        <v>1</v>
      </c>
      <c r="D578" s="3">
        <v>0</v>
      </c>
      <c r="E578" s="3">
        <v>1</v>
      </c>
      <c r="F578" s="3">
        <v>7</v>
      </c>
      <c r="G578" s="3" t="b">
        <v>0</v>
      </c>
      <c r="H578" s="3">
        <v>3</v>
      </c>
      <c r="I578" s="3">
        <v>3</v>
      </c>
      <c r="J578" s="3">
        <v>0.22</v>
      </c>
    </row>
    <row r="579" spans="1:10" x14ac:dyDescent="0.3">
      <c r="A579" s="3">
        <v>578</v>
      </c>
      <c r="B579" s="4">
        <v>40569</v>
      </c>
      <c r="C579" s="3">
        <v>1</v>
      </c>
      <c r="D579" s="3">
        <v>0</v>
      </c>
      <c r="E579" s="3">
        <v>1</v>
      </c>
      <c r="F579" s="3">
        <v>8</v>
      </c>
      <c r="G579" s="3" t="b">
        <v>0</v>
      </c>
      <c r="H579" s="3">
        <v>3</v>
      </c>
      <c r="I579" s="3">
        <v>3</v>
      </c>
      <c r="J579" s="3">
        <v>0.22</v>
      </c>
    </row>
    <row r="580" spans="1:10" x14ac:dyDescent="0.3">
      <c r="A580" s="3">
        <v>579</v>
      </c>
      <c r="B580" s="4">
        <v>40569</v>
      </c>
      <c r="C580" s="3">
        <v>1</v>
      </c>
      <c r="D580" s="3">
        <v>0</v>
      </c>
      <c r="E580" s="3">
        <v>1</v>
      </c>
      <c r="F580" s="3">
        <v>9</v>
      </c>
      <c r="G580" s="3" t="b">
        <v>0</v>
      </c>
      <c r="H580" s="3">
        <v>3</v>
      </c>
      <c r="I580" s="3">
        <v>3</v>
      </c>
      <c r="J580" s="3">
        <v>0.22</v>
      </c>
    </row>
    <row r="581" spans="1:10" x14ac:dyDescent="0.3">
      <c r="A581" s="3">
        <v>580</v>
      </c>
      <c r="B581" s="4">
        <v>40569</v>
      </c>
      <c r="C581" s="3">
        <v>1</v>
      </c>
      <c r="D581" s="3">
        <v>0</v>
      </c>
      <c r="E581" s="3">
        <v>1</v>
      </c>
      <c r="F581" s="3">
        <v>10</v>
      </c>
      <c r="G581" s="3" t="b">
        <v>0</v>
      </c>
      <c r="H581" s="3">
        <v>3</v>
      </c>
      <c r="I581" s="3">
        <v>3</v>
      </c>
      <c r="J581" s="3">
        <v>0.22</v>
      </c>
    </row>
    <row r="582" spans="1:10" x14ac:dyDescent="0.3">
      <c r="A582" s="3">
        <v>581</v>
      </c>
      <c r="B582" s="4">
        <v>40569</v>
      </c>
      <c r="C582" s="3">
        <v>1</v>
      </c>
      <c r="D582" s="3">
        <v>0</v>
      </c>
      <c r="E582" s="3">
        <v>1</v>
      </c>
      <c r="F582" s="3">
        <v>11</v>
      </c>
      <c r="G582" s="3" t="b">
        <v>0</v>
      </c>
      <c r="H582" s="3">
        <v>3</v>
      </c>
      <c r="I582" s="3">
        <v>3</v>
      </c>
      <c r="J582" s="3">
        <v>0.22</v>
      </c>
    </row>
    <row r="583" spans="1:10" x14ac:dyDescent="0.3">
      <c r="A583" s="3">
        <v>582</v>
      </c>
      <c r="B583" s="4">
        <v>40569</v>
      </c>
      <c r="C583" s="3">
        <v>1</v>
      </c>
      <c r="D583" s="3">
        <v>0</v>
      </c>
      <c r="E583" s="3">
        <v>1</v>
      </c>
      <c r="F583" s="3">
        <v>12</v>
      </c>
      <c r="G583" s="3" t="b">
        <v>0</v>
      </c>
      <c r="H583" s="3">
        <v>3</v>
      </c>
      <c r="I583" s="3">
        <v>3</v>
      </c>
      <c r="J583" s="3">
        <v>0.22</v>
      </c>
    </row>
    <row r="584" spans="1:10" x14ac:dyDescent="0.3">
      <c r="A584" s="3">
        <v>583</v>
      </c>
      <c r="B584" s="4">
        <v>40569</v>
      </c>
      <c r="C584" s="3">
        <v>1</v>
      </c>
      <c r="D584" s="3">
        <v>0</v>
      </c>
      <c r="E584" s="3">
        <v>1</v>
      </c>
      <c r="F584" s="3">
        <v>13</v>
      </c>
      <c r="G584" s="3" t="b">
        <v>0</v>
      </c>
      <c r="H584" s="3">
        <v>3</v>
      </c>
      <c r="I584" s="3">
        <v>3</v>
      </c>
      <c r="J584" s="3">
        <v>0.22</v>
      </c>
    </row>
    <row r="585" spans="1:10" x14ac:dyDescent="0.3">
      <c r="A585" s="3">
        <v>584</v>
      </c>
      <c r="B585" s="4">
        <v>40569</v>
      </c>
      <c r="C585" s="3">
        <v>1</v>
      </c>
      <c r="D585" s="3">
        <v>0</v>
      </c>
      <c r="E585" s="3">
        <v>1</v>
      </c>
      <c r="F585" s="3">
        <v>14</v>
      </c>
      <c r="G585" s="3" t="b">
        <v>0</v>
      </c>
      <c r="H585" s="3">
        <v>3</v>
      </c>
      <c r="I585" s="3">
        <v>3</v>
      </c>
      <c r="J585" s="3">
        <v>0.22</v>
      </c>
    </row>
    <row r="586" spans="1:10" x14ac:dyDescent="0.3">
      <c r="A586" s="3">
        <v>585</v>
      </c>
      <c r="B586" s="4">
        <v>40569</v>
      </c>
      <c r="C586" s="3">
        <v>1</v>
      </c>
      <c r="D586" s="3">
        <v>0</v>
      </c>
      <c r="E586" s="3">
        <v>1</v>
      </c>
      <c r="F586" s="3">
        <v>15</v>
      </c>
      <c r="G586" s="3" t="b">
        <v>0</v>
      </c>
      <c r="H586" s="3">
        <v>3</v>
      </c>
      <c r="I586" s="3">
        <v>3</v>
      </c>
      <c r="J586" s="3">
        <v>0.22</v>
      </c>
    </row>
    <row r="587" spans="1:10" x14ac:dyDescent="0.3">
      <c r="A587" s="3">
        <v>586</v>
      </c>
      <c r="B587" s="4">
        <v>40569</v>
      </c>
      <c r="C587" s="3">
        <v>1</v>
      </c>
      <c r="D587" s="3">
        <v>0</v>
      </c>
      <c r="E587" s="3">
        <v>1</v>
      </c>
      <c r="F587" s="3">
        <v>16</v>
      </c>
      <c r="G587" s="3" t="b">
        <v>0</v>
      </c>
      <c r="H587" s="3">
        <v>3</v>
      </c>
      <c r="I587" s="3">
        <v>4</v>
      </c>
      <c r="J587" s="3">
        <v>0.22</v>
      </c>
    </row>
    <row r="588" spans="1:10" x14ac:dyDescent="0.3">
      <c r="A588" s="3">
        <v>587</v>
      </c>
      <c r="B588" s="4">
        <v>40569</v>
      </c>
      <c r="C588" s="3">
        <v>1</v>
      </c>
      <c r="D588" s="3">
        <v>0</v>
      </c>
      <c r="E588" s="3">
        <v>1</v>
      </c>
      <c r="F588" s="3">
        <v>17</v>
      </c>
      <c r="G588" s="3" t="b">
        <v>0</v>
      </c>
      <c r="H588" s="3">
        <v>3</v>
      </c>
      <c r="I588" s="3">
        <v>3</v>
      </c>
      <c r="J588" s="3">
        <v>0.2</v>
      </c>
    </row>
    <row r="589" spans="1:10" x14ac:dyDescent="0.3">
      <c r="A589" s="3">
        <v>588</v>
      </c>
      <c r="B589" s="4">
        <v>40570</v>
      </c>
      <c r="C589" s="3">
        <v>1</v>
      </c>
      <c r="D589" s="3">
        <v>0</v>
      </c>
      <c r="E589" s="3">
        <v>1</v>
      </c>
      <c r="F589" s="3">
        <v>16</v>
      </c>
      <c r="G589" s="3" t="b">
        <v>0</v>
      </c>
      <c r="H589" s="3">
        <v>4</v>
      </c>
      <c r="I589" s="3">
        <v>1</v>
      </c>
      <c r="J589" s="3">
        <v>0.22</v>
      </c>
    </row>
    <row r="590" spans="1:10" x14ac:dyDescent="0.3">
      <c r="A590" s="3">
        <v>589</v>
      </c>
      <c r="B590" s="4">
        <v>40570</v>
      </c>
      <c r="C590" s="3">
        <v>1</v>
      </c>
      <c r="D590" s="3">
        <v>0</v>
      </c>
      <c r="E590" s="3">
        <v>1</v>
      </c>
      <c r="F590" s="3">
        <v>17</v>
      </c>
      <c r="G590" s="3" t="b">
        <v>0</v>
      </c>
      <c r="H590" s="3">
        <v>4</v>
      </c>
      <c r="I590" s="3">
        <v>1</v>
      </c>
      <c r="J590" s="3">
        <v>0.22</v>
      </c>
    </row>
    <row r="591" spans="1:10" x14ac:dyDescent="0.3">
      <c r="A591" s="3">
        <v>590</v>
      </c>
      <c r="B591" s="4">
        <v>40570</v>
      </c>
      <c r="C591" s="3">
        <v>1</v>
      </c>
      <c r="D591" s="3">
        <v>0</v>
      </c>
      <c r="E591" s="3">
        <v>1</v>
      </c>
      <c r="F591" s="3">
        <v>18</v>
      </c>
      <c r="G591" s="3" t="b">
        <v>0</v>
      </c>
      <c r="H591" s="3">
        <v>4</v>
      </c>
      <c r="I591" s="3">
        <v>1</v>
      </c>
      <c r="J591" s="3">
        <v>0.2</v>
      </c>
    </row>
    <row r="592" spans="1:10" x14ac:dyDescent="0.3">
      <c r="A592" s="3">
        <v>591</v>
      </c>
      <c r="B592" s="4">
        <v>40570</v>
      </c>
      <c r="C592" s="3">
        <v>1</v>
      </c>
      <c r="D592" s="3">
        <v>0</v>
      </c>
      <c r="E592" s="3">
        <v>1</v>
      </c>
      <c r="F592" s="3">
        <v>19</v>
      </c>
      <c r="G592" s="3" t="b">
        <v>0</v>
      </c>
      <c r="H592" s="3">
        <v>4</v>
      </c>
      <c r="I592" s="3">
        <v>1</v>
      </c>
      <c r="J592" s="3">
        <v>0.2</v>
      </c>
    </row>
    <row r="593" spans="1:10" x14ac:dyDescent="0.3">
      <c r="A593" s="3">
        <v>592</v>
      </c>
      <c r="B593" s="4">
        <v>40570</v>
      </c>
      <c r="C593" s="3">
        <v>1</v>
      </c>
      <c r="D593" s="3">
        <v>0</v>
      </c>
      <c r="E593" s="3">
        <v>1</v>
      </c>
      <c r="F593" s="3">
        <v>20</v>
      </c>
      <c r="G593" s="3" t="b">
        <v>0</v>
      </c>
      <c r="H593" s="3">
        <v>4</v>
      </c>
      <c r="I593" s="3">
        <v>1</v>
      </c>
      <c r="J593" s="3">
        <v>0.18</v>
      </c>
    </row>
    <row r="594" spans="1:10" x14ac:dyDescent="0.3">
      <c r="A594" s="3">
        <v>593</v>
      </c>
      <c r="B594" s="4">
        <v>40570</v>
      </c>
      <c r="C594" s="3">
        <v>1</v>
      </c>
      <c r="D594" s="3">
        <v>0</v>
      </c>
      <c r="E594" s="3">
        <v>1</v>
      </c>
      <c r="F594" s="3">
        <v>21</v>
      </c>
      <c r="G594" s="3" t="b">
        <v>0</v>
      </c>
      <c r="H594" s="3">
        <v>4</v>
      </c>
      <c r="I594" s="3">
        <v>1</v>
      </c>
      <c r="J594" s="3">
        <v>0.18</v>
      </c>
    </row>
    <row r="595" spans="1:10" x14ac:dyDescent="0.3">
      <c r="A595" s="3">
        <v>594</v>
      </c>
      <c r="B595" s="4">
        <v>40570</v>
      </c>
      <c r="C595" s="3">
        <v>1</v>
      </c>
      <c r="D595" s="3">
        <v>0</v>
      </c>
      <c r="E595" s="3">
        <v>1</v>
      </c>
      <c r="F595" s="3">
        <v>22</v>
      </c>
      <c r="G595" s="3" t="b">
        <v>0</v>
      </c>
      <c r="H595" s="3">
        <v>4</v>
      </c>
      <c r="I595" s="3">
        <v>1</v>
      </c>
      <c r="J595" s="3">
        <v>0.18</v>
      </c>
    </row>
    <row r="596" spans="1:10" x14ac:dyDescent="0.3">
      <c r="A596" s="3">
        <v>595</v>
      </c>
      <c r="B596" s="4">
        <v>40570</v>
      </c>
      <c r="C596" s="3">
        <v>1</v>
      </c>
      <c r="D596" s="3">
        <v>0</v>
      </c>
      <c r="E596" s="3">
        <v>1</v>
      </c>
      <c r="F596" s="3">
        <v>23</v>
      </c>
      <c r="G596" s="3" t="b">
        <v>0</v>
      </c>
      <c r="H596" s="3">
        <v>4</v>
      </c>
      <c r="I596" s="3">
        <v>1</v>
      </c>
      <c r="J596" s="3">
        <v>0.18</v>
      </c>
    </row>
    <row r="597" spans="1:10" x14ac:dyDescent="0.3">
      <c r="A597" s="3">
        <v>596</v>
      </c>
      <c r="B597" s="4">
        <v>40571</v>
      </c>
      <c r="C597" s="3">
        <v>1</v>
      </c>
      <c r="D597" s="3">
        <v>0</v>
      </c>
      <c r="E597" s="3">
        <v>1</v>
      </c>
      <c r="F597" s="3">
        <v>0</v>
      </c>
      <c r="G597" s="3" t="b">
        <v>0</v>
      </c>
      <c r="H597" s="3">
        <v>5</v>
      </c>
      <c r="I597" s="3">
        <v>2</v>
      </c>
      <c r="J597" s="3">
        <v>0.2</v>
      </c>
    </row>
    <row r="598" spans="1:10" x14ac:dyDescent="0.3">
      <c r="A598" s="3">
        <v>597</v>
      </c>
      <c r="B598" s="4">
        <v>40571</v>
      </c>
      <c r="C598" s="3">
        <v>1</v>
      </c>
      <c r="D598" s="3">
        <v>0</v>
      </c>
      <c r="E598" s="3">
        <v>1</v>
      </c>
      <c r="F598" s="3">
        <v>1</v>
      </c>
      <c r="G598" s="3" t="b">
        <v>0</v>
      </c>
      <c r="H598" s="3">
        <v>5</v>
      </c>
      <c r="I598" s="3">
        <v>2</v>
      </c>
      <c r="J598" s="3">
        <v>0.2</v>
      </c>
    </row>
    <row r="599" spans="1:10" x14ac:dyDescent="0.3">
      <c r="A599" s="3">
        <v>598</v>
      </c>
      <c r="B599" s="4">
        <v>40571</v>
      </c>
      <c r="C599" s="3">
        <v>1</v>
      </c>
      <c r="D599" s="3">
        <v>0</v>
      </c>
      <c r="E599" s="3">
        <v>1</v>
      </c>
      <c r="F599" s="3">
        <v>2</v>
      </c>
      <c r="G599" s="3" t="b">
        <v>0</v>
      </c>
      <c r="H599" s="3">
        <v>5</v>
      </c>
      <c r="I599" s="3">
        <v>2</v>
      </c>
      <c r="J599" s="3">
        <v>0.2</v>
      </c>
    </row>
    <row r="600" spans="1:10" x14ac:dyDescent="0.3">
      <c r="A600" s="3">
        <v>599</v>
      </c>
      <c r="B600" s="4">
        <v>40571</v>
      </c>
      <c r="C600" s="3">
        <v>1</v>
      </c>
      <c r="D600" s="3">
        <v>0</v>
      </c>
      <c r="E600" s="3">
        <v>1</v>
      </c>
      <c r="F600" s="3">
        <v>3</v>
      </c>
      <c r="G600" s="3" t="b">
        <v>0</v>
      </c>
      <c r="H600" s="3">
        <v>5</v>
      </c>
      <c r="I600" s="3">
        <v>2</v>
      </c>
      <c r="J600" s="3">
        <v>0.2</v>
      </c>
    </row>
    <row r="601" spans="1:10" x14ac:dyDescent="0.3">
      <c r="A601" s="3">
        <v>600</v>
      </c>
      <c r="B601" s="4">
        <v>40571</v>
      </c>
      <c r="C601" s="3">
        <v>1</v>
      </c>
      <c r="D601" s="3">
        <v>0</v>
      </c>
      <c r="E601" s="3">
        <v>1</v>
      </c>
      <c r="F601" s="3">
        <v>5</v>
      </c>
      <c r="G601" s="3" t="b">
        <v>0</v>
      </c>
      <c r="H601" s="3">
        <v>5</v>
      </c>
      <c r="I601" s="3">
        <v>2</v>
      </c>
      <c r="J601" s="3">
        <v>0.18</v>
      </c>
    </row>
    <row r="602" spans="1:10" x14ac:dyDescent="0.3">
      <c r="A602" s="3">
        <v>601</v>
      </c>
      <c r="B602" s="4">
        <v>40571</v>
      </c>
      <c r="C602" s="3">
        <v>1</v>
      </c>
      <c r="D602" s="3">
        <v>0</v>
      </c>
      <c r="E602" s="3">
        <v>1</v>
      </c>
      <c r="F602" s="3">
        <v>6</v>
      </c>
      <c r="G602" s="3" t="b">
        <v>0</v>
      </c>
      <c r="H602" s="3">
        <v>5</v>
      </c>
      <c r="I602" s="3">
        <v>2</v>
      </c>
      <c r="J602" s="3">
        <v>0.18</v>
      </c>
    </row>
    <row r="603" spans="1:10" x14ac:dyDescent="0.3">
      <c r="A603" s="3">
        <v>602</v>
      </c>
      <c r="B603" s="4">
        <v>40571</v>
      </c>
      <c r="C603" s="3">
        <v>1</v>
      </c>
      <c r="D603" s="3">
        <v>0</v>
      </c>
      <c r="E603" s="3">
        <v>1</v>
      </c>
      <c r="F603" s="3">
        <v>7</v>
      </c>
      <c r="G603" s="3" t="b">
        <v>0</v>
      </c>
      <c r="H603" s="3">
        <v>5</v>
      </c>
      <c r="I603" s="3">
        <v>2</v>
      </c>
      <c r="J603" s="3">
        <v>0.16</v>
      </c>
    </row>
    <row r="604" spans="1:10" x14ac:dyDescent="0.3">
      <c r="A604" s="3">
        <v>603</v>
      </c>
      <c r="B604" s="4">
        <v>40571</v>
      </c>
      <c r="C604" s="3">
        <v>1</v>
      </c>
      <c r="D604" s="3">
        <v>0</v>
      </c>
      <c r="E604" s="3">
        <v>1</v>
      </c>
      <c r="F604" s="3">
        <v>8</v>
      </c>
      <c r="G604" s="3" t="b">
        <v>0</v>
      </c>
      <c r="H604" s="3">
        <v>5</v>
      </c>
      <c r="I604" s="3">
        <v>2</v>
      </c>
      <c r="J604" s="3">
        <v>0.16</v>
      </c>
    </row>
    <row r="605" spans="1:10" x14ac:dyDescent="0.3">
      <c r="A605" s="3">
        <v>604</v>
      </c>
      <c r="B605" s="4">
        <v>40571</v>
      </c>
      <c r="C605" s="3">
        <v>1</v>
      </c>
      <c r="D605" s="3">
        <v>0</v>
      </c>
      <c r="E605" s="3">
        <v>1</v>
      </c>
      <c r="F605" s="3">
        <v>9</v>
      </c>
      <c r="G605" s="3" t="b">
        <v>0</v>
      </c>
      <c r="H605" s="3">
        <v>5</v>
      </c>
      <c r="I605" s="3">
        <v>3</v>
      </c>
      <c r="J605" s="3">
        <v>0.18</v>
      </c>
    </row>
    <row r="606" spans="1:10" x14ac:dyDescent="0.3">
      <c r="A606" s="3">
        <v>605</v>
      </c>
      <c r="B606" s="4">
        <v>40571</v>
      </c>
      <c r="C606" s="3">
        <v>1</v>
      </c>
      <c r="D606" s="3">
        <v>0</v>
      </c>
      <c r="E606" s="3">
        <v>1</v>
      </c>
      <c r="F606" s="3">
        <v>10</v>
      </c>
      <c r="G606" s="3" t="b">
        <v>0</v>
      </c>
      <c r="H606" s="3">
        <v>5</v>
      </c>
      <c r="I606" s="3">
        <v>3</v>
      </c>
      <c r="J606" s="3">
        <v>0.18</v>
      </c>
    </row>
    <row r="607" spans="1:10" x14ac:dyDescent="0.3">
      <c r="A607" s="3">
        <v>606</v>
      </c>
      <c r="B607" s="4">
        <v>40571</v>
      </c>
      <c r="C607" s="3">
        <v>1</v>
      </c>
      <c r="D607" s="3">
        <v>0</v>
      </c>
      <c r="E607" s="3">
        <v>1</v>
      </c>
      <c r="F607" s="3">
        <v>11</v>
      </c>
      <c r="G607" s="3" t="b">
        <v>0</v>
      </c>
      <c r="H607" s="3">
        <v>5</v>
      </c>
      <c r="I607" s="3">
        <v>3</v>
      </c>
      <c r="J607" s="3">
        <v>0.18</v>
      </c>
    </row>
    <row r="608" spans="1:10" x14ac:dyDescent="0.3">
      <c r="A608" s="3">
        <v>607</v>
      </c>
      <c r="B608" s="4">
        <v>40571</v>
      </c>
      <c r="C608" s="3">
        <v>1</v>
      </c>
      <c r="D608" s="3">
        <v>0</v>
      </c>
      <c r="E608" s="3">
        <v>1</v>
      </c>
      <c r="F608" s="3">
        <v>12</v>
      </c>
      <c r="G608" s="3" t="b">
        <v>0</v>
      </c>
      <c r="H608" s="3">
        <v>5</v>
      </c>
      <c r="I608" s="3">
        <v>3</v>
      </c>
      <c r="J608" s="3">
        <v>0.18</v>
      </c>
    </row>
    <row r="609" spans="1:10" x14ac:dyDescent="0.3">
      <c r="A609" s="3">
        <v>608</v>
      </c>
      <c r="B609" s="4">
        <v>40571</v>
      </c>
      <c r="C609" s="3">
        <v>1</v>
      </c>
      <c r="D609" s="3">
        <v>0</v>
      </c>
      <c r="E609" s="3">
        <v>1</v>
      </c>
      <c r="F609" s="3">
        <v>13</v>
      </c>
      <c r="G609" s="3" t="b">
        <v>0</v>
      </c>
      <c r="H609" s="3">
        <v>5</v>
      </c>
      <c r="I609" s="3">
        <v>3</v>
      </c>
      <c r="J609" s="3">
        <v>0.18</v>
      </c>
    </row>
    <row r="610" spans="1:10" x14ac:dyDescent="0.3">
      <c r="A610" s="3">
        <v>609</v>
      </c>
      <c r="B610" s="4">
        <v>40571</v>
      </c>
      <c r="C610" s="3">
        <v>1</v>
      </c>
      <c r="D610" s="3">
        <v>0</v>
      </c>
      <c r="E610" s="3">
        <v>1</v>
      </c>
      <c r="F610" s="3">
        <v>14</v>
      </c>
      <c r="G610" s="3" t="b">
        <v>0</v>
      </c>
      <c r="H610" s="3">
        <v>5</v>
      </c>
      <c r="I610" s="3">
        <v>3</v>
      </c>
      <c r="J610" s="3">
        <v>0.22</v>
      </c>
    </row>
    <row r="611" spans="1:10" x14ac:dyDescent="0.3">
      <c r="A611" s="3">
        <v>610</v>
      </c>
      <c r="B611" s="4">
        <v>40571</v>
      </c>
      <c r="C611" s="3">
        <v>1</v>
      </c>
      <c r="D611" s="3">
        <v>0</v>
      </c>
      <c r="E611" s="3">
        <v>1</v>
      </c>
      <c r="F611" s="3">
        <v>15</v>
      </c>
      <c r="G611" s="3" t="b">
        <v>0</v>
      </c>
      <c r="H611" s="3">
        <v>5</v>
      </c>
      <c r="I611" s="3">
        <v>2</v>
      </c>
      <c r="J611" s="3">
        <v>0.2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8844-EE9A-4BD6-ADF7-D7885F558EFC}">
  <dimension ref="A1:H612"/>
  <sheetViews>
    <sheetView topLeftCell="A506" workbookViewId="0">
      <selection activeCell="E519" sqref="E519"/>
    </sheetView>
  </sheetViews>
  <sheetFormatPr defaultRowHeight="14.4" x14ac:dyDescent="0.3"/>
  <sheetData>
    <row r="1" spans="1:8" x14ac:dyDescent="0.3">
      <c r="A1" s="5" t="s">
        <v>61</v>
      </c>
      <c r="B1" s="5" t="s">
        <v>0</v>
      </c>
      <c r="C1" s="5" t="s">
        <v>10</v>
      </c>
      <c r="D1" s="5" t="s">
        <v>11</v>
      </c>
      <c r="E1" s="5" t="s">
        <v>12</v>
      </c>
      <c r="F1" s="5" t="s">
        <v>13</v>
      </c>
      <c r="G1" s="5" t="s">
        <v>14</v>
      </c>
      <c r="H1" s="5" t="s">
        <v>15</v>
      </c>
    </row>
    <row r="2" spans="1:8" x14ac:dyDescent="0.3">
      <c r="A2" s="5">
        <v>0</v>
      </c>
      <c r="B2" s="5">
        <v>1</v>
      </c>
      <c r="C2" s="5">
        <v>0.28789999999999999</v>
      </c>
      <c r="D2" s="5">
        <v>0.81</v>
      </c>
      <c r="E2" s="5">
        <v>0</v>
      </c>
      <c r="F2" s="5">
        <v>3</v>
      </c>
      <c r="G2" s="5">
        <v>13</v>
      </c>
      <c r="H2" s="5">
        <v>16</v>
      </c>
    </row>
    <row r="3" spans="1:8" x14ac:dyDescent="0.3">
      <c r="A3" s="5">
        <v>1</v>
      </c>
      <c r="B3" s="5">
        <v>2</v>
      </c>
      <c r="C3" s="5">
        <v>0.2727</v>
      </c>
      <c r="D3" s="5">
        <v>0.8</v>
      </c>
      <c r="E3" s="5">
        <v>0</v>
      </c>
      <c r="F3" s="5">
        <v>8</v>
      </c>
      <c r="G3" s="5">
        <v>32</v>
      </c>
      <c r="H3" s="5">
        <v>40</v>
      </c>
    </row>
    <row r="4" spans="1:8" x14ac:dyDescent="0.3">
      <c r="A4" s="5">
        <v>2</v>
      </c>
      <c r="B4" s="5">
        <v>3</v>
      </c>
      <c r="C4" s="5">
        <v>0.2727</v>
      </c>
      <c r="D4" s="5">
        <v>0.8</v>
      </c>
      <c r="E4" s="5">
        <v>0</v>
      </c>
      <c r="F4" s="5">
        <v>5</v>
      </c>
      <c r="G4" s="5">
        <v>27</v>
      </c>
      <c r="H4" s="5">
        <v>32</v>
      </c>
    </row>
    <row r="5" spans="1:8" x14ac:dyDescent="0.3">
      <c r="A5" s="5">
        <v>3</v>
      </c>
      <c r="B5" s="5">
        <v>4</v>
      </c>
      <c r="C5" s="5">
        <v>0.28789999999999999</v>
      </c>
      <c r="D5" s="5">
        <v>0.75</v>
      </c>
      <c r="E5" s="5">
        <v>0</v>
      </c>
      <c r="F5" s="5">
        <v>3</v>
      </c>
      <c r="G5" s="5">
        <v>10</v>
      </c>
      <c r="H5" s="5">
        <v>13</v>
      </c>
    </row>
    <row r="6" spans="1:8" x14ac:dyDescent="0.3">
      <c r="A6" s="5">
        <v>4</v>
      </c>
      <c r="B6" s="5">
        <v>5</v>
      </c>
      <c r="C6" s="5">
        <v>0.28789999999999999</v>
      </c>
      <c r="D6" s="5">
        <v>0.75</v>
      </c>
      <c r="E6" s="5">
        <v>0</v>
      </c>
      <c r="F6" s="5">
        <v>0</v>
      </c>
      <c r="G6" s="5">
        <v>1</v>
      </c>
      <c r="H6" s="5">
        <v>1</v>
      </c>
    </row>
    <row r="7" spans="1:8" x14ac:dyDescent="0.3">
      <c r="A7" s="5">
        <v>5</v>
      </c>
      <c r="B7" s="5">
        <v>6</v>
      </c>
      <c r="C7" s="5">
        <v>0.2576</v>
      </c>
      <c r="D7" s="5">
        <v>0.75</v>
      </c>
      <c r="E7" s="5">
        <v>8.9599999999999999E-2</v>
      </c>
      <c r="F7" s="5">
        <v>0</v>
      </c>
      <c r="G7" s="5">
        <v>1</v>
      </c>
      <c r="H7" s="5">
        <v>1</v>
      </c>
    </row>
    <row r="8" spans="1:8" x14ac:dyDescent="0.3">
      <c r="A8" s="5">
        <v>6</v>
      </c>
      <c r="B8" s="5">
        <v>7</v>
      </c>
      <c r="C8" s="5">
        <v>0.2727</v>
      </c>
      <c r="D8" s="5">
        <v>0.8</v>
      </c>
      <c r="E8" s="5">
        <v>0</v>
      </c>
      <c r="F8" s="5">
        <v>2</v>
      </c>
      <c r="G8" s="5">
        <v>0</v>
      </c>
      <c r="H8" s="5">
        <v>2</v>
      </c>
    </row>
    <row r="9" spans="1:8" x14ac:dyDescent="0.3">
      <c r="A9" s="5">
        <v>7</v>
      </c>
      <c r="B9" s="5">
        <v>8</v>
      </c>
      <c r="C9" s="5">
        <v>0.2576</v>
      </c>
      <c r="D9" s="5">
        <v>0.86</v>
      </c>
      <c r="E9" s="5">
        <v>0</v>
      </c>
      <c r="F9" s="5">
        <v>1</v>
      </c>
      <c r="G9" s="5">
        <v>2</v>
      </c>
      <c r="H9" s="5">
        <v>3</v>
      </c>
    </row>
    <row r="10" spans="1:8" x14ac:dyDescent="0.3">
      <c r="A10" s="5">
        <v>8</v>
      </c>
      <c r="B10" s="5">
        <v>9</v>
      </c>
      <c r="C10" s="5">
        <f ca="1">SUBTOTAL(101,Table2[atemp])</f>
        <v>0.19993489148580987</v>
      </c>
      <c r="D10" s="5">
        <v>0.75</v>
      </c>
      <c r="E10" s="5">
        <v>0</v>
      </c>
      <c r="F10" s="5">
        <v>1</v>
      </c>
      <c r="G10" s="5">
        <v>7</v>
      </c>
      <c r="H10" s="5">
        <v>8</v>
      </c>
    </row>
    <row r="11" spans="1:8" x14ac:dyDescent="0.3">
      <c r="A11" s="5">
        <v>9</v>
      </c>
      <c r="B11" s="5">
        <v>10</v>
      </c>
      <c r="C11" s="5">
        <v>0.34849999999999998</v>
      </c>
      <c r="D11" s="5">
        <v>0.76</v>
      </c>
      <c r="E11" s="5">
        <v>0</v>
      </c>
      <c r="F11" s="5">
        <v>8</v>
      </c>
      <c r="G11" s="5">
        <v>6</v>
      </c>
      <c r="H11" s="5">
        <v>14</v>
      </c>
    </row>
    <row r="12" spans="1:8" x14ac:dyDescent="0.3">
      <c r="A12" s="5">
        <v>10</v>
      </c>
      <c r="B12" s="5">
        <v>11</v>
      </c>
      <c r="C12" s="5">
        <v>0.39389999999999997</v>
      </c>
      <c r="D12" s="5">
        <v>0.76</v>
      </c>
      <c r="E12" s="5">
        <v>0.25369999999999998</v>
      </c>
      <c r="F12" s="5">
        <v>12</v>
      </c>
      <c r="G12" s="5">
        <v>24</v>
      </c>
      <c r="H12" s="5">
        <v>36</v>
      </c>
    </row>
    <row r="13" spans="1:8" x14ac:dyDescent="0.3">
      <c r="A13" s="5">
        <v>11</v>
      </c>
      <c r="B13" s="5">
        <v>12</v>
      </c>
      <c r="C13" s="5">
        <v>0.33329999999999999</v>
      </c>
      <c r="D13" s="5">
        <v>0.81</v>
      </c>
      <c r="E13" s="5">
        <v>0.28360000000000002</v>
      </c>
      <c r="F13" s="5">
        <v>26</v>
      </c>
      <c r="G13" s="5">
        <v>30</v>
      </c>
      <c r="H13" s="5">
        <v>56</v>
      </c>
    </row>
    <row r="14" spans="1:8" x14ac:dyDescent="0.3">
      <c r="A14" s="5">
        <v>12</v>
      </c>
      <c r="B14" s="5">
        <v>13</v>
      </c>
      <c r="C14" s="5">
        <v>0.42420000000000002</v>
      </c>
      <c r="D14" s="5">
        <v>0.77</v>
      </c>
      <c r="E14" s="5">
        <v>0.28360000000000002</v>
      </c>
      <c r="F14" s="5">
        <v>29</v>
      </c>
      <c r="G14" s="5">
        <v>55</v>
      </c>
      <c r="H14" s="5">
        <v>84</v>
      </c>
    </row>
    <row r="15" spans="1:8" x14ac:dyDescent="0.3">
      <c r="A15" s="5">
        <v>13</v>
      </c>
      <c r="B15" s="5">
        <v>14</v>
      </c>
      <c r="C15" s="5">
        <v>0.45450000000000002</v>
      </c>
      <c r="D15" s="5">
        <v>0.72</v>
      </c>
      <c r="E15" s="5">
        <v>0.29849999999999999</v>
      </c>
      <c r="F15" s="5">
        <v>47</v>
      </c>
      <c r="G15" s="5">
        <v>47</v>
      </c>
      <c r="H15" s="5">
        <v>94</v>
      </c>
    </row>
    <row r="16" spans="1:8" x14ac:dyDescent="0.3">
      <c r="A16" s="5">
        <v>14</v>
      </c>
      <c r="B16" s="5">
        <v>15</v>
      </c>
      <c r="C16" s="5">
        <v>0.45450000000000002</v>
      </c>
      <c r="D16" s="5">
        <v>0.72</v>
      </c>
      <c r="E16" s="5">
        <v>0.28360000000000002</v>
      </c>
      <c r="F16" s="5">
        <v>35</v>
      </c>
      <c r="G16" s="5">
        <v>71</v>
      </c>
      <c r="H16" s="5">
        <v>106</v>
      </c>
    </row>
    <row r="17" spans="1:8" x14ac:dyDescent="0.3">
      <c r="A17" s="5">
        <v>15</v>
      </c>
      <c r="B17" s="5">
        <v>16</v>
      </c>
      <c r="C17" s="5">
        <v>0.43940000000000001</v>
      </c>
      <c r="D17" s="5">
        <v>0.77</v>
      </c>
      <c r="E17" s="5">
        <v>0.29849999999999999</v>
      </c>
      <c r="F17" s="5">
        <v>40</v>
      </c>
      <c r="G17" s="5">
        <v>70</v>
      </c>
      <c r="H17" s="5">
        <v>110</v>
      </c>
    </row>
    <row r="18" spans="1:8" x14ac:dyDescent="0.3">
      <c r="A18" s="5">
        <v>16</v>
      </c>
      <c r="B18" s="5">
        <v>17</v>
      </c>
      <c r="C18" s="5">
        <v>0.42420000000000002</v>
      </c>
      <c r="D18" s="5">
        <v>0.82</v>
      </c>
      <c r="E18" s="5">
        <v>0.29849999999999999</v>
      </c>
      <c r="F18" s="5">
        <v>41</v>
      </c>
      <c r="G18" s="5">
        <v>52</v>
      </c>
      <c r="H18" s="5">
        <v>93</v>
      </c>
    </row>
    <row r="19" spans="1:8" x14ac:dyDescent="0.3">
      <c r="A19" s="5">
        <v>17</v>
      </c>
      <c r="B19" s="5">
        <v>18</v>
      </c>
      <c r="C19" s="5">
        <f ca="1">SUBTOTAL(101,Table2[atemp])</f>
        <v>0.19993489148580987</v>
      </c>
      <c r="D19" s="5">
        <v>0.82</v>
      </c>
      <c r="E19" s="5">
        <v>0.28360000000000002</v>
      </c>
      <c r="F19" s="5">
        <v>15</v>
      </c>
      <c r="G19" s="5">
        <v>52</v>
      </c>
      <c r="H19" s="5">
        <v>67</v>
      </c>
    </row>
    <row r="20" spans="1:8" x14ac:dyDescent="0.3">
      <c r="A20" s="5">
        <v>18</v>
      </c>
      <c r="B20" s="5">
        <v>19</v>
      </c>
      <c r="C20" s="5">
        <v>0.42420000000000002</v>
      </c>
      <c r="D20" s="5">
        <v>0.88</v>
      </c>
      <c r="E20" s="5">
        <v>0.25369999999999998</v>
      </c>
      <c r="F20" s="5">
        <v>9</v>
      </c>
      <c r="G20" s="5">
        <v>26</v>
      </c>
      <c r="H20" s="5">
        <v>35</v>
      </c>
    </row>
    <row r="21" spans="1:8" x14ac:dyDescent="0.3">
      <c r="A21" s="5">
        <v>19</v>
      </c>
      <c r="B21" s="5">
        <v>20</v>
      </c>
      <c r="C21" s="5">
        <v>0.42420000000000002</v>
      </c>
      <c r="D21" s="5">
        <v>0.88</v>
      </c>
      <c r="E21" s="5">
        <v>0.25369999999999998</v>
      </c>
      <c r="F21" s="5">
        <v>6</v>
      </c>
      <c r="G21" s="5">
        <v>31</v>
      </c>
      <c r="H21" s="5">
        <v>37</v>
      </c>
    </row>
    <row r="22" spans="1:8" x14ac:dyDescent="0.3">
      <c r="A22" s="5">
        <v>20</v>
      </c>
      <c r="B22" s="5">
        <v>21</v>
      </c>
      <c r="C22" s="5">
        <v>0.40910000000000002</v>
      </c>
      <c r="D22" s="5">
        <v>0.87</v>
      </c>
      <c r="E22" s="5">
        <v>0.25369999999999998</v>
      </c>
      <c r="F22" s="5">
        <v>11</v>
      </c>
      <c r="G22" s="5">
        <v>25</v>
      </c>
      <c r="H22" s="5">
        <v>36</v>
      </c>
    </row>
    <row r="23" spans="1:8" x14ac:dyDescent="0.3">
      <c r="A23" s="5">
        <v>21</v>
      </c>
      <c r="B23" s="5">
        <v>22</v>
      </c>
      <c r="C23" s="5">
        <v>0.40910000000000002</v>
      </c>
      <c r="D23" s="5">
        <v>0.87</v>
      </c>
      <c r="E23" s="5">
        <v>0.19400000000000001</v>
      </c>
      <c r="F23" s="5">
        <v>3</v>
      </c>
      <c r="G23" s="5">
        <v>31</v>
      </c>
      <c r="H23" s="5">
        <v>34</v>
      </c>
    </row>
    <row r="24" spans="1:8" x14ac:dyDescent="0.3">
      <c r="A24" s="5">
        <v>22</v>
      </c>
      <c r="B24" s="5">
        <v>23</v>
      </c>
      <c r="C24" s="5">
        <v>0.40910000000000002</v>
      </c>
      <c r="D24" s="5">
        <v>0.94</v>
      </c>
      <c r="E24" s="5">
        <v>0.22389999999999999</v>
      </c>
      <c r="F24" s="5">
        <v>11</v>
      </c>
      <c r="G24" s="5">
        <v>17</v>
      </c>
      <c r="H24" s="5">
        <v>28</v>
      </c>
    </row>
    <row r="25" spans="1:8" x14ac:dyDescent="0.3">
      <c r="A25" s="5">
        <v>23</v>
      </c>
      <c r="B25" s="5">
        <v>24</v>
      </c>
      <c r="C25" s="5">
        <f ca="1">SUBTOTAL(101,Table2[atemp])</f>
        <v>0.19993489148580987</v>
      </c>
      <c r="D25" s="5">
        <v>0.88</v>
      </c>
      <c r="E25" s="5">
        <v>0.29849999999999999</v>
      </c>
      <c r="F25" s="5">
        <v>15</v>
      </c>
      <c r="G25" s="5">
        <v>24</v>
      </c>
      <c r="H25" s="5">
        <v>39</v>
      </c>
    </row>
    <row r="26" spans="1:8" x14ac:dyDescent="0.3">
      <c r="A26" s="5">
        <v>24</v>
      </c>
      <c r="B26" s="5">
        <v>25</v>
      </c>
      <c r="C26" s="5">
        <v>0.45450000000000002</v>
      </c>
      <c r="D26" s="5">
        <v>0.88</v>
      </c>
      <c r="E26" s="5">
        <v>0.29849999999999999</v>
      </c>
      <c r="F26" s="5">
        <v>4</v>
      </c>
      <c r="G26" s="5">
        <v>13</v>
      </c>
      <c r="H26" s="5">
        <v>17</v>
      </c>
    </row>
    <row r="27" spans="1:8" x14ac:dyDescent="0.3">
      <c r="A27" s="5">
        <v>25</v>
      </c>
      <c r="B27" s="5">
        <v>26</v>
      </c>
      <c r="C27" s="5">
        <v>0.43940000000000001</v>
      </c>
      <c r="D27" s="5">
        <v>0.94</v>
      </c>
      <c r="E27" s="5">
        <v>0.25369999999999998</v>
      </c>
      <c r="F27" s="5">
        <v>1</v>
      </c>
      <c r="G27" s="5">
        <v>16</v>
      </c>
      <c r="H27" s="5">
        <v>17</v>
      </c>
    </row>
    <row r="28" spans="1:8" x14ac:dyDescent="0.3">
      <c r="A28" s="5">
        <v>26</v>
      </c>
      <c r="B28" s="5">
        <v>27</v>
      </c>
      <c r="C28" s="5">
        <v>0.42420000000000002</v>
      </c>
      <c r="D28" s="5">
        <v>1</v>
      </c>
      <c r="E28" s="5">
        <v>0.28360000000000002</v>
      </c>
      <c r="F28" s="5">
        <v>1</v>
      </c>
      <c r="G28" s="5">
        <v>8</v>
      </c>
      <c r="H28" s="5">
        <v>9</v>
      </c>
    </row>
    <row r="29" spans="1:8" x14ac:dyDescent="0.3">
      <c r="A29" s="5">
        <v>27</v>
      </c>
      <c r="B29" s="5">
        <v>28</v>
      </c>
      <c r="C29" s="5">
        <v>0.45450000000000002</v>
      </c>
      <c r="D29" s="5">
        <v>0.94</v>
      </c>
      <c r="E29" s="5">
        <v>0.19400000000000001</v>
      </c>
      <c r="F29" s="5">
        <v>2</v>
      </c>
      <c r="G29" s="5">
        <v>4</v>
      </c>
      <c r="H29" s="5">
        <v>6</v>
      </c>
    </row>
    <row r="30" spans="1:8" x14ac:dyDescent="0.3">
      <c r="A30" s="5">
        <v>28</v>
      </c>
      <c r="B30" s="5">
        <v>29</v>
      </c>
      <c r="C30" s="5">
        <f ca="1">SUBTOTAL(101,Table2[atemp])</f>
        <v>0.19993489148580987</v>
      </c>
      <c r="D30" s="5">
        <v>0.94</v>
      </c>
      <c r="E30" s="5">
        <v>0.19400000000000001</v>
      </c>
      <c r="F30" s="5">
        <v>2</v>
      </c>
      <c r="G30" s="5">
        <v>1</v>
      </c>
      <c r="H30" s="5">
        <v>3</v>
      </c>
    </row>
    <row r="31" spans="1:8" x14ac:dyDescent="0.3">
      <c r="A31" s="5">
        <v>29</v>
      </c>
      <c r="B31" s="5">
        <v>30</v>
      </c>
      <c r="C31" s="5">
        <v>0.42420000000000002</v>
      </c>
      <c r="D31" s="5">
        <v>0.77</v>
      </c>
      <c r="E31" s="5">
        <v>0.29849999999999999</v>
      </c>
      <c r="F31" s="5">
        <v>0</v>
      </c>
      <c r="G31" s="5">
        <v>2</v>
      </c>
      <c r="H31" s="5">
        <v>2</v>
      </c>
    </row>
    <row r="32" spans="1:8" x14ac:dyDescent="0.3">
      <c r="A32" s="5">
        <v>30</v>
      </c>
      <c r="B32" s="5">
        <v>31</v>
      </c>
      <c r="C32" s="5">
        <v>0.40910000000000002</v>
      </c>
      <c r="D32" s="5">
        <v>0.76</v>
      </c>
      <c r="E32" s="5">
        <v>0.19400000000000001</v>
      </c>
      <c r="F32" s="5">
        <v>0</v>
      </c>
      <c r="G32" s="5">
        <v>1</v>
      </c>
      <c r="H32" s="5">
        <v>1</v>
      </c>
    </row>
    <row r="33" spans="1:8" x14ac:dyDescent="0.3">
      <c r="A33" s="5">
        <v>31</v>
      </c>
      <c r="B33" s="5">
        <v>32</v>
      </c>
      <c r="C33" s="5">
        <v>0.40910000000000002</v>
      </c>
      <c r="D33" s="5">
        <v>0.71</v>
      </c>
      <c r="E33" s="5">
        <v>0.22389999999999999</v>
      </c>
      <c r="F33" s="5">
        <v>0</v>
      </c>
      <c r="G33" s="5">
        <v>8</v>
      </c>
      <c r="H33" s="5">
        <v>8</v>
      </c>
    </row>
    <row r="34" spans="1:8" x14ac:dyDescent="0.3">
      <c r="A34" s="5">
        <v>32</v>
      </c>
      <c r="B34" s="5">
        <v>33</v>
      </c>
      <c r="C34" s="5">
        <f ca="1">SUBTOTAL(101,Table2[atemp])</f>
        <v>0.19993489148580987</v>
      </c>
      <c r="D34" s="5">
        <v>0.76</v>
      </c>
      <c r="E34" s="5">
        <v>0.22389999999999999</v>
      </c>
      <c r="F34" s="5">
        <v>1</v>
      </c>
      <c r="G34" s="5">
        <v>19</v>
      </c>
      <c r="H34" s="5">
        <v>20</v>
      </c>
    </row>
    <row r="35" spans="1:8" x14ac:dyDescent="0.3">
      <c r="A35" s="5">
        <v>33</v>
      </c>
      <c r="B35" s="5">
        <v>34</v>
      </c>
      <c r="C35" s="5">
        <v>0.34849999999999998</v>
      </c>
      <c r="D35" s="5">
        <v>0.81</v>
      </c>
      <c r="E35" s="5">
        <v>0.22389999999999999</v>
      </c>
      <c r="F35" s="5">
        <v>7</v>
      </c>
      <c r="G35" s="5">
        <v>46</v>
      </c>
      <c r="H35" s="5">
        <v>53</v>
      </c>
    </row>
    <row r="36" spans="1:8" x14ac:dyDescent="0.3">
      <c r="A36" s="5">
        <v>34</v>
      </c>
      <c r="B36" s="5">
        <v>35</v>
      </c>
      <c r="C36" s="5">
        <v>0.33329999999999999</v>
      </c>
      <c r="D36" s="5">
        <v>0.71</v>
      </c>
      <c r="E36" s="5">
        <v>0.25369999999999998</v>
      </c>
      <c r="F36" s="5">
        <v>16</v>
      </c>
      <c r="G36" s="5">
        <v>54</v>
      </c>
      <c r="H36" s="5">
        <v>70</v>
      </c>
    </row>
    <row r="37" spans="1:8" x14ac:dyDescent="0.3">
      <c r="A37" s="5">
        <v>35</v>
      </c>
      <c r="B37" s="5">
        <v>36</v>
      </c>
      <c r="C37" s="5">
        <v>0.33329999999999999</v>
      </c>
      <c r="D37" s="5">
        <v>0.66</v>
      </c>
      <c r="E37" s="5">
        <v>0.29849999999999999</v>
      </c>
      <c r="F37" s="5">
        <v>20</v>
      </c>
      <c r="G37" s="5">
        <v>73</v>
      </c>
      <c r="H37" s="5">
        <v>93</v>
      </c>
    </row>
    <row r="38" spans="1:8" x14ac:dyDescent="0.3">
      <c r="A38" s="5">
        <v>36</v>
      </c>
      <c r="B38" s="5">
        <v>37</v>
      </c>
      <c r="C38" s="5">
        <v>0.34849999999999998</v>
      </c>
      <c r="D38" s="5">
        <v>0.66</v>
      </c>
      <c r="E38" s="5">
        <v>0.1343</v>
      </c>
      <c r="F38" s="5">
        <v>11</v>
      </c>
      <c r="G38" s="5">
        <v>64</v>
      </c>
      <c r="H38" s="5">
        <v>75</v>
      </c>
    </row>
    <row r="39" spans="1:8" x14ac:dyDescent="0.3">
      <c r="A39" s="5">
        <v>37</v>
      </c>
      <c r="B39" s="5">
        <v>38</v>
      </c>
      <c r="C39" s="5">
        <f ca="1">SUBTOTAL(101,Table2[atemp])</f>
        <v>0.19993489148580987</v>
      </c>
      <c r="D39" s="5">
        <v>0.76</v>
      </c>
      <c r="E39" s="5">
        <v>0.19400000000000001</v>
      </c>
      <c r="F39" s="5">
        <v>4</v>
      </c>
      <c r="G39" s="5">
        <v>55</v>
      </c>
      <c r="H39" s="5">
        <v>59</v>
      </c>
    </row>
    <row r="40" spans="1:8" x14ac:dyDescent="0.3">
      <c r="A40" s="5">
        <v>38</v>
      </c>
      <c r="B40" s="5">
        <v>39</v>
      </c>
      <c r="C40" s="5">
        <v>0.33329999999999999</v>
      </c>
      <c r="D40" s="5">
        <v>0.81</v>
      </c>
      <c r="E40" s="5">
        <v>0.16420000000000001</v>
      </c>
      <c r="F40" s="5">
        <v>19</v>
      </c>
      <c r="G40" s="5">
        <v>55</v>
      </c>
      <c r="H40" s="5">
        <v>74</v>
      </c>
    </row>
    <row r="41" spans="1:8" x14ac:dyDescent="0.3">
      <c r="A41" s="5">
        <v>39</v>
      </c>
      <c r="B41" s="5">
        <v>40</v>
      </c>
      <c r="C41" s="5">
        <v>0.33329999999999999</v>
      </c>
      <c r="D41" s="5">
        <v>0.71</v>
      </c>
      <c r="E41" s="5">
        <v>0.16420000000000001</v>
      </c>
      <c r="F41" s="5">
        <v>9</v>
      </c>
      <c r="G41" s="5">
        <v>67</v>
      </c>
      <c r="H41" s="5">
        <v>76</v>
      </c>
    </row>
    <row r="42" spans="1:8" x14ac:dyDescent="0.3">
      <c r="A42" s="5">
        <v>40</v>
      </c>
      <c r="B42" s="5">
        <v>41</v>
      </c>
      <c r="C42" s="5">
        <v>0.33329999999999999</v>
      </c>
      <c r="D42" s="5">
        <v>0.56999999999999995</v>
      </c>
      <c r="E42" s="5">
        <v>0.19400000000000001</v>
      </c>
      <c r="F42" s="5">
        <v>7</v>
      </c>
      <c r="G42" s="5">
        <v>58</v>
      </c>
      <c r="H42" s="5">
        <v>65</v>
      </c>
    </row>
    <row r="43" spans="1:8" x14ac:dyDescent="0.3">
      <c r="A43" s="5">
        <v>41</v>
      </c>
      <c r="B43" s="5">
        <v>42</v>
      </c>
      <c r="C43" s="5">
        <v>0.33329999999999999</v>
      </c>
      <c r="D43" s="5">
        <v>0.46</v>
      </c>
      <c r="E43" s="5">
        <v>0.32840000000000003</v>
      </c>
      <c r="F43" s="5">
        <v>10</v>
      </c>
      <c r="G43" s="5">
        <v>43</v>
      </c>
      <c r="H43" s="5">
        <v>53</v>
      </c>
    </row>
    <row r="44" spans="1:8" x14ac:dyDescent="0.3">
      <c r="A44" s="5">
        <v>42</v>
      </c>
      <c r="B44" s="5">
        <v>43</v>
      </c>
      <c r="C44" s="5">
        <v>0.28789999999999999</v>
      </c>
      <c r="D44" s="5">
        <v>0.42</v>
      </c>
      <c r="E44" s="5">
        <v>0.44779999999999998</v>
      </c>
      <c r="F44" s="5">
        <v>1</v>
      </c>
      <c r="G44" s="5">
        <v>29</v>
      </c>
      <c r="H44" s="5">
        <v>30</v>
      </c>
    </row>
    <row r="45" spans="1:8" x14ac:dyDescent="0.3">
      <c r="A45" s="5">
        <v>43</v>
      </c>
      <c r="B45" s="5">
        <v>44</v>
      </c>
      <c r="C45" s="5">
        <f ca="1">SUBTOTAL(101,Table2[atemp])</f>
        <v>0.19993489148580987</v>
      </c>
      <c r="D45" s="5">
        <v>0.39</v>
      </c>
      <c r="E45" s="5">
        <v>0.35820000000000002</v>
      </c>
      <c r="F45" s="5">
        <v>5</v>
      </c>
      <c r="G45" s="5">
        <v>17</v>
      </c>
      <c r="H45" s="5">
        <v>22</v>
      </c>
    </row>
    <row r="46" spans="1:8" x14ac:dyDescent="0.3">
      <c r="A46" s="5">
        <v>44</v>
      </c>
      <c r="B46" s="5">
        <v>45</v>
      </c>
      <c r="C46" s="5">
        <v>0.2273</v>
      </c>
      <c r="D46" s="5">
        <v>0.44</v>
      </c>
      <c r="E46" s="5">
        <v>0.32840000000000003</v>
      </c>
      <c r="F46" s="5">
        <v>11</v>
      </c>
      <c r="G46" s="5">
        <v>20</v>
      </c>
      <c r="H46" s="5">
        <v>31</v>
      </c>
    </row>
    <row r="47" spans="1:8" x14ac:dyDescent="0.3">
      <c r="A47" s="5">
        <v>45</v>
      </c>
      <c r="B47" s="5">
        <v>46</v>
      </c>
      <c r="C47" s="5">
        <v>0.21210000000000001</v>
      </c>
      <c r="D47" s="5">
        <v>0.44</v>
      </c>
      <c r="E47" s="5">
        <v>0.29849999999999999</v>
      </c>
      <c r="F47" s="5">
        <v>0</v>
      </c>
      <c r="G47" s="5">
        <v>9</v>
      </c>
      <c r="H47" s="5">
        <v>9</v>
      </c>
    </row>
    <row r="48" spans="1:8" x14ac:dyDescent="0.3">
      <c r="A48" s="5">
        <v>46</v>
      </c>
      <c r="B48" s="5">
        <v>47</v>
      </c>
      <c r="C48" s="5">
        <v>0.2273</v>
      </c>
      <c r="D48" s="5">
        <v>0.47</v>
      </c>
      <c r="E48" s="5">
        <v>0.16420000000000001</v>
      </c>
      <c r="F48" s="5">
        <v>0</v>
      </c>
      <c r="G48" s="5">
        <v>8</v>
      </c>
      <c r="H48" s="5">
        <v>8</v>
      </c>
    </row>
    <row r="49" spans="1:8" x14ac:dyDescent="0.3">
      <c r="A49" s="5">
        <v>47</v>
      </c>
      <c r="B49" s="5">
        <v>48</v>
      </c>
      <c r="C49" s="5">
        <v>0.19700000000000001</v>
      </c>
      <c r="D49" s="5">
        <v>0.44</v>
      </c>
      <c r="E49" s="5">
        <v>0.35820000000000002</v>
      </c>
      <c r="F49" s="5">
        <v>0</v>
      </c>
      <c r="G49" s="5">
        <v>5</v>
      </c>
      <c r="H49" s="5">
        <v>5</v>
      </c>
    </row>
    <row r="50" spans="1:8" x14ac:dyDescent="0.3">
      <c r="A50" s="5">
        <v>48</v>
      </c>
      <c r="B50" s="5">
        <v>49</v>
      </c>
      <c r="C50" s="5">
        <f ca="1">SUBTOTAL(101,Table2[atemp])</f>
        <v>0.19993489148580987</v>
      </c>
      <c r="D50" s="5">
        <v>0.44</v>
      </c>
      <c r="E50" s="5">
        <v>0.41789999999999999</v>
      </c>
      <c r="F50" s="5">
        <v>0</v>
      </c>
      <c r="G50" s="5">
        <v>2</v>
      </c>
      <c r="H50" s="5">
        <v>2</v>
      </c>
    </row>
    <row r="51" spans="1:8" x14ac:dyDescent="0.3">
      <c r="A51" s="5">
        <v>49</v>
      </c>
      <c r="B51" s="5">
        <v>50</v>
      </c>
      <c r="C51" s="5">
        <v>0.13639999999999999</v>
      </c>
      <c r="D51" s="5">
        <v>0.47</v>
      </c>
      <c r="E51" s="5">
        <v>0.3881</v>
      </c>
      <c r="F51" s="5">
        <v>0</v>
      </c>
      <c r="G51" s="5">
        <v>1</v>
      </c>
      <c r="H51" s="5">
        <v>1</v>
      </c>
    </row>
    <row r="52" spans="1:8" x14ac:dyDescent="0.3">
      <c r="A52" s="5">
        <v>50</v>
      </c>
      <c r="B52" s="5">
        <v>51</v>
      </c>
      <c r="C52" s="5">
        <v>0.13639999999999999</v>
      </c>
      <c r="D52" s="5">
        <v>0.47</v>
      </c>
      <c r="E52" s="5">
        <v>0.28360000000000002</v>
      </c>
      <c r="F52" s="5">
        <v>0</v>
      </c>
      <c r="G52" s="5">
        <v>3</v>
      </c>
      <c r="H52" s="5">
        <v>3</v>
      </c>
    </row>
    <row r="53" spans="1:8" x14ac:dyDescent="0.3">
      <c r="A53" s="5">
        <v>51</v>
      </c>
      <c r="B53" s="5">
        <v>52</v>
      </c>
      <c r="C53" s="5">
        <v>0.1061</v>
      </c>
      <c r="D53" s="5">
        <v>0.5</v>
      </c>
      <c r="E53" s="5">
        <v>0.3881</v>
      </c>
      <c r="F53" s="5">
        <v>0</v>
      </c>
      <c r="G53" s="5">
        <v>30</v>
      </c>
      <c r="H53" s="5">
        <v>30</v>
      </c>
    </row>
    <row r="54" spans="1:8" x14ac:dyDescent="0.3">
      <c r="A54" s="5">
        <v>52</v>
      </c>
      <c r="B54" s="5">
        <v>53</v>
      </c>
      <c r="C54" s="5">
        <v>0.13639999999999999</v>
      </c>
      <c r="D54" s="5">
        <v>0.5</v>
      </c>
      <c r="E54" s="5">
        <v>0.19400000000000001</v>
      </c>
      <c r="F54" s="5">
        <v>1</v>
      </c>
      <c r="G54" s="5">
        <v>63</v>
      </c>
      <c r="H54" s="5">
        <v>64</v>
      </c>
    </row>
    <row r="55" spans="1:8" x14ac:dyDescent="0.3">
      <c r="A55" s="5">
        <v>53</v>
      </c>
      <c r="B55" s="5">
        <v>54</v>
      </c>
      <c r="C55" s="5">
        <v>0.1212</v>
      </c>
      <c r="D55" s="5">
        <v>0.5</v>
      </c>
      <c r="E55" s="5">
        <v>0.28360000000000002</v>
      </c>
      <c r="F55" s="5">
        <v>1</v>
      </c>
      <c r="G55" s="5">
        <v>153</v>
      </c>
      <c r="H55" s="5">
        <v>154</v>
      </c>
    </row>
    <row r="56" spans="1:8" x14ac:dyDescent="0.3">
      <c r="A56" s="5">
        <v>54</v>
      </c>
      <c r="B56" s="5">
        <v>55</v>
      </c>
      <c r="C56" s="5">
        <v>0.13639999999999999</v>
      </c>
      <c r="D56" s="5">
        <v>0.43</v>
      </c>
      <c r="E56" s="5">
        <v>0.3881</v>
      </c>
      <c r="F56" s="5">
        <v>7</v>
      </c>
      <c r="G56" s="5">
        <v>81</v>
      </c>
      <c r="H56" s="5">
        <v>88</v>
      </c>
    </row>
    <row r="57" spans="1:8" x14ac:dyDescent="0.3">
      <c r="A57" s="5">
        <v>55</v>
      </c>
      <c r="B57" s="5">
        <v>56</v>
      </c>
      <c r="C57" s="5">
        <v>0.16669999999999999</v>
      </c>
      <c r="D57" s="5">
        <v>0.43</v>
      </c>
      <c r="E57" s="5">
        <v>0.25369999999999998</v>
      </c>
      <c r="F57" s="5">
        <v>11</v>
      </c>
      <c r="G57" s="5">
        <v>33</v>
      </c>
      <c r="H57" s="5">
        <v>44</v>
      </c>
    </row>
    <row r="58" spans="1:8" x14ac:dyDescent="0.3">
      <c r="A58" s="5">
        <v>56</v>
      </c>
      <c r="B58" s="5">
        <v>57</v>
      </c>
      <c r="C58" s="5">
        <v>0.18179999999999999</v>
      </c>
      <c r="D58" s="5">
        <v>0.4</v>
      </c>
      <c r="E58" s="5">
        <v>0.32840000000000003</v>
      </c>
      <c r="F58" s="5">
        <v>10</v>
      </c>
      <c r="G58" s="5">
        <v>41</v>
      </c>
      <c r="H58" s="5">
        <v>51</v>
      </c>
    </row>
    <row r="59" spans="1:8" x14ac:dyDescent="0.3">
      <c r="A59" s="5">
        <v>57</v>
      </c>
      <c r="B59" s="5">
        <v>58</v>
      </c>
      <c r="C59" s="5">
        <v>0.21210000000000001</v>
      </c>
      <c r="D59" s="5">
        <v>0.35</v>
      </c>
      <c r="E59" s="5">
        <v>0.29849999999999999</v>
      </c>
      <c r="F59" s="5">
        <v>13</v>
      </c>
      <c r="G59" s="5">
        <v>48</v>
      </c>
      <c r="H59" s="5">
        <v>61</v>
      </c>
    </row>
    <row r="60" spans="1:8" x14ac:dyDescent="0.3">
      <c r="A60" s="5">
        <v>58</v>
      </c>
      <c r="B60" s="5">
        <v>59</v>
      </c>
      <c r="C60" s="5">
        <f ca="1">SUBTOTAL(101,Table2[atemp])</f>
        <v>0.19993489148580987</v>
      </c>
      <c r="D60" s="5">
        <v>0.35</v>
      </c>
      <c r="E60" s="5">
        <v>0.28360000000000002</v>
      </c>
      <c r="F60" s="5">
        <v>8</v>
      </c>
      <c r="G60" s="5">
        <v>53</v>
      </c>
      <c r="H60" s="5">
        <v>61</v>
      </c>
    </row>
    <row r="61" spans="1:8" x14ac:dyDescent="0.3">
      <c r="A61" s="5">
        <v>59</v>
      </c>
      <c r="B61" s="5">
        <v>60</v>
      </c>
      <c r="C61" s="5">
        <v>0.2424</v>
      </c>
      <c r="D61" s="5">
        <v>0.3</v>
      </c>
      <c r="E61" s="5">
        <v>0.28360000000000002</v>
      </c>
      <c r="F61" s="5">
        <v>11</v>
      </c>
      <c r="G61" s="5">
        <v>66</v>
      </c>
      <c r="H61" s="5">
        <v>77</v>
      </c>
    </row>
    <row r="62" spans="1:8" x14ac:dyDescent="0.3">
      <c r="A62" s="5">
        <v>60</v>
      </c>
      <c r="B62" s="5">
        <v>61</v>
      </c>
      <c r="C62" s="5">
        <v>0.2424</v>
      </c>
      <c r="D62" s="5">
        <v>0.3</v>
      </c>
      <c r="E62" s="5">
        <v>0.25369999999999998</v>
      </c>
      <c r="F62" s="5">
        <v>14</v>
      </c>
      <c r="G62" s="5">
        <v>58</v>
      </c>
      <c r="H62" s="5">
        <v>72</v>
      </c>
    </row>
    <row r="63" spans="1:8" x14ac:dyDescent="0.3">
      <c r="A63" s="5">
        <v>61</v>
      </c>
      <c r="B63" s="5">
        <v>62</v>
      </c>
      <c r="C63" s="5">
        <v>0.2424</v>
      </c>
      <c r="D63" s="5">
        <v>0.3</v>
      </c>
      <c r="E63" s="5">
        <v>0.25369999999999998</v>
      </c>
      <c r="F63" s="5">
        <v>9</v>
      </c>
      <c r="G63" s="5">
        <v>67</v>
      </c>
      <c r="H63" s="5">
        <v>76</v>
      </c>
    </row>
    <row r="64" spans="1:8" x14ac:dyDescent="0.3">
      <c r="A64" s="5">
        <v>62</v>
      </c>
      <c r="B64" s="5">
        <v>63</v>
      </c>
      <c r="C64" s="5">
        <v>0.2273</v>
      </c>
      <c r="D64" s="5">
        <v>0.3</v>
      </c>
      <c r="E64" s="5">
        <v>0.22389999999999999</v>
      </c>
      <c r="F64" s="5">
        <v>11</v>
      </c>
      <c r="G64" s="5">
        <v>146</v>
      </c>
      <c r="H64" s="5">
        <v>157</v>
      </c>
    </row>
    <row r="65" spans="1:8" x14ac:dyDescent="0.3">
      <c r="A65" s="5">
        <v>63</v>
      </c>
      <c r="B65" s="5">
        <v>64</v>
      </c>
      <c r="C65" s="5">
        <v>0.2576</v>
      </c>
      <c r="D65" s="5">
        <v>0.32</v>
      </c>
      <c r="E65" s="5">
        <v>0.1045</v>
      </c>
      <c r="F65" s="5">
        <v>9</v>
      </c>
      <c r="G65" s="5">
        <v>148</v>
      </c>
      <c r="H65" s="5">
        <v>157</v>
      </c>
    </row>
    <row r="66" spans="1:8" x14ac:dyDescent="0.3">
      <c r="A66" s="5">
        <v>64</v>
      </c>
      <c r="B66" s="5">
        <v>65</v>
      </c>
      <c r="C66" s="5">
        <v>0.2576</v>
      </c>
      <c r="D66" s="5">
        <v>0.47</v>
      </c>
      <c r="E66" s="5">
        <v>0</v>
      </c>
      <c r="F66" s="5">
        <v>8</v>
      </c>
      <c r="G66" s="5">
        <v>102</v>
      </c>
      <c r="H66" s="5">
        <v>110</v>
      </c>
    </row>
    <row r="67" spans="1:8" x14ac:dyDescent="0.3">
      <c r="A67" s="5">
        <v>65</v>
      </c>
      <c r="B67" s="5">
        <v>66</v>
      </c>
      <c r="C67" s="5">
        <f ca="1">SUBTOTAL(101,Table2[atemp])</f>
        <v>0.19993489148580987</v>
      </c>
      <c r="D67" s="5">
        <v>0.47</v>
      </c>
      <c r="E67" s="5">
        <v>0.1045</v>
      </c>
      <c r="F67" s="5">
        <v>3</v>
      </c>
      <c r="G67" s="5">
        <v>49</v>
      </c>
      <c r="H67" s="5">
        <v>52</v>
      </c>
    </row>
    <row r="68" spans="1:8" x14ac:dyDescent="0.3">
      <c r="A68" s="5">
        <v>66</v>
      </c>
      <c r="B68" s="5">
        <v>67</v>
      </c>
      <c r="C68" s="5">
        <v>0.19700000000000001</v>
      </c>
      <c r="D68" s="5">
        <v>0.64</v>
      </c>
      <c r="E68" s="5">
        <v>0.1343</v>
      </c>
      <c r="F68" s="5">
        <v>3</v>
      </c>
      <c r="G68" s="5">
        <v>49</v>
      </c>
      <c r="H68" s="5">
        <v>52</v>
      </c>
    </row>
    <row r="69" spans="1:8" x14ac:dyDescent="0.3">
      <c r="A69" s="5">
        <v>67</v>
      </c>
      <c r="B69" s="5">
        <v>68</v>
      </c>
      <c r="C69" s="5">
        <v>0.1515</v>
      </c>
      <c r="D69" s="5">
        <v>0.69</v>
      </c>
      <c r="E69" s="5">
        <v>0.1343</v>
      </c>
      <c r="F69" s="5">
        <v>0</v>
      </c>
      <c r="G69" s="5">
        <v>20</v>
      </c>
      <c r="H69" s="5">
        <v>20</v>
      </c>
    </row>
    <row r="70" spans="1:8" x14ac:dyDescent="0.3">
      <c r="A70" s="5">
        <v>68</v>
      </c>
      <c r="B70" s="5">
        <v>69</v>
      </c>
      <c r="C70" s="5">
        <v>0.21210000000000001</v>
      </c>
      <c r="D70" s="5">
        <v>0.55000000000000004</v>
      </c>
      <c r="E70" s="5">
        <v>0.1045</v>
      </c>
      <c r="F70" s="5">
        <v>1</v>
      </c>
      <c r="G70" s="5">
        <v>11</v>
      </c>
      <c r="H70" s="5">
        <v>12</v>
      </c>
    </row>
    <row r="71" spans="1:8" x14ac:dyDescent="0.3">
      <c r="A71" s="5">
        <v>69</v>
      </c>
      <c r="B71" s="5">
        <v>70</v>
      </c>
      <c r="C71" s="5">
        <f ca="1">SUBTOTAL(101,Table2[atemp])</f>
        <v>0.19993489148580987</v>
      </c>
      <c r="D71" s="5">
        <v>0.55000000000000004</v>
      </c>
      <c r="E71" s="5">
        <v>0.1045</v>
      </c>
      <c r="F71" s="5">
        <v>0</v>
      </c>
      <c r="G71" s="5">
        <v>5</v>
      </c>
      <c r="H71" s="5">
        <v>5</v>
      </c>
    </row>
    <row r="72" spans="1:8" x14ac:dyDescent="0.3">
      <c r="A72" s="5">
        <v>70</v>
      </c>
      <c r="B72" s="5">
        <v>71</v>
      </c>
      <c r="C72" s="5">
        <v>0.18179999999999999</v>
      </c>
      <c r="D72" s="5">
        <v>0.59</v>
      </c>
      <c r="E72" s="5">
        <v>0.1045</v>
      </c>
      <c r="F72" s="5">
        <v>0</v>
      </c>
      <c r="G72" s="5">
        <v>2</v>
      </c>
      <c r="H72" s="5">
        <v>2</v>
      </c>
    </row>
    <row r="73" spans="1:8" x14ac:dyDescent="0.3">
      <c r="A73" s="5">
        <v>71</v>
      </c>
      <c r="B73" s="5">
        <v>72</v>
      </c>
      <c r="C73" s="5">
        <v>0.1515</v>
      </c>
      <c r="D73" s="5">
        <v>0.63</v>
      </c>
      <c r="E73" s="5">
        <v>0.1343</v>
      </c>
      <c r="F73" s="5">
        <v>0</v>
      </c>
      <c r="G73" s="5">
        <v>1</v>
      </c>
      <c r="H73" s="5">
        <v>1</v>
      </c>
    </row>
    <row r="74" spans="1:8" x14ac:dyDescent="0.3">
      <c r="A74" s="5">
        <v>72</v>
      </c>
      <c r="B74" s="5">
        <v>73</v>
      </c>
      <c r="C74" s="5">
        <v>0.18179999999999999</v>
      </c>
      <c r="D74" s="5">
        <v>0.63</v>
      </c>
      <c r="E74" s="5">
        <v>8.9599999999999999E-2</v>
      </c>
      <c r="F74" s="5">
        <v>0</v>
      </c>
      <c r="G74" s="5">
        <v>2</v>
      </c>
      <c r="H74" s="5">
        <v>2</v>
      </c>
    </row>
    <row r="75" spans="1:8" x14ac:dyDescent="0.3">
      <c r="A75" s="5">
        <v>73</v>
      </c>
      <c r="B75" s="5">
        <v>74</v>
      </c>
      <c r="C75" s="5">
        <v>0.1515</v>
      </c>
      <c r="D75" s="5">
        <v>0.68</v>
      </c>
      <c r="E75" s="5">
        <v>0.1045</v>
      </c>
      <c r="F75" s="5">
        <v>0</v>
      </c>
      <c r="G75" s="5">
        <v>4</v>
      </c>
      <c r="H75" s="5">
        <v>4</v>
      </c>
    </row>
    <row r="76" spans="1:8" x14ac:dyDescent="0.3">
      <c r="A76" s="5">
        <v>74</v>
      </c>
      <c r="B76" s="5">
        <v>75</v>
      </c>
      <c r="C76" s="5">
        <v>0.1515</v>
      </c>
      <c r="D76" s="5">
        <v>0.74</v>
      </c>
      <c r="E76" s="5">
        <v>0.1045</v>
      </c>
      <c r="F76" s="5">
        <v>0</v>
      </c>
      <c r="G76" s="5">
        <v>36</v>
      </c>
      <c r="H76" s="5">
        <v>36</v>
      </c>
    </row>
    <row r="77" spans="1:8" x14ac:dyDescent="0.3">
      <c r="A77" s="5">
        <v>75</v>
      </c>
      <c r="B77" s="5">
        <v>76</v>
      </c>
      <c r="C77" s="5">
        <v>0.1515</v>
      </c>
      <c r="D77" s="5">
        <v>0.74</v>
      </c>
      <c r="E77" s="5">
        <v>0.1343</v>
      </c>
      <c r="F77" s="5">
        <v>2</v>
      </c>
      <c r="G77" s="5">
        <v>92</v>
      </c>
      <c r="H77" s="5">
        <v>94</v>
      </c>
    </row>
    <row r="78" spans="1:8" x14ac:dyDescent="0.3">
      <c r="A78" s="5">
        <v>76</v>
      </c>
      <c r="B78" s="5">
        <v>77</v>
      </c>
      <c r="C78" s="5">
        <v>0.1515</v>
      </c>
      <c r="D78" s="5">
        <v>0.69</v>
      </c>
      <c r="E78" s="5">
        <v>0.16420000000000001</v>
      </c>
      <c r="F78" s="5">
        <v>2</v>
      </c>
      <c r="G78" s="5">
        <v>177</v>
      </c>
      <c r="H78" s="5">
        <v>179</v>
      </c>
    </row>
    <row r="79" spans="1:8" x14ac:dyDescent="0.3">
      <c r="A79" s="5">
        <v>77</v>
      </c>
      <c r="B79" s="5">
        <v>78</v>
      </c>
      <c r="C79" s="5">
        <v>0.1515</v>
      </c>
      <c r="D79" s="5">
        <v>0.64</v>
      </c>
      <c r="E79" s="5">
        <v>0.22389999999999999</v>
      </c>
      <c r="F79" s="5">
        <v>2</v>
      </c>
      <c r="G79" s="5">
        <v>98</v>
      </c>
      <c r="H79" s="5">
        <v>100</v>
      </c>
    </row>
    <row r="80" spans="1:8" x14ac:dyDescent="0.3">
      <c r="A80" s="5">
        <v>78</v>
      </c>
      <c r="B80" s="5">
        <v>79</v>
      </c>
      <c r="C80" s="5">
        <v>0.13639999999999999</v>
      </c>
      <c r="D80" s="5">
        <v>0.69</v>
      </c>
      <c r="E80" s="5">
        <v>0.32840000000000003</v>
      </c>
      <c r="F80" s="5">
        <v>5</v>
      </c>
      <c r="G80" s="5">
        <v>37</v>
      </c>
      <c r="H80" s="5">
        <v>42</v>
      </c>
    </row>
    <row r="81" spans="1:8" x14ac:dyDescent="0.3">
      <c r="A81" s="5">
        <v>79</v>
      </c>
      <c r="B81" s="5">
        <v>80</v>
      </c>
      <c r="C81" s="5">
        <v>0.21210000000000001</v>
      </c>
      <c r="D81" s="5">
        <v>0.51</v>
      </c>
      <c r="E81" s="5">
        <v>0.29849999999999999</v>
      </c>
      <c r="F81" s="5">
        <v>7</v>
      </c>
      <c r="G81" s="5">
        <v>50</v>
      </c>
      <c r="H81" s="5">
        <v>57</v>
      </c>
    </row>
    <row r="82" spans="1:8" x14ac:dyDescent="0.3">
      <c r="A82" s="5">
        <v>80</v>
      </c>
      <c r="B82" s="5">
        <v>81</v>
      </c>
      <c r="C82" s="5">
        <v>0.2273</v>
      </c>
      <c r="D82" s="5">
        <v>0.51</v>
      </c>
      <c r="E82" s="5">
        <v>0.16420000000000001</v>
      </c>
      <c r="F82" s="5">
        <v>12</v>
      </c>
      <c r="G82" s="5">
        <v>66</v>
      </c>
      <c r="H82" s="5">
        <v>78</v>
      </c>
    </row>
    <row r="83" spans="1:8" x14ac:dyDescent="0.3">
      <c r="A83" s="5">
        <v>81</v>
      </c>
      <c r="B83" s="5">
        <v>82</v>
      </c>
      <c r="C83" s="5">
        <v>0.2273</v>
      </c>
      <c r="D83" s="5">
        <v>0.56000000000000005</v>
      </c>
      <c r="E83" s="5">
        <v>0.19400000000000001</v>
      </c>
      <c r="F83" s="5">
        <v>18</v>
      </c>
      <c r="G83" s="5">
        <v>79</v>
      </c>
      <c r="H83" s="5">
        <v>97</v>
      </c>
    </row>
    <row r="84" spans="1:8" x14ac:dyDescent="0.3">
      <c r="A84" s="5">
        <v>82</v>
      </c>
      <c r="B84" s="5">
        <v>83</v>
      </c>
      <c r="C84" s="5">
        <v>0.2576</v>
      </c>
      <c r="D84" s="5">
        <v>0.52</v>
      </c>
      <c r="E84" s="5">
        <v>0.22389999999999999</v>
      </c>
      <c r="F84" s="5">
        <v>9</v>
      </c>
      <c r="G84" s="5">
        <v>54</v>
      </c>
      <c r="H84" s="5">
        <v>63</v>
      </c>
    </row>
    <row r="85" spans="1:8" x14ac:dyDescent="0.3">
      <c r="A85" s="5">
        <v>83</v>
      </c>
      <c r="B85" s="5">
        <v>84</v>
      </c>
      <c r="C85" s="5">
        <v>0.2727</v>
      </c>
      <c r="D85" s="5">
        <v>0.52</v>
      </c>
      <c r="E85" s="5">
        <v>0.25369999999999998</v>
      </c>
      <c r="F85" s="5">
        <v>17</v>
      </c>
      <c r="G85" s="5">
        <v>48</v>
      </c>
      <c r="H85" s="5">
        <v>65</v>
      </c>
    </row>
    <row r="86" spans="1:8" x14ac:dyDescent="0.3">
      <c r="A86" s="5">
        <v>84</v>
      </c>
      <c r="B86" s="5">
        <v>85</v>
      </c>
      <c r="C86" s="5">
        <v>0.28789999999999999</v>
      </c>
      <c r="D86" s="5">
        <v>0.49</v>
      </c>
      <c r="E86" s="5">
        <v>0.25369999999999998</v>
      </c>
      <c r="F86" s="5">
        <v>15</v>
      </c>
      <c r="G86" s="5">
        <v>68</v>
      </c>
      <c r="H86" s="5">
        <v>83</v>
      </c>
    </row>
    <row r="87" spans="1:8" x14ac:dyDescent="0.3">
      <c r="A87" s="5">
        <v>85</v>
      </c>
      <c r="B87" s="5">
        <v>86</v>
      </c>
      <c r="C87" s="5">
        <v>0.2727</v>
      </c>
      <c r="D87" s="5">
        <v>0.48</v>
      </c>
      <c r="E87" s="5">
        <v>0.22389999999999999</v>
      </c>
      <c r="F87" s="5">
        <v>10</v>
      </c>
      <c r="G87" s="5">
        <v>202</v>
      </c>
      <c r="H87" s="5">
        <v>212</v>
      </c>
    </row>
    <row r="88" spans="1:8" x14ac:dyDescent="0.3">
      <c r="A88" s="5">
        <v>86</v>
      </c>
      <c r="B88" s="5">
        <v>87</v>
      </c>
      <c r="C88" s="5">
        <v>0.2576</v>
      </c>
      <c r="D88" s="5">
        <v>0.48</v>
      </c>
      <c r="E88" s="5">
        <v>0.19400000000000001</v>
      </c>
      <c r="F88" s="5">
        <v>3</v>
      </c>
      <c r="G88" s="5">
        <v>179</v>
      </c>
      <c r="H88" s="5">
        <v>182</v>
      </c>
    </row>
    <row r="89" spans="1:8" x14ac:dyDescent="0.3">
      <c r="A89" s="5">
        <v>87</v>
      </c>
      <c r="B89" s="5">
        <v>88</v>
      </c>
      <c r="C89" s="5">
        <v>0.2576</v>
      </c>
      <c r="D89" s="5">
        <v>0.48</v>
      </c>
      <c r="E89" s="5">
        <v>0.1045</v>
      </c>
      <c r="F89" s="5">
        <v>2</v>
      </c>
      <c r="G89" s="5">
        <v>110</v>
      </c>
      <c r="H89" s="5">
        <v>112</v>
      </c>
    </row>
    <row r="90" spans="1:8" x14ac:dyDescent="0.3">
      <c r="A90" s="5">
        <v>88</v>
      </c>
      <c r="B90" s="5">
        <v>89</v>
      </c>
      <c r="C90" s="5">
        <v>0.2576</v>
      </c>
      <c r="D90" s="5">
        <v>0.48</v>
      </c>
      <c r="E90" s="5">
        <v>0.1045</v>
      </c>
      <c r="F90" s="5">
        <v>1</v>
      </c>
      <c r="G90" s="5">
        <v>53</v>
      </c>
      <c r="H90" s="5">
        <v>54</v>
      </c>
    </row>
    <row r="91" spans="1:8" x14ac:dyDescent="0.3">
      <c r="A91" s="5">
        <v>89</v>
      </c>
      <c r="B91" s="5">
        <v>90</v>
      </c>
      <c r="C91" s="5">
        <v>0.2727</v>
      </c>
      <c r="D91" s="5">
        <v>0.64</v>
      </c>
      <c r="E91" s="5">
        <v>0</v>
      </c>
      <c r="F91" s="5">
        <v>0</v>
      </c>
      <c r="G91" s="5">
        <v>48</v>
      </c>
      <c r="H91" s="5">
        <v>48</v>
      </c>
    </row>
    <row r="92" spans="1:8" x14ac:dyDescent="0.3">
      <c r="A92" s="5">
        <v>90</v>
      </c>
      <c r="B92" s="5">
        <v>91</v>
      </c>
      <c r="C92" s="5">
        <v>0.2576</v>
      </c>
      <c r="D92" s="5">
        <v>0.64</v>
      </c>
      <c r="E92" s="5">
        <v>8.9599999999999999E-2</v>
      </c>
      <c r="F92" s="5">
        <v>1</v>
      </c>
      <c r="G92" s="5">
        <v>34</v>
      </c>
      <c r="H92" s="5">
        <v>35</v>
      </c>
    </row>
    <row r="93" spans="1:8" x14ac:dyDescent="0.3">
      <c r="A93" s="5">
        <v>91</v>
      </c>
      <c r="B93" s="5">
        <v>92</v>
      </c>
      <c r="C93" s="5">
        <v>0.2273</v>
      </c>
      <c r="D93" s="5">
        <v>0.69</v>
      </c>
      <c r="E93" s="5">
        <v>8.9599999999999999E-2</v>
      </c>
      <c r="F93" s="5">
        <v>2</v>
      </c>
      <c r="G93" s="5">
        <v>9</v>
      </c>
      <c r="H93" s="5">
        <v>11</v>
      </c>
    </row>
    <row r="94" spans="1:8" x14ac:dyDescent="0.3">
      <c r="A94" s="5">
        <v>92</v>
      </c>
      <c r="B94" s="5">
        <v>93</v>
      </c>
      <c r="C94" s="5">
        <v>0.2576</v>
      </c>
      <c r="D94" s="5">
        <v>0.64</v>
      </c>
      <c r="E94" s="5">
        <v>0</v>
      </c>
      <c r="F94" s="5">
        <v>0</v>
      </c>
      <c r="G94" s="5">
        <v>6</v>
      </c>
      <c r="H94" s="5">
        <v>6</v>
      </c>
    </row>
    <row r="95" spans="1:8" x14ac:dyDescent="0.3">
      <c r="A95" s="5">
        <v>93</v>
      </c>
      <c r="B95" s="5">
        <v>94</v>
      </c>
      <c r="C95" s="5">
        <v>0.19700000000000001</v>
      </c>
      <c r="D95" s="5">
        <v>0.74</v>
      </c>
      <c r="E95" s="5">
        <v>8.9599999999999999E-2</v>
      </c>
      <c r="F95" s="5">
        <v>0</v>
      </c>
      <c r="G95" s="5">
        <v>6</v>
      </c>
      <c r="H95" s="5">
        <v>6</v>
      </c>
    </row>
    <row r="96" spans="1:8" x14ac:dyDescent="0.3">
      <c r="A96" s="5">
        <v>94</v>
      </c>
      <c r="B96" s="5">
        <v>95</v>
      </c>
      <c r="C96" s="5">
        <v>0.19700000000000001</v>
      </c>
      <c r="D96" s="5">
        <v>0.74</v>
      </c>
      <c r="E96" s="5">
        <v>8.9599999999999999E-2</v>
      </c>
      <c r="F96" s="5">
        <v>0</v>
      </c>
      <c r="G96" s="5">
        <v>2</v>
      </c>
      <c r="H96" s="5">
        <v>2</v>
      </c>
    </row>
    <row r="97" spans="1:8" x14ac:dyDescent="0.3">
      <c r="A97" s="5">
        <v>95</v>
      </c>
      <c r="B97" s="5">
        <v>96</v>
      </c>
      <c r="C97" s="5">
        <v>0.2273</v>
      </c>
      <c r="D97" s="5">
        <v>0.48</v>
      </c>
      <c r="E97" s="5">
        <v>0.22389999999999999</v>
      </c>
      <c r="F97" s="5">
        <v>0</v>
      </c>
      <c r="G97" s="5">
        <v>2</v>
      </c>
      <c r="H97" s="5">
        <v>2</v>
      </c>
    </row>
    <row r="98" spans="1:8" x14ac:dyDescent="0.3">
      <c r="A98" s="5">
        <v>96</v>
      </c>
      <c r="B98" s="5">
        <v>97</v>
      </c>
      <c r="C98" s="5">
        <v>0.2273</v>
      </c>
      <c r="D98" s="5">
        <v>0.47</v>
      </c>
      <c r="E98" s="5">
        <v>0.16420000000000001</v>
      </c>
      <c r="F98" s="5">
        <v>0</v>
      </c>
      <c r="G98" s="5">
        <v>3</v>
      </c>
      <c r="H98" s="5">
        <v>3</v>
      </c>
    </row>
    <row r="99" spans="1:8" x14ac:dyDescent="0.3">
      <c r="A99" s="5">
        <v>97</v>
      </c>
      <c r="B99" s="5">
        <v>98</v>
      </c>
      <c r="C99" s="5">
        <v>0.19700000000000001</v>
      </c>
      <c r="D99" s="5">
        <v>0.47</v>
      </c>
      <c r="E99" s="5">
        <v>0.22389999999999999</v>
      </c>
      <c r="F99" s="5">
        <v>0</v>
      </c>
      <c r="G99" s="5">
        <v>33</v>
      </c>
      <c r="H99" s="5">
        <v>33</v>
      </c>
    </row>
    <row r="100" spans="1:8" x14ac:dyDescent="0.3">
      <c r="A100" s="5">
        <v>98</v>
      </c>
      <c r="B100" s="5">
        <v>99</v>
      </c>
      <c r="C100" s="5">
        <v>0.18179999999999999</v>
      </c>
      <c r="D100" s="5">
        <v>0.43</v>
      </c>
      <c r="E100" s="5">
        <v>0.19400000000000001</v>
      </c>
      <c r="F100" s="5">
        <v>1</v>
      </c>
      <c r="G100" s="5">
        <v>87</v>
      </c>
      <c r="H100" s="5">
        <v>88</v>
      </c>
    </row>
    <row r="101" spans="1:8" x14ac:dyDescent="0.3">
      <c r="A101" s="5">
        <v>99</v>
      </c>
      <c r="B101" s="5">
        <v>100</v>
      </c>
      <c r="C101" s="5">
        <v>0.18179999999999999</v>
      </c>
      <c r="D101" s="5">
        <v>0.4</v>
      </c>
      <c r="E101" s="5">
        <v>0.29849999999999999</v>
      </c>
      <c r="F101" s="5">
        <v>3</v>
      </c>
      <c r="G101" s="5">
        <v>192</v>
      </c>
      <c r="H101" s="5">
        <v>195</v>
      </c>
    </row>
    <row r="102" spans="1:8" x14ac:dyDescent="0.3">
      <c r="A102" s="5">
        <v>100</v>
      </c>
      <c r="B102" s="5">
        <v>101</v>
      </c>
      <c r="C102" s="5">
        <v>0.19700000000000001</v>
      </c>
      <c r="D102" s="5">
        <v>0.37</v>
      </c>
      <c r="E102" s="5">
        <v>0.32840000000000003</v>
      </c>
      <c r="F102" s="5">
        <v>6</v>
      </c>
      <c r="G102" s="5">
        <v>109</v>
      </c>
      <c r="H102" s="5">
        <v>115</v>
      </c>
    </row>
    <row r="103" spans="1:8" x14ac:dyDescent="0.3">
      <c r="A103" s="5">
        <v>101</v>
      </c>
      <c r="B103" s="5">
        <v>102</v>
      </c>
      <c r="C103" s="5">
        <v>0.19700000000000001</v>
      </c>
      <c r="D103" s="5">
        <v>0.37</v>
      </c>
      <c r="E103" s="5">
        <v>0.32840000000000003</v>
      </c>
      <c r="F103" s="5">
        <v>4</v>
      </c>
      <c r="G103" s="5">
        <v>53</v>
      </c>
      <c r="H103" s="5">
        <v>57</v>
      </c>
    </row>
    <row r="104" spans="1:8" x14ac:dyDescent="0.3">
      <c r="A104" s="5">
        <v>102</v>
      </c>
      <c r="B104" s="5">
        <v>103</v>
      </c>
      <c r="C104" s="5">
        <v>0.2273</v>
      </c>
      <c r="D104" s="5">
        <v>0.33</v>
      </c>
      <c r="E104" s="5">
        <v>0.32840000000000003</v>
      </c>
      <c r="F104" s="5">
        <v>12</v>
      </c>
      <c r="G104" s="5">
        <v>34</v>
      </c>
      <c r="H104" s="5">
        <v>46</v>
      </c>
    </row>
    <row r="105" spans="1:8" x14ac:dyDescent="0.3">
      <c r="A105" s="5">
        <v>103</v>
      </c>
      <c r="B105" s="5">
        <v>104</v>
      </c>
      <c r="C105" s="5">
        <v>0.2273</v>
      </c>
      <c r="D105" s="5">
        <v>0.33</v>
      </c>
      <c r="E105" s="5">
        <v>0.32840000000000003</v>
      </c>
      <c r="F105" s="5">
        <v>5</v>
      </c>
      <c r="G105" s="5">
        <v>74</v>
      </c>
      <c r="H105" s="5">
        <v>79</v>
      </c>
    </row>
    <row r="106" spans="1:8" x14ac:dyDescent="0.3">
      <c r="A106" s="5">
        <v>104</v>
      </c>
      <c r="B106" s="5">
        <v>105</v>
      </c>
      <c r="C106" s="5">
        <v>0.2576</v>
      </c>
      <c r="D106" s="5">
        <v>0.3</v>
      </c>
      <c r="E106" s="5">
        <v>0.29849999999999999</v>
      </c>
      <c r="F106" s="5">
        <v>6</v>
      </c>
      <c r="G106" s="5">
        <v>65</v>
      </c>
      <c r="H106" s="5">
        <v>71</v>
      </c>
    </row>
    <row r="107" spans="1:8" x14ac:dyDescent="0.3">
      <c r="A107" s="5">
        <v>105</v>
      </c>
      <c r="B107" s="5">
        <v>106</v>
      </c>
      <c r="C107" s="5">
        <v>0.28789999999999999</v>
      </c>
      <c r="D107" s="5">
        <v>0.28000000000000003</v>
      </c>
      <c r="E107" s="5">
        <v>0.19400000000000001</v>
      </c>
      <c r="F107" s="5">
        <v>10</v>
      </c>
      <c r="G107" s="5">
        <v>52</v>
      </c>
      <c r="H107" s="5">
        <v>62</v>
      </c>
    </row>
    <row r="108" spans="1:8" x14ac:dyDescent="0.3">
      <c r="A108" s="5">
        <v>106</v>
      </c>
      <c r="B108" s="5">
        <v>107</v>
      </c>
      <c r="C108" s="5">
        <v>0.28789999999999999</v>
      </c>
      <c r="D108" s="5">
        <v>0.28000000000000003</v>
      </c>
      <c r="E108" s="5">
        <v>0.19400000000000001</v>
      </c>
      <c r="F108" s="5">
        <v>7</v>
      </c>
      <c r="G108" s="5">
        <v>55</v>
      </c>
      <c r="H108" s="5">
        <v>62</v>
      </c>
    </row>
    <row r="109" spans="1:8" x14ac:dyDescent="0.3">
      <c r="A109" s="5">
        <v>107</v>
      </c>
      <c r="B109" s="5">
        <v>108</v>
      </c>
      <c r="C109" s="5">
        <v>0.31819999999999998</v>
      </c>
      <c r="D109" s="5">
        <v>0.28000000000000003</v>
      </c>
      <c r="E109" s="5">
        <v>8.9599999999999999E-2</v>
      </c>
      <c r="F109" s="5">
        <v>4</v>
      </c>
      <c r="G109" s="5">
        <v>85</v>
      </c>
      <c r="H109" s="5">
        <v>89</v>
      </c>
    </row>
    <row r="110" spans="1:8" x14ac:dyDescent="0.3">
      <c r="A110" s="5">
        <v>108</v>
      </c>
      <c r="B110" s="5">
        <v>109</v>
      </c>
      <c r="C110" s="5">
        <v>0.2273</v>
      </c>
      <c r="D110" s="5">
        <v>0.38</v>
      </c>
      <c r="E110" s="5">
        <v>0.19400000000000001</v>
      </c>
      <c r="F110" s="5">
        <v>4</v>
      </c>
      <c r="G110" s="5">
        <v>186</v>
      </c>
      <c r="H110" s="5">
        <v>190</v>
      </c>
    </row>
    <row r="111" spans="1:8" x14ac:dyDescent="0.3">
      <c r="A111" s="5">
        <v>109</v>
      </c>
      <c r="B111" s="5">
        <v>110</v>
      </c>
      <c r="C111" s="5">
        <v>0.2424</v>
      </c>
      <c r="D111" s="5">
        <v>0.38</v>
      </c>
      <c r="E111" s="5">
        <v>0.1343</v>
      </c>
      <c r="F111" s="5">
        <v>3</v>
      </c>
      <c r="G111" s="5">
        <v>166</v>
      </c>
      <c r="H111" s="5">
        <v>169</v>
      </c>
    </row>
    <row r="112" spans="1:8" x14ac:dyDescent="0.3">
      <c r="A112" s="5">
        <v>110</v>
      </c>
      <c r="B112" s="5">
        <v>111</v>
      </c>
      <c r="C112" s="5">
        <v>0.2576</v>
      </c>
      <c r="D112" s="5">
        <v>0.38</v>
      </c>
      <c r="E112" s="5">
        <v>0.1045</v>
      </c>
      <c r="F112" s="5">
        <v>5</v>
      </c>
      <c r="G112" s="5">
        <v>127</v>
      </c>
      <c r="H112" s="5">
        <v>132</v>
      </c>
    </row>
    <row r="113" spans="1:8" x14ac:dyDescent="0.3">
      <c r="A113" s="5">
        <v>111</v>
      </c>
      <c r="B113" s="5">
        <v>112</v>
      </c>
      <c r="C113" s="5">
        <v>0.2273</v>
      </c>
      <c r="D113" s="5">
        <v>0.47</v>
      </c>
      <c r="E113" s="5">
        <v>0.16420000000000001</v>
      </c>
      <c r="F113" s="5">
        <v>7</v>
      </c>
      <c r="G113" s="5">
        <v>82</v>
      </c>
      <c r="H113" s="5">
        <v>89</v>
      </c>
    </row>
    <row r="114" spans="1:8" x14ac:dyDescent="0.3">
      <c r="A114" s="5">
        <v>112</v>
      </c>
      <c r="B114" s="5">
        <v>113</v>
      </c>
      <c r="C114" s="5">
        <v>0.19700000000000001</v>
      </c>
      <c r="D114" s="5">
        <v>0.51</v>
      </c>
      <c r="E114" s="5">
        <v>0.19400000000000001</v>
      </c>
      <c r="F114" s="5">
        <v>3</v>
      </c>
      <c r="G114" s="5">
        <v>40</v>
      </c>
      <c r="H114" s="5">
        <v>43</v>
      </c>
    </row>
    <row r="115" spans="1:8" x14ac:dyDescent="0.3">
      <c r="A115" s="5">
        <v>113</v>
      </c>
      <c r="B115" s="5">
        <v>114</v>
      </c>
      <c r="C115" s="5">
        <v>0.19700000000000001</v>
      </c>
      <c r="D115" s="5">
        <v>0.55000000000000004</v>
      </c>
      <c r="E115" s="5">
        <v>0.1343</v>
      </c>
      <c r="F115" s="5">
        <v>1</v>
      </c>
      <c r="G115" s="5">
        <v>41</v>
      </c>
      <c r="H115" s="5">
        <v>42</v>
      </c>
    </row>
    <row r="116" spans="1:8" x14ac:dyDescent="0.3">
      <c r="A116" s="5">
        <v>114</v>
      </c>
      <c r="B116" s="5">
        <v>115</v>
      </c>
      <c r="C116" s="5">
        <v>0.2576</v>
      </c>
      <c r="D116" s="5">
        <v>0.47</v>
      </c>
      <c r="E116" s="5">
        <v>0</v>
      </c>
      <c r="F116" s="5">
        <v>1</v>
      </c>
      <c r="G116" s="5">
        <v>18</v>
      </c>
      <c r="H116" s="5">
        <v>19</v>
      </c>
    </row>
    <row r="117" spans="1:8" x14ac:dyDescent="0.3">
      <c r="A117" s="5">
        <v>115</v>
      </c>
      <c r="B117" s="5">
        <v>116</v>
      </c>
      <c r="C117" s="5">
        <v>0.2424</v>
      </c>
      <c r="D117" s="5">
        <v>0.55000000000000004</v>
      </c>
      <c r="E117" s="5">
        <v>0</v>
      </c>
      <c r="F117" s="5">
        <v>0</v>
      </c>
      <c r="G117" s="5">
        <v>11</v>
      </c>
      <c r="H117" s="5">
        <v>11</v>
      </c>
    </row>
    <row r="118" spans="1:8" x14ac:dyDescent="0.3">
      <c r="A118" s="5">
        <v>116</v>
      </c>
      <c r="B118" s="5">
        <v>117</v>
      </c>
      <c r="C118" s="5">
        <v>0.2273</v>
      </c>
      <c r="D118" s="5">
        <v>0.64</v>
      </c>
      <c r="E118" s="5">
        <v>0</v>
      </c>
      <c r="F118" s="5">
        <v>0</v>
      </c>
      <c r="G118" s="5">
        <v>4</v>
      </c>
      <c r="H118" s="5">
        <v>4</v>
      </c>
    </row>
    <row r="119" spans="1:8" x14ac:dyDescent="0.3">
      <c r="A119" s="5">
        <v>117</v>
      </c>
      <c r="B119" s="5">
        <v>118</v>
      </c>
      <c r="C119" s="5">
        <v>0.2273</v>
      </c>
      <c r="D119" s="5">
        <v>0.64</v>
      </c>
      <c r="E119" s="5">
        <v>0</v>
      </c>
      <c r="F119" s="5">
        <v>0</v>
      </c>
      <c r="G119" s="5">
        <v>2</v>
      </c>
      <c r="H119" s="5">
        <v>2</v>
      </c>
    </row>
    <row r="120" spans="1:8" x14ac:dyDescent="0.3">
      <c r="A120" s="5">
        <v>118</v>
      </c>
      <c r="B120" s="5">
        <v>119</v>
      </c>
      <c r="C120" s="5">
        <v>0.19700000000000001</v>
      </c>
      <c r="D120" s="5">
        <v>0.64</v>
      </c>
      <c r="E120" s="5">
        <v>8.9599999999999999E-2</v>
      </c>
      <c r="F120" s="5">
        <v>0</v>
      </c>
      <c r="G120" s="5">
        <v>1</v>
      </c>
      <c r="H120" s="5">
        <v>1</v>
      </c>
    </row>
    <row r="121" spans="1:8" x14ac:dyDescent="0.3">
      <c r="A121" s="5">
        <v>119</v>
      </c>
      <c r="B121" s="5">
        <v>120</v>
      </c>
      <c r="C121" s="5">
        <v>0.18179999999999999</v>
      </c>
      <c r="D121" s="5">
        <v>0.69</v>
      </c>
      <c r="E121" s="5">
        <v>8.9599999999999999E-2</v>
      </c>
      <c r="F121" s="5">
        <v>0</v>
      </c>
      <c r="G121" s="5">
        <v>4</v>
      </c>
      <c r="H121" s="5">
        <v>4</v>
      </c>
    </row>
    <row r="122" spans="1:8" x14ac:dyDescent="0.3">
      <c r="A122" s="5">
        <v>120</v>
      </c>
      <c r="B122" s="5">
        <v>121</v>
      </c>
      <c r="C122" s="5">
        <v>0.16669999999999999</v>
      </c>
      <c r="D122" s="5">
        <v>0.63</v>
      </c>
      <c r="E122" s="5">
        <v>0.1045</v>
      </c>
      <c r="F122" s="5">
        <v>0</v>
      </c>
      <c r="G122" s="5">
        <v>36</v>
      </c>
      <c r="H122" s="5">
        <v>36</v>
      </c>
    </row>
    <row r="123" spans="1:8" x14ac:dyDescent="0.3">
      <c r="A123" s="5">
        <v>121</v>
      </c>
      <c r="B123" s="5">
        <v>122</v>
      </c>
      <c r="C123" s="5">
        <v>0.2273</v>
      </c>
      <c r="D123" s="5">
        <v>0.59</v>
      </c>
      <c r="E123" s="5">
        <v>0</v>
      </c>
      <c r="F123" s="5">
        <v>0</v>
      </c>
      <c r="G123" s="5">
        <v>95</v>
      </c>
      <c r="H123" s="5">
        <v>95</v>
      </c>
    </row>
    <row r="124" spans="1:8" x14ac:dyDescent="0.3">
      <c r="A124" s="5">
        <v>122</v>
      </c>
      <c r="B124" s="5">
        <v>123</v>
      </c>
      <c r="C124" s="5">
        <v>0.2273</v>
      </c>
      <c r="D124" s="5">
        <v>0.59</v>
      </c>
      <c r="E124" s="5">
        <v>0</v>
      </c>
      <c r="F124" s="5">
        <v>3</v>
      </c>
      <c r="G124" s="5">
        <v>216</v>
      </c>
      <c r="H124" s="5">
        <v>219</v>
      </c>
    </row>
    <row r="125" spans="1:8" x14ac:dyDescent="0.3">
      <c r="A125" s="5">
        <v>123</v>
      </c>
      <c r="B125" s="5">
        <v>124</v>
      </c>
      <c r="C125" s="5">
        <v>0.2424</v>
      </c>
      <c r="D125" s="5">
        <v>0.51</v>
      </c>
      <c r="E125" s="5">
        <v>0</v>
      </c>
      <c r="F125" s="5">
        <v>6</v>
      </c>
      <c r="G125" s="5">
        <v>116</v>
      </c>
      <c r="H125" s="5">
        <v>122</v>
      </c>
    </row>
    <row r="126" spans="1:8" x14ac:dyDescent="0.3">
      <c r="A126" s="5">
        <v>124</v>
      </c>
      <c r="B126" s="5">
        <v>125</v>
      </c>
      <c r="C126" s="5">
        <v>0.2576</v>
      </c>
      <c r="D126" s="5">
        <v>0.47</v>
      </c>
      <c r="E126" s="5">
        <v>0</v>
      </c>
      <c r="F126" s="5">
        <v>3</v>
      </c>
      <c r="G126" s="5">
        <v>42</v>
      </c>
      <c r="H126" s="5">
        <v>45</v>
      </c>
    </row>
    <row r="127" spans="1:8" x14ac:dyDescent="0.3">
      <c r="A127" s="5">
        <v>125</v>
      </c>
      <c r="B127" s="5">
        <v>126</v>
      </c>
      <c r="C127" s="5">
        <v>0.2576</v>
      </c>
      <c r="D127" s="5">
        <v>0.44</v>
      </c>
      <c r="E127" s="5">
        <v>8.9599999999999999E-2</v>
      </c>
      <c r="F127" s="5">
        <v>2</v>
      </c>
      <c r="G127" s="5">
        <v>57</v>
      </c>
      <c r="H127" s="5">
        <v>59</v>
      </c>
    </row>
    <row r="128" spans="1:8" x14ac:dyDescent="0.3">
      <c r="A128" s="5">
        <v>126</v>
      </c>
      <c r="B128" s="5">
        <v>127</v>
      </c>
      <c r="C128" s="5">
        <v>0.28789999999999999</v>
      </c>
      <c r="D128" s="5">
        <v>0.35</v>
      </c>
      <c r="E128" s="5">
        <v>0</v>
      </c>
      <c r="F128" s="5">
        <v>6</v>
      </c>
      <c r="G128" s="5">
        <v>78</v>
      </c>
      <c r="H128" s="5">
        <v>84</v>
      </c>
    </row>
    <row r="129" spans="1:8" x14ac:dyDescent="0.3">
      <c r="A129" s="5">
        <v>127</v>
      </c>
      <c r="B129" s="5">
        <v>128</v>
      </c>
      <c r="C129" s="5">
        <v>0.2727</v>
      </c>
      <c r="D129" s="5">
        <v>0.35</v>
      </c>
      <c r="E129" s="5">
        <v>0.1045</v>
      </c>
      <c r="F129" s="5">
        <v>12</v>
      </c>
      <c r="G129" s="5">
        <v>55</v>
      </c>
      <c r="H129" s="5">
        <v>67</v>
      </c>
    </row>
    <row r="130" spans="1:8" x14ac:dyDescent="0.3">
      <c r="A130" s="5">
        <v>128</v>
      </c>
      <c r="B130" s="5">
        <v>129</v>
      </c>
      <c r="C130" s="5">
        <v>0.2727</v>
      </c>
      <c r="D130" s="5">
        <v>0.36</v>
      </c>
      <c r="E130" s="5">
        <v>0.16420000000000001</v>
      </c>
      <c r="F130" s="5">
        <v>11</v>
      </c>
      <c r="G130" s="5">
        <v>59</v>
      </c>
      <c r="H130" s="5">
        <v>70</v>
      </c>
    </row>
    <row r="131" spans="1:8" x14ac:dyDescent="0.3">
      <c r="A131" s="5">
        <v>129</v>
      </c>
      <c r="B131" s="5">
        <v>130</v>
      </c>
      <c r="C131" s="5">
        <v>0.2727</v>
      </c>
      <c r="D131" s="5">
        <v>0.36</v>
      </c>
      <c r="E131" s="5">
        <v>0</v>
      </c>
      <c r="F131" s="5">
        <v>8</v>
      </c>
      <c r="G131" s="5">
        <v>54</v>
      </c>
      <c r="H131" s="5">
        <v>62</v>
      </c>
    </row>
    <row r="132" spans="1:8" x14ac:dyDescent="0.3">
      <c r="A132" s="5">
        <v>130</v>
      </c>
      <c r="B132" s="5">
        <v>131</v>
      </c>
      <c r="C132" s="5">
        <v>0.2576</v>
      </c>
      <c r="D132" s="5">
        <v>0.38</v>
      </c>
      <c r="E132" s="5">
        <v>0.16420000000000001</v>
      </c>
      <c r="F132" s="5">
        <v>12</v>
      </c>
      <c r="G132" s="5">
        <v>74</v>
      </c>
      <c r="H132" s="5">
        <v>86</v>
      </c>
    </row>
    <row r="133" spans="1:8" x14ac:dyDescent="0.3">
      <c r="A133" s="5">
        <v>131</v>
      </c>
      <c r="B133" s="5">
        <v>132</v>
      </c>
      <c r="C133" s="5">
        <v>0.2273</v>
      </c>
      <c r="D133" s="5">
        <v>0.51</v>
      </c>
      <c r="E133" s="5">
        <v>0.16420000000000001</v>
      </c>
      <c r="F133" s="5">
        <v>9</v>
      </c>
      <c r="G133" s="5">
        <v>163</v>
      </c>
      <c r="H133" s="5">
        <v>172</v>
      </c>
    </row>
    <row r="134" spans="1:8" x14ac:dyDescent="0.3">
      <c r="A134" s="5">
        <v>132</v>
      </c>
      <c r="B134" s="5">
        <v>133</v>
      </c>
      <c r="C134" s="5">
        <v>0.2273</v>
      </c>
      <c r="D134" s="5">
        <v>0.51</v>
      </c>
      <c r="E134" s="5">
        <v>0.1343</v>
      </c>
      <c r="F134" s="5">
        <v>5</v>
      </c>
      <c r="G134" s="5">
        <v>158</v>
      </c>
      <c r="H134" s="5">
        <v>163</v>
      </c>
    </row>
    <row r="135" spans="1:8" x14ac:dyDescent="0.3">
      <c r="A135" s="5">
        <v>133</v>
      </c>
      <c r="B135" s="5">
        <v>134</v>
      </c>
      <c r="C135" s="5">
        <v>0.2576</v>
      </c>
      <c r="D135" s="5">
        <v>0.55000000000000004</v>
      </c>
      <c r="E135" s="5">
        <v>8.9599999999999999E-2</v>
      </c>
      <c r="F135" s="5">
        <v>3</v>
      </c>
      <c r="G135" s="5">
        <v>109</v>
      </c>
      <c r="H135" s="5">
        <v>112</v>
      </c>
    </row>
    <row r="136" spans="1:8" x14ac:dyDescent="0.3">
      <c r="A136" s="5">
        <v>134</v>
      </c>
      <c r="B136" s="5">
        <v>135</v>
      </c>
      <c r="C136" s="5">
        <v>0.21210000000000001</v>
      </c>
      <c r="D136" s="5">
        <v>0.51</v>
      </c>
      <c r="E136" s="5">
        <v>0.16420000000000001</v>
      </c>
      <c r="F136" s="5">
        <v>3</v>
      </c>
      <c r="G136" s="5">
        <v>66</v>
      </c>
      <c r="H136" s="5">
        <v>69</v>
      </c>
    </row>
    <row r="137" spans="1:8" x14ac:dyDescent="0.3">
      <c r="A137" s="5">
        <v>135</v>
      </c>
      <c r="B137" s="5">
        <v>136</v>
      </c>
      <c r="C137" s="5">
        <v>0.21210000000000001</v>
      </c>
      <c r="D137" s="5">
        <v>0.55000000000000004</v>
      </c>
      <c r="E137" s="5">
        <v>0.22389999999999999</v>
      </c>
      <c r="F137" s="5">
        <v>0</v>
      </c>
      <c r="G137" s="5">
        <v>48</v>
      </c>
      <c r="H137" s="5">
        <v>48</v>
      </c>
    </row>
    <row r="138" spans="1:8" x14ac:dyDescent="0.3">
      <c r="A138" s="5">
        <v>136</v>
      </c>
      <c r="B138" s="5">
        <v>137</v>
      </c>
      <c r="C138" s="5">
        <v>0.21210000000000001</v>
      </c>
      <c r="D138" s="5">
        <v>0.51</v>
      </c>
      <c r="E138" s="5">
        <v>0.28360000000000002</v>
      </c>
      <c r="F138" s="5">
        <v>1</v>
      </c>
      <c r="G138" s="5">
        <v>51</v>
      </c>
      <c r="H138" s="5">
        <v>52</v>
      </c>
    </row>
    <row r="139" spans="1:8" x14ac:dyDescent="0.3">
      <c r="A139" s="5">
        <v>137</v>
      </c>
      <c r="B139" s="5">
        <v>138</v>
      </c>
      <c r="C139" s="5">
        <v>0.19700000000000001</v>
      </c>
      <c r="D139" s="5">
        <v>0.59</v>
      </c>
      <c r="E139" s="5">
        <v>0.19400000000000001</v>
      </c>
      <c r="F139" s="5">
        <v>4</v>
      </c>
      <c r="G139" s="5">
        <v>19</v>
      </c>
      <c r="H139" s="5">
        <v>23</v>
      </c>
    </row>
    <row r="140" spans="1:8" x14ac:dyDescent="0.3">
      <c r="A140" s="5">
        <v>138</v>
      </c>
      <c r="B140" s="5">
        <v>139</v>
      </c>
      <c r="C140" s="5">
        <v>0.19700000000000001</v>
      </c>
      <c r="D140" s="5">
        <v>0.64</v>
      </c>
      <c r="E140" s="5">
        <v>0.19400000000000001</v>
      </c>
      <c r="F140" s="5">
        <v>4</v>
      </c>
      <c r="G140" s="5">
        <v>13</v>
      </c>
      <c r="H140" s="5">
        <v>17</v>
      </c>
    </row>
    <row r="141" spans="1:8" x14ac:dyDescent="0.3">
      <c r="A141" s="5">
        <v>139</v>
      </c>
      <c r="B141" s="5">
        <v>140</v>
      </c>
      <c r="C141" s="5">
        <v>0.19700000000000001</v>
      </c>
      <c r="D141" s="5">
        <v>0.69</v>
      </c>
      <c r="E141" s="5">
        <v>0.22389999999999999</v>
      </c>
      <c r="F141" s="5">
        <v>2</v>
      </c>
      <c r="G141" s="5">
        <v>5</v>
      </c>
      <c r="H141" s="5">
        <v>7</v>
      </c>
    </row>
    <row r="142" spans="1:8" x14ac:dyDescent="0.3">
      <c r="A142" s="5">
        <v>140</v>
      </c>
      <c r="B142" s="5">
        <v>141</v>
      </c>
      <c r="C142" s="5">
        <v>0.19700000000000001</v>
      </c>
      <c r="D142" s="5">
        <v>0.69</v>
      </c>
      <c r="E142" s="5">
        <v>0.22389999999999999</v>
      </c>
      <c r="F142" s="5">
        <v>0</v>
      </c>
      <c r="G142" s="5">
        <v>1</v>
      </c>
      <c r="H142" s="5">
        <v>1</v>
      </c>
    </row>
    <row r="143" spans="1:8" x14ac:dyDescent="0.3">
      <c r="A143" s="5">
        <v>141</v>
      </c>
      <c r="B143" s="5">
        <v>142</v>
      </c>
      <c r="C143" s="5">
        <v>0.21210000000000001</v>
      </c>
      <c r="D143" s="5">
        <v>0.69</v>
      </c>
      <c r="E143" s="5">
        <v>0.1343</v>
      </c>
      <c r="F143" s="5">
        <v>0</v>
      </c>
      <c r="G143" s="5">
        <v>1</v>
      </c>
      <c r="H143" s="5">
        <v>1</v>
      </c>
    </row>
    <row r="144" spans="1:8" x14ac:dyDescent="0.3">
      <c r="A144" s="5">
        <v>142</v>
      </c>
      <c r="B144" s="5">
        <v>143</v>
      </c>
      <c r="C144" s="5">
        <v>0.2727</v>
      </c>
      <c r="D144" s="5">
        <v>0.55000000000000004</v>
      </c>
      <c r="E144" s="5">
        <v>0</v>
      </c>
      <c r="F144" s="5">
        <v>0</v>
      </c>
      <c r="G144" s="5">
        <v>5</v>
      </c>
      <c r="H144" s="5">
        <v>5</v>
      </c>
    </row>
    <row r="145" spans="1:8" x14ac:dyDescent="0.3">
      <c r="A145" s="5">
        <v>143</v>
      </c>
      <c r="B145" s="5">
        <v>144</v>
      </c>
      <c r="C145" s="5">
        <v>0.2576</v>
      </c>
      <c r="D145" s="5">
        <v>0.69</v>
      </c>
      <c r="E145" s="5">
        <v>0</v>
      </c>
      <c r="F145" s="5">
        <v>8</v>
      </c>
      <c r="G145" s="5">
        <v>26</v>
      </c>
      <c r="H145" s="5">
        <v>34</v>
      </c>
    </row>
    <row r="146" spans="1:8" x14ac:dyDescent="0.3">
      <c r="A146" s="5">
        <v>144</v>
      </c>
      <c r="B146" s="5">
        <v>145</v>
      </c>
      <c r="C146" s="5">
        <v>0.21210000000000001</v>
      </c>
      <c r="D146" s="5">
        <v>0.69</v>
      </c>
      <c r="E146" s="5">
        <v>0.1343</v>
      </c>
      <c r="F146" s="5">
        <v>8</v>
      </c>
      <c r="G146" s="5">
        <v>76</v>
      </c>
      <c r="H146" s="5">
        <v>84</v>
      </c>
    </row>
    <row r="147" spans="1:8" x14ac:dyDescent="0.3">
      <c r="A147" s="5">
        <v>145</v>
      </c>
      <c r="B147" s="5">
        <v>146</v>
      </c>
      <c r="C147" s="5">
        <v>0.19700000000000001</v>
      </c>
      <c r="D147" s="5">
        <v>0.51</v>
      </c>
      <c r="E147" s="5">
        <v>0.25369999999999998</v>
      </c>
      <c r="F147" s="5">
        <v>20</v>
      </c>
      <c r="G147" s="5">
        <v>190</v>
      </c>
      <c r="H147" s="5">
        <v>210</v>
      </c>
    </row>
    <row r="148" spans="1:8" x14ac:dyDescent="0.3">
      <c r="A148" s="5">
        <v>146</v>
      </c>
      <c r="B148" s="5">
        <v>147</v>
      </c>
      <c r="C148" s="5">
        <v>0.18179999999999999</v>
      </c>
      <c r="D148" s="5">
        <v>0.47</v>
      </c>
      <c r="E148" s="5">
        <v>0.29849999999999999</v>
      </c>
      <c r="F148" s="5">
        <v>9</v>
      </c>
      <c r="G148" s="5">
        <v>125</v>
      </c>
      <c r="H148" s="5">
        <v>134</v>
      </c>
    </row>
    <row r="149" spans="1:8" x14ac:dyDescent="0.3">
      <c r="A149" s="5">
        <v>147</v>
      </c>
      <c r="B149" s="5">
        <v>148</v>
      </c>
      <c r="C149" s="5">
        <v>0.19700000000000001</v>
      </c>
      <c r="D149" s="5">
        <v>0.37</v>
      </c>
      <c r="E149" s="5">
        <v>0.32840000000000003</v>
      </c>
      <c r="F149" s="5">
        <v>16</v>
      </c>
      <c r="G149" s="5">
        <v>47</v>
      </c>
      <c r="H149" s="5">
        <v>63</v>
      </c>
    </row>
    <row r="150" spans="1:8" x14ac:dyDescent="0.3">
      <c r="A150" s="5">
        <v>148</v>
      </c>
      <c r="B150" s="5">
        <v>149</v>
      </c>
      <c r="C150" s="5">
        <v>0.19700000000000001</v>
      </c>
      <c r="D150" s="5">
        <v>0.4</v>
      </c>
      <c r="E150" s="5">
        <v>0.22389999999999999</v>
      </c>
      <c r="F150" s="5">
        <v>19</v>
      </c>
      <c r="G150" s="5">
        <v>48</v>
      </c>
      <c r="H150" s="5">
        <v>67</v>
      </c>
    </row>
    <row r="151" spans="1:8" x14ac:dyDescent="0.3">
      <c r="A151" s="5">
        <v>149</v>
      </c>
      <c r="B151" s="5">
        <v>150</v>
      </c>
      <c r="C151" s="5">
        <v>0.19700000000000001</v>
      </c>
      <c r="D151" s="5">
        <v>0.37</v>
      </c>
      <c r="E151" s="5">
        <v>0.25369999999999998</v>
      </c>
      <c r="F151" s="5">
        <v>9</v>
      </c>
      <c r="G151" s="5">
        <v>50</v>
      </c>
      <c r="H151" s="5">
        <v>59</v>
      </c>
    </row>
    <row r="152" spans="1:8" x14ac:dyDescent="0.3">
      <c r="A152" s="5">
        <v>150</v>
      </c>
      <c r="B152" s="5">
        <v>151</v>
      </c>
      <c r="C152" s="5">
        <v>0.18179999999999999</v>
      </c>
      <c r="D152" s="5">
        <v>0.37</v>
      </c>
      <c r="E152" s="5">
        <v>0.28360000000000002</v>
      </c>
      <c r="F152" s="5">
        <v>9</v>
      </c>
      <c r="G152" s="5">
        <v>64</v>
      </c>
      <c r="H152" s="5">
        <v>73</v>
      </c>
    </row>
    <row r="153" spans="1:8" x14ac:dyDescent="0.3">
      <c r="A153" s="5">
        <v>151</v>
      </c>
      <c r="B153" s="5">
        <v>152</v>
      </c>
      <c r="C153" s="5">
        <v>0.19700000000000001</v>
      </c>
      <c r="D153" s="5">
        <v>0.4</v>
      </c>
      <c r="E153" s="5">
        <v>0.25369999999999998</v>
      </c>
      <c r="F153" s="5">
        <v>7</v>
      </c>
      <c r="G153" s="5">
        <v>43</v>
      </c>
      <c r="H153" s="5">
        <v>50</v>
      </c>
    </row>
    <row r="154" spans="1:8" x14ac:dyDescent="0.3">
      <c r="A154" s="5">
        <v>152</v>
      </c>
      <c r="B154" s="5">
        <v>153</v>
      </c>
      <c r="C154" s="5">
        <v>0.21210000000000001</v>
      </c>
      <c r="D154" s="5">
        <v>0.37</v>
      </c>
      <c r="E154" s="5">
        <v>0.16420000000000001</v>
      </c>
      <c r="F154" s="5">
        <v>9</v>
      </c>
      <c r="G154" s="5">
        <v>63</v>
      </c>
      <c r="H154" s="5">
        <v>72</v>
      </c>
    </row>
    <row r="155" spans="1:8" x14ac:dyDescent="0.3">
      <c r="A155" s="5">
        <v>153</v>
      </c>
      <c r="B155" s="5">
        <v>154</v>
      </c>
      <c r="C155" s="5">
        <v>0.21210000000000001</v>
      </c>
      <c r="D155" s="5">
        <v>0.37</v>
      </c>
      <c r="E155" s="5">
        <v>0.16420000000000001</v>
      </c>
      <c r="F155" s="5">
        <v>5</v>
      </c>
      <c r="G155" s="5">
        <v>82</v>
      </c>
      <c r="H155" s="5">
        <v>87</v>
      </c>
    </row>
    <row r="156" spans="1:8" x14ac:dyDescent="0.3">
      <c r="A156" s="5">
        <v>154</v>
      </c>
      <c r="B156" s="5">
        <v>155</v>
      </c>
      <c r="C156" s="5">
        <v>0.2576</v>
      </c>
      <c r="D156" s="5">
        <v>0.37</v>
      </c>
      <c r="E156" s="5">
        <v>0</v>
      </c>
      <c r="F156" s="5">
        <v>9</v>
      </c>
      <c r="G156" s="5">
        <v>178</v>
      </c>
      <c r="H156" s="5">
        <v>187</v>
      </c>
    </row>
    <row r="157" spans="1:8" x14ac:dyDescent="0.3">
      <c r="A157" s="5">
        <v>155</v>
      </c>
      <c r="B157" s="5">
        <v>156</v>
      </c>
      <c r="C157" s="5">
        <v>0.2273</v>
      </c>
      <c r="D157" s="5">
        <v>0.4</v>
      </c>
      <c r="E157" s="5">
        <v>8.9599999999999999E-2</v>
      </c>
      <c r="F157" s="5">
        <v>7</v>
      </c>
      <c r="G157" s="5">
        <v>116</v>
      </c>
      <c r="H157" s="5">
        <v>123</v>
      </c>
    </row>
    <row r="158" spans="1:8" x14ac:dyDescent="0.3">
      <c r="A158" s="5">
        <v>156</v>
      </c>
      <c r="B158" s="5">
        <v>157</v>
      </c>
      <c r="C158" s="5">
        <v>0.19700000000000001</v>
      </c>
      <c r="D158" s="5">
        <v>0.55000000000000004</v>
      </c>
      <c r="E158" s="5">
        <v>8.9599999999999999E-2</v>
      </c>
      <c r="F158" s="5">
        <v>3</v>
      </c>
      <c r="G158" s="5">
        <v>92</v>
      </c>
      <c r="H158" s="5">
        <v>95</v>
      </c>
    </row>
    <row r="159" spans="1:8" x14ac:dyDescent="0.3">
      <c r="A159" s="5">
        <v>157</v>
      </c>
      <c r="B159" s="5">
        <v>158</v>
      </c>
      <c r="C159" s="5">
        <v>0.21210000000000001</v>
      </c>
      <c r="D159" s="5">
        <v>0.47</v>
      </c>
      <c r="E159" s="5">
        <v>0.1045</v>
      </c>
      <c r="F159" s="5">
        <v>1</v>
      </c>
      <c r="G159" s="5">
        <v>50</v>
      </c>
      <c r="H159" s="5">
        <v>51</v>
      </c>
    </row>
    <row r="160" spans="1:8" x14ac:dyDescent="0.3">
      <c r="A160" s="5">
        <v>158</v>
      </c>
      <c r="B160" s="5">
        <v>159</v>
      </c>
      <c r="C160" s="5">
        <v>0.19700000000000001</v>
      </c>
      <c r="D160" s="5">
        <v>0.47</v>
      </c>
      <c r="E160" s="5">
        <v>0.1343</v>
      </c>
      <c r="F160" s="5">
        <v>0</v>
      </c>
      <c r="G160" s="5">
        <v>39</v>
      </c>
      <c r="H160" s="5">
        <v>39</v>
      </c>
    </row>
    <row r="161" spans="1:8" x14ac:dyDescent="0.3">
      <c r="A161" s="5">
        <v>159</v>
      </c>
      <c r="B161" s="5">
        <v>160</v>
      </c>
      <c r="C161" s="5">
        <v>0.19700000000000001</v>
      </c>
      <c r="D161" s="5">
        <v>0.43</v>
      </c>
      <c r="E161" s="5">
        <v>0.16420000000000001</v>
      </c>
      <c r="F161" s="5">
        <v>2</v>
      </c>
      <c r="G161" s="5">
        <v>34</v>
      </c>
      <c r="H161" s="5">
        <v>36</v>
      </c>
    </row>
    <row r="162" spans="1:8" x14ac:dyDescent="0.3">
      <c r="A162" s="5">
        <v>160</v>
      </c>
      <c r="B162" s="5">
        <v>161</v>
      </c>
      <c r="C162" s="5">
        <v>0.19700000000000001</v>
      </c>
      <c r="D162" s="5">
        <v>0.51</v>
      </c>
      <c r="E162" s="5">
        <v>0.16420000000000001</v>
      </c>
      <c r="F162" s="5">
        <v>1</v>
      </c>
      <c r="G162" s="5">
        <v>14</v>
      </c>
      <c r="H162" s="5">
        <v>15</v>
      </c>
    </row>
    <row r="163" spans="1:8" x14ac:dyDescent="0.3">
      <c r="A163" s="5">
        <v>161</v>
      </c>
      <c r="B163" s="5">
        <v>162</v>
      </c>
      <c r="C163" s="5">
        <v>0.19700000000000001</v>
      </c>
      <c r="D163" s="5">
        <v>0.51</v>
      </c>
      <c r="E163" s="5">
        <v>0.16420000000000001</v>
      </c>
      <c r="F163" s="5">
        <v>1</v>
      </c>
      <c r="G163" s="5">
        <v>24</v>
      </c>
      <c r="H163" s="5">
        <v>25</v>
      </c>
    </row>
    <row r="164" spans="1:8" x14ac:dyDescent="0.3">
      <c r="A164" s="5">
        <v>162</v>
      </c>
      <c r="B164" s="5">
        <v>163</v>
      </c>
      <c r="C164" s="5">
        <v>0.21210000000000001</v>
      </c>
      <c r="D164" s="5">
        <v>0.55000000000000004</v>
      </c>
      <c r="E164" s="5">
        <v>8.9599999999999999E-2</v>
      </c>
      <c r="F164" s="5">
        <v>1</v>
      </c>
      <c r="G164" s="5">
        <v>15</v>
      </c>
      <c r="H164" s="5">
        <v>16</v>
      </c>
    </row>
    <row r="165" spans="1:8" x14ac:dyDescent="0.3">
      <c r="A165" s="5">
        <v>163</v>
      </c>
      <c r="B165" s="5">
        <v>164</v>
      </c>
      <c r="C165" s="5">
        <v>0.2424</v>
      </c>
      <c r="D165" s="5">
        <v>0.55000000000000004</v>
      </c>
      <c r="E165" s="5">
        <v>0</v>
      </c>
      <c r="F165" s="5">
        <v>3</v>
      </c>
      <c r="G165" s="5">
        <v>13</v>
      </c>
      <c r="H165" s="5">
        <v>16</v>
      </c>
    </row>
    <row r="166" spans="1:8" x14ac:dyDescent="0.3">
      <c r="A166" s="5">
        <v>164</v>
      </c>
      <c r="B166" s="5">
        <v>165</v>
      </c>
      <c r="C166" s="5">
        <v>0.19700000000000001</v>
      </c>
      <c r="D166" s="5">
        <v>0.55000000000000004</v>
      </c>
      <c r="E166" s="5">
        <v>0.16420000000000001</v>
      </c>
      <c r="F166" s="5">
        <v>0</v>
      </c>
      <c r="G166" s="5">
        <v>7</v>
      </c>
      <c r="H166" s="5">
        <v>7</v>
      </c>
    </row>
    <row r="167" spans="1:8" x14ac:dyDescent="0.3">
      <c r="A167" s="5">
        <v>165</v>
      </c>
      <c r="B167" s="5">
        <v>166</v>
      </c>
      <c r="C167" s="5">
        <v>0.19700000000000001</v>
      </c>
      <c r="D167" s="5">
        <v>0.55000000000000004</v>
      </c>
      <c r="E167" s="5">
        <v>0.16420000000000001</v>
      </c>
      <c r="F167" s="5">
        <v>0</v>
      </c>
      <c r="G167" s="5">
        <v>1</v>
      </c>
      <c r="H167" s="5">
        <v>1</v>
      </c>
    </row>
    <row r="168" spans="1:8" x14ac:dyDescent="0.3">
      <c r="A168" s="5">
        <v>166</v>
      </c>
      <c r="B168" s="5">
        <v>167</v>
      </c>
      <c r="C168" s="5">
        <v>0.16669999999999999</v>
      </c>
      <c r="D168" s="5">
        <v>0.74</v>
      </c>
      <c r="E168" s="5">
        <v>0.16420000000000001</v>
      </c>
      <c r="F168" s="5">
        <v>0</v>
      </c>
      <c r="G168" s="5">
        <v>5</v>
      </c>
      <c r="H168" s="5">
        <v>5</v>
      </c>
    </row>
    <row r="169" spans="1:8" x14ac:dyDescent="0.3">
      <c r="A169" s="5">
        <v>167</v>
      </c>
      <c r="B169" s="5">
        <v>168</v>
      </c>
      <c r="C169" s="5">
        <v>0.16669999999999999</v>
      </c>
      <c r="D169" s="5">
        <v>0.74</v>
      </c>
      <c r="E169" s="5">
        <v>0.16420000000000001</v>
      </c>
      <c r="F169" s="5">
        <v>0</v>
      </c>
      <c r="G169" s="5">
        <v>2</v>
      </c>
      <c r="H169" s="5">
        <v>2</v>
      </c>
    </row>
    <row r="170" spans="1:8" x14ac:dyDescent="0.3">
      <c r="A170" s="5">
        <v>168</v>
      </c>
      <c r="B170" s="5">
        <v>169</v>
      </c>
      <c r="C170" s="5">
        <v>0.18179999999999999</v>
      </c>
      <c r="D170" s="5">
        <v>0.74</v>
      </c>
      <c r="E170" s="5">
        <v>0.1045</v>
      </c>
      <c r="F170" s="5">
        <v>1</v>
      </c>
      <c r="G170" s="5">
        <v>8</v>
      </c>
      <c r="H170" s="5">
        <v>9</v>
      </c>
    </row>
    <row r="171" spans="1:8" x14ac:dyDescent="0.3">
      <c r="A171" s="5">
        <v>169</v>
      </c>
      <c r="B171" s="5">
        <v>170</v>
      </c>
      <c r="C171" s="5">
        <v>0.18179999999999999</v>
      </c>
      <c r="D171" s="5">
        <v>0.93</v>
      </c>
      <c r="E171" s="5">
        <v>0.1045</v>
      </c>
      <c r="F171" s="5">
        <v>0</v>
      </c>
      <c r="G171" s="5">
        <v>15</v>
      </c>
      <c r="H171" s="5">
        <v>15</v>
      </c>
    </row>
    <row r="172" spans="1:8" x14ac:dyDescent="0.3">
      <c r="A172" s="5">
        <v>170</v>
      </c>
      <c r="B172" s="5">
        <v>171</v>
      </c>
      <c r="C172" s="5">
        <v>0.18179999999999999</v>
      </c>
      <c r="D172" s="5">
        <v>0.93</v>
      </c>
      <c r="E172" s="5">
        <v>0.1045</v>
      </c>
      <c r="F172" s="5">
        <v>0</v>
      </c>
      <c r="G172" s="5">
        <v>20</v>
      </c>
      <c r="H172" s="5">
        <v>20</v>
      </c>
    </row>
    <row r="173" spans="1:8" x14ac:dyDescent="0.3">
      <c r="A173" s="5">
        <v>171</v>
      </c>
      <c r="B173" s="5">
        <v>172</v>
      </c>
      <c r="C173" s="5">
        <v>0.19700000000000001</v>
      </c>
      <c r="D173" s="5">
        <v>0.8</v>
      </c>
      <c r="E173" s="5">
        <v>0.16420000000000001</v>
      </c>
      <c r="F173" s="5">
        <v>5</v>
      </c>
      <c r="G173" s="5">
        <v>56</v>
      </c>
      <c r="H173" s="5">
        <v>61</v>
      </c>
    </row>
    <row r="174" spans="1:8" x14ac:dyDescent="0.3">
      <c r="A174" s="5">
        <v>172</v>
      </c>
      <c r="B174" s="5">
        <v>173</v>
      </c>
      <c r="C174" s="5">
        <v>0.18179999999999999</v>
      </c>
      <c r="D174" s="5">
        <v>0.69</v>
      </c>
      <c r="E174" s="5">
        <v>0.3881</v>
      </c>
      <c r="F174" s="5">
        <v>2</v>
      </c>
      <c r="G174" s="5">
        <v>60</v>
      </c>
      <c r="H174" s="5">
        <v>62</v>
      </c>
    </row>
    <row r="175" spans="1:8" x14ac:dyDescent="0.3">
      <c r="A175" s="5">
        <v>173</v>
      </c>
      <c r="B175" s="5">
        <v>174</v>
      </c>
      <c r="C175" s="5">
        <v>0.18179999999999999</v>
      </c>
      <c r="D175" s="5">
        <v>0.59</v>
      </c>
      <c r="E175" s="5">
        <v>0.35820000000000002</v>
      </c>
      <c r="F175" s="5">
        <v>8</v>
      </c>
      <c r="G175" s="5">
        <v>90</v>
      </c>
      <c r="H175" s="5">
        <v>98</v>
      </c>
    </row>
    <row r="176" spans="1:8" x14ac:dyDescent="0.3">
      <c r="A176" s="5">
        <v>174</v>
      </c>
      <c r="B176" s="5">
        <v>175</v>
      </c>
      <c r="C176" s="5">
        <v>0.18179999999999999</v>
      </c>
      <c r="D176" s="5">
        <v>0.44</v>
      </c>
      <c r="E176" s="5">
        <v>0.32840000000000003</v>
      </c>
      <c r="F176" s="5">
        <v>7</v>
      </c>
      <c r="G176" s="5">
        <v>95</v>
      </c>
      <c r="H176" s="5">
        <v>102</v>
      </c>
    </row>
    <row r="177" spans="1:8" x14ac:dyDescent="0.3">
      <c r="A177" s="5">
        <v>175</v>
      </c>
      <c r="B177" s="5">
        <v>176</v>
      </c>
      <c r="C177" s="5">
        <v>0.16669999999999999</v>
      </c>
      <c r="D177" s="5">
        <v>0.32</v>
      </c>
      <c r="E177" s="5">
        <v>0.49249999999999999</v>
      </c>
      <c r="F177" s="5">
        <v>12</v>
      </c>
      <c r="G177" s="5">
        <v>83</v>
      </c>
      <c r="H177" s="5">
        <v>95</v>
      </c>
    </row>
    <row r="178" spans="1:8" x14ac:dyDescent="0.3">
      <c r="A178" s="5">
        <v>176</v>
      </c>
      <c r="B178" s="5">
        <v>177</v>
      </c>
      <c r="C178" s="5">
        <v>0.16669999999999999</v>
      </c>
      <c r="D178" s="5">
        <v>0.32</v>
      </c>
      <c r="E178" s="5">
        <v>0.44779999999999998</v>
      </c>
      <c r="F178" s="5">
        <v>5</v>
      </c>
      <c r="G178" s="5">
        <v>69</v>
      </c>
      <c r="H178" s="5">
        <v>74</v>
      </c>
    </row>
    <row r="179" spans="1:8" x14ac:dyDescent="0.3">
      <c r="A179" s="5">
        <v>177</v>
      </c>
      <c r="B179" s="5">
        <v>178</v>
      </c>
      <c r="C179" s="5">
        <v>0.13639999999999999</v>
      </c>
      <c r="D179" s="5">
        <v>0.28999999999999998</v>
      </c>
      <c r="E179" s="5">
        <v>0.44779999999999998</v>
      </c>
      <c r="F179" s="5">
        <v>8</v>
      </c>
      <c r="G179" s="5">
        <v>68</v>
      </c>
      <c r="H179" s="5">
        <v>76</v>
      </c>
    </row>
    <row r="180" spans="1:8" x14ac:dyDescent="0.3">
      <c r="A180" s="5">
        <v>178</v>
      </c>
      <c r="B180" s="5">
        <v>179</v>
      </c>
      <c r="C180" s="5">
        <v>0.1212</v>
      </c>
      <c r="D180" s="5">
        <v>0.37</v>
      </c>
      <c r="E180" s="5">
        <v>0.55220000000000002</v>
      </c>
      <c r="F180" s="5">
        <v>5</v>
      </c>
      <c r="G180" s="5">
        <v>64</v>
      </c>
      <c r="H180" s="5">
        <v>69</v>
      </c>
    </row>
    <row r="181" spans="1:8" x14ac:dyDescent="0.3">
      <c r="A181" s="5">
        <v>179</v>
      </c>
      <c r="B181" s="5">
        <v>180</v>
      </c>
      <c r="C181" s="5">
        <v>0.1212</v>
      </c>
      <c r="D181" s="5">
        <v>0.39</v>
      </c>
      <c r="E181" s="5">
        <v>0.29849999999999999</v>
      </c>
      <c r="F181" s="5">
        <v>3</v>
      </c>
      <c r="G181" s="5">
        <v>52</v>
      </c>
      <c r="H181" s="5">
        <v>55</v>
      </c>
    </row>
    <row r="182" spans="1:8" x14ac:dyDescent="0.3">
      <c r="A182" s="5">
        <v>180</v>
      </c>
      <c r="B182" s="5">
        <v>181</v>
      </c>
      <c r="C182" s="5">
        <v>0.1212</v>
      </c>
      <c r="D182" s="5">
        <v>0.36</v>
      </c>
      <c r="E182" s="5">
        <v>0.25369999999999998</v>
      </c>
      <c r="F182" s="5">
        <v>4</v>
      </c>
      <c r="G182" s="5">
        <v>26</v>
      </c>
      <c r="H182" s="5">
        <v>30</v>
      </c>
    </row>
    <row r="183" spans="1:8" x14ac:dyDescent="0.3">
      <c r="A183" s="5">
        <v>181</v>
      </c>
      <c r="B183" s="5">
        <v>182</v>
      </c>
      <c r="C183" s="5">
        <v>0.1212</v>
      </c>
      <c r="D183" s="5">
        <v>0.36</v>
      </c>
      <c r="E183" s="5">
        <v>0.25369999999999998</v>
      </c>
      <c r="F183" s="5">
        <v>0</v>
      </c>
      <c r="G183" s="5">
        <v>28</v>
      </c>
      <c r="H183" s="5">
        <v>28</v>
      </c>
    </row>
    <row r="184" spans="1:8" x14ac:dyDescent="0.3">
      <c r="A184" s="5">
        <v>182</v>
      </c>
      <c r="B184" s="5">
        <v>183</v>
      </c>
      <c r="C184" s="5">
        <v>0.1061</v>
      </c>
      <c r="D184" s="5">
        <v>0.39</v>
      </c>
      <c r="E184" s="5">
        <v>0.35820000000000002</v>
      </c>
      <c r="F184" s="5">
        <v>2</v>
      </c>
      <c r="G184" s="5">
        <v>35</v>
      </c>
      <c r="H184" s="5">
        <v>37</v>
      </c>
    </row>
    <row r="185" spans="1:8" x14ac:dyDescent="0.3">
      <c r="A185" s="5">
        <v>183</v>
      </c>
      <c r="B185" s="5">
        <v>184</v>
      </c>
      <c r="C185" s="5">
        <v>0.1061</v>
      </c>
      <c r="D185" s="5">
        <v>0.36</v>
      </c>
      <c r="E185" s="5">
        <v>0.3881</v>
      </c>
      <c r="F185" s="5">
        <v>1</v>
      </c>
      <c r="G185" s="5">
        <v>33</v>
      </c>
      <c r="H185" s="5">
        <v>34</v>
      </c>
    </row>
    <row r="186" spans="1:8" x14ac:dyDescent="0.3">
      <c r="A186" s="5">
        <v>184</v>
      </c>
      <c r="B186" s="5">
        <v>185</v>
      </c>
      <c r="C186" s="5">
        <v>6.0600000000000001E-2</v>
      </c>
      <c r="D186" s="5">
        <v>0.39</v>
      </c>
      <c r="E186" s="5">
        <v>0.44779999999999998</v>
      </c>
      <c r="F186" s="5">
        <v>0</v>
      </c>
      <c r="G186" s="5">
        <v>22</v>
      </c>
      <c r="H186" s="5">
        <v>22</v>
      </c>
    </row>
    <row r="187" spans="1:8" x14ac:dyDescent="0.3">
      <c r="A187" s="5">
        <v>185</v>
      </c>
      <c r="B187" s="5">
        <v>186</v>
      </c>
      <c r="C187" s="5">
        <v>7.5800000000000006E-2</v>
      </c>
      <c r="D187" s="5">
        <v>0.42</v>
      </c>
      <c r="E187" s="5">
        <v>0.3881</v>
      </c>
      <c r="F187" s="5">
        <v>1</v>
      </c>
      <c r="G187" s="5">
        <v>24</v>
      </c>
      <c r="H187" s="5">
        <v>25</v>
      </c>
    </row>
    <row r="188" spans="1:8" x14ac:dyDescent="0.3">
      <c r="A188" s="5">
        <v>186</v>
      </c>
      <c r="B188" s="5">
        <v>187</v>
      </c>
      <c r="C188" s="5">
        <v>6.0600000000000001E-2</v>
      </c>
      <c r="D188" s="5">
        <v>0.42</v>
      </c>
      <c r="E188" s="5">
        <v>0.4627</v>
      </c>
      <c r="F188" s="5">
        <v>0</v>
      </c>
      <c r="G188" s="5">
        <v>12</v>
      </c>
      <c r="H188" s="5">
        <v>12</v>
      </c>
    </row>
    <row r="189" spans="1:8" x14ac:dyDescent="0.3">
      <c r="A189" s="5">
        <v>187</v>
      </c>
      <c r="B189" s="5">
        <v>188</v>
      </c>
      <c r="C189" s="5">
        <v>6.0600000000000001E-2</v>
      </c>
      <c r="D189" s="5">
        <v>0.46</v>
      </c>
      <c r="E189" s="5">
        <v>0.4627</v>
      </c>
      <c r="F189" s="5">
        <v>0</v>
      </c>
      <c r="G189" s="5">
        <v>11</v>
      </c>
      <c r="H189" s="5">
        <v>11</v>
      </c>
    </row>
    <row r="190" spans="1:8" x14ac:dyDescent="0.3">
      <c r="A190" s="5">
        <v>188</v>
      </c>
      <c r="B190" s="5">
        <v>189</v>
      </c>
      <c r="C190" s="5">
        <v>7.5800000000000006E-2</v>
      </c>
      <c r="D190" s="5">
        <v>0.46</v>
      </c>
      <c r="E190" s="5">
        <v>0.41789999999999999</v>
      </c>
      <c r="F190" s="5">
        <v>0</v>
      </c>
      <c r="G190" s="5">
        <v>4</v>
      </c>
      <c r="H190" s="5">
        <v>4</v>
      </c>
    </row>
    <row r="191" spans="1:8" x14ac:dyDescent="0.3">
      <c r="A191" s="5">
        <v>189</v>
      </c>
      <c r="B191" s="5">
        <v>190</v>
      </c>
      <c r="C191" s="5">
        <v>9.0899999999999995E-2</v>
      </c>
      <c r="D191" s="5">
        <v>0.53</v>
      </c>
      <c r="E191" s="5">
        <v>0.19400000000000001</v>
      </c>
      <c r="F191" s="5">
        <v>0</v>
      </c>
      <c r="G191" s="5">
        <v>1</v>
      </c>
      <c r="H191" s="5">
        <v>1</v>
      </c>
    </row>
    <row r="192" spans="1:8" x14ac:dyDescent="0.3">
      <c r="A192" s="5">
        <v>190</v>
      </c>
      <c r="B192" s="5">
        <v>191</v>
      </c>
      <c r="C192" s="5">
        <v>9.0899999999999995E-2</v>
      </c>
      <c r="D192" s="5">
        <v>0.53</v>
      </c>
      <c r="E192" s="5">
        <v>0.19400000000000001</v>
      </c>
      <c r="F192" s="5">
        <v>0</v>
      </c>
      <c r="G192" s="5">
        <v>1</v>
      </c>
      <c r="H192" s="5">
        <v>1</v>
      </c>
    </row>
    <row r="193" spans="1:8" x14ac:dyDescent="0.3">
      <c r="A193" s="5">
        <v>191</v>
      </c>
      <c r="B193" s="5">
        <v>192</v>
      </c>
      <c r="C193" s="5">
        <v>9.0899999999999995E-2</v>
      </c>
      <c r="D193" s="5">
        <v>0.49</v>
      </c>
      <c r="E193" s="5">
        <v>0.28360000000000002</v>
      </c>
      <c r="F193" s="5">
        <v>0</v>
      </c>
      <c r="G193" s="5">
        <v>1</v>
      </c>
      <c r="H193" s="5">
        <v>1</v>
      </c>
    </row>
    <row r="194" spans="1:8" x14ac:dyDescent="0.3">
      <c r="A194" s="5">
        <v>192</v>
      </c>
      <c r="B194" s="5">
        <v>193</v>
      </c>
      <c r="C194" s="5">
        <v>9.0899999999999995E-2</v>
      </c>
      <c r="D194" s="5">
        <v>0.53</v>
      </c>
      <c r="E194" s="5">
        <v>0.19400000000000001</v>
      </c>
      <c r="F194" s="5">
        <v>1</v>
      </c>
      <c r="G194" s="5">
        <v>5</v>
      </c>
      <c r="H194" s="5">
        <v>6</v>
      </c>
    </row>
    <row r="195" spans="1:8" x14ac:dyDescent="0.3">
      <c r="A195" s="5">
        <v>193</v>
      </c>
      <c r="B195" s="5">
        <v>194</v>
      </c>
      <c r="C195" s="5">
        <v>9.0899999999999995E-2</v>
      </c>
      <c r="D195" s="5">
        <v>0.49</v>
      </c>
      <c r="E195" s="5">
        <v>0.28360000000000002</v>
      </c>
      <c r="F195" s="5">
        <v>0</v>
      </c>
      <c r="G195" s="5">
        <v>10</v>
      </c>
      <c r="H195" s="5">
        <v>10</v>
      </c>
    </row>
    <row r="196" spans="1:8" x14ac:dyDescent="0.3">
      <c r="A196" s="5">
        <v>194</v>
      </c>
      <c r="B196" s="5">
        <v>195</v>
      </c>
      <c r="C196" s="5">
        <v>7.5800000000000006E-2</v>
      </c>
      <c r="D196" s="5">
        <v>0.46</v>
      </c>
      <c r="E196" s="5">
        <v>0.52239999999999998</v>
      </c>
      <c r="F196" s="5">
        <v>0</v>
      </c>
      <c r="G196" s="5">
        <v>19</v>
      </c>
      <c r="H196" s="5">
        <v>19</v>
      </c>
    </row>
    <row r="197" spans="1:8" x14ac:dyDescent="0.3">
      <c r="A197" s="5">
        <v>195</v>
      </c>
      <c r="B197" s="5">
        <v>196</v>
      </c>
      <c r="C197" s="5">
        <v>0.1061</v>
      </c>
      <c r="D197" s="5">
        <v>0.43</v>
      </c>
      <c r="E197" s="5">
        <v>0.3881</v>
      </c>
      <c r="F197" s="5">
        <v>0</v>
      </c>
      <c r="G197" s="5">
        <v>49</v>
      </c>
      <c r="H197" s="5">
        <v>49</v>
      </c>
    </row>
    <row r="198" spans="1:8" x14ac:dyDescent="0.3">
      <c r="A198" s="5">
        <v>196</v>
      </c>
      <c r="B198" s="5">
        <v>197</v>
      </c>
      <c r="C198" s="5">
        <v>0.1212</v>
      </c>
      <c r="D198" s="5">
        <v>0.4</v>
      </c>
      <c r="E198" s="5">
        <v>0.52239999999999998</v>
      </c>
      <c r="F198" s="5">
        <v>2</v>
      </c>
      <c r="G198" s="5">
        <v>47</v>
      </c>
      <c r="H198" s="5">
        <v>49</v>
      </c>
    </row>
    <row r="199" spans="1:8" x14ac:dyDescent="0.3">
      <c r="A199" s="5">
        <v>197</v>
      </c>
      <c r="B199" s="5">
        <v>198</v>
      </c>
      <c r="C199" s="5">
        <v>0.13639999999999999</v>
      </c>
      <c r="D199" s="5">
        <v>0.37</v>
      </c>
      <c r="E199" s="5">
        <v>0.44779999999999998</v>
      </c>
      <c r="F199" s="5">
        <v>4</v>
      </c>
      <c r="G199" s="5">
        <v>79</v>
      </c>
      <c r="H199" s="5">
        <v>83</v>
      </c>
    </row>
    <row r="200" spans="1:8" x14ac:dyDescent="0.3">
      <c r="A200" s="5">
        <v>198</v>
      </c>
      <c r="B200" s="5">
        <v>199</v>
      </c>
      <c r="C200" s="5">
        <v>0.16669999999999999</v>
      </c>
      <c r="D200" s="5">
        <v>0.34</v>
      </c>
      <c r="E200" s="5">
        <v>0.44779999999999998</v>
      </c>
      <c r="F200" s="5">
        <v>6</v>
      </c>
      <c r="G200" s="5">
        <v>69</v>
      </c>
      <c r="H200" s="5">
        <v>75</v>
      </c>
    </row>
    <row r="201" spans="1:8" x14ac:dyDescent="0.3">
      <c r="A201" s="5">
        <v>199</v>
      </c>
      <c r="B201" s="5">
        <v>200</v>
      </c>
      <c r="C201" s="5">
        <v>0.18179999999999999</v>
      </c>
      <c r="D201" s="5">
        <v>0.32</v>
      </c>
      <c r="E201" s="5">
        <v>0.4627</v>
      </c>
      <c r="F201" s="5">
        <v>8</v>
      </c>
      <c r="G201" s="5">
        <v>64</v>
      </c>
      <c r="H201" s="5">
        <v>72</v>
      </c>
    </row>
    <row r="202" spans="1:8" x14ac:dyDescent="0.3">
      <c r="A202" s="5">
        <v>200</v>
      </c>
      <c r="B202" s="5">
        <v>201</v>
      </c>
      <c r="C202" s="5">
        <v>0.19700000000000001</v>
      </c>
      <c r="D202" s="5">
        <v>0.35</v>
      </c>
      <c r="E202" s="5">
        <v>0.35820000000000002</v>
      </c>
      <c r="F202" s="5">
        <v>5</v>
      </c>
      <c r="G202" s="5">
        <v>77</v>
      </c>
      <c r="H202" s="5">
        <v>82</v>
      </c>
    </row>
    <row r="203" spans="1:8" x14ac:dyDescent="0.3">
      <c r="A203" s="5">
        <v>201</v>
      </c>
      <c r="B203" s="5">
        <v>202</v>
      </c>
      <c r="C203" s="5">
        <v>0.16669999999999999</v>
      </c>
      <c r="D203" s="5">
        <v>0.34</v>
      </c>
      <c r="E203" s="5">
        <v>0.44779999999999998</v>
      </c>
      <c r="F203" s="5">
        <v>13</v>
      </c>
      <c r="G203" s="5">
        <v>79</v>
      </c>
      <c r="H203" s="5">
        <v>92</v>
      </c>
    </row>
    <row r="204" spans="1:8" x14ac:dyDescent="0.3">
      <c r="A204" s="5">
        <v>202</v>
      </c>
      <c r="B204" s="5">
        <v>203</v>
      </c>
      <c r="C204" s="5">
        <v>0.1515</v>
      </c>
      <c r="D204" s="5">
        <v>0.37</v>
      </c>
      <c r="E204" s="5">
        <v>0.3881</v>
      </c>
      <c r="F204" s="5">
        <v>3</v>
      </c>
      <c r="G204" s="5">
        <v>59</v>
      </c>
      <c r="H204" s="5">
        <v>62</v>
      </c>
    </row>
    <row r="205" spans="1:8" x14ac:dyDescent="0.3">
      <c r="A205" s="5">
        <v>203</v>
      </c>
      <c r="B205" s="5">
        <v>204</v>
      </c>
      <c r="C205" s="5">
        <v>0.13639999999999999</v>
      </c>
      <c r="D205" s="5">
        <v>0.4</v>
      </c>
      <c r="E205" s="5">
        <v>0.32840000000000003</v>
      </c>
      <c r="F205" s="5">
        <v>4</v>
      </c>
      <c r="G205" s="5">
        <v>44</v>
      </c>
      <c r="H205" s="5">
        <v>48</v>
      </c>
    </row>
    <row r="206" spans="1:8" x14ac:dyDescent="0.3">
      <c r="A206" s="5">
        <v>204</v>
      </c>
      <c r="B206" s="5">
        <v>205</v>
      </c>
      <c r="C206" s="5">
        <v>0.13639999999999999</v>
      </c>
      <c r="D206" s="5">
        <v>0.43</v>
      </c>
      <c r="E206" s="5">
        <v>0.32840000000000003</v>
      </c>
      <c r="F206" s="5">
        <v>1</v>
      </c>
      <c r="G206" s="5">
        <v>40</v>
      </c>
      <c r="H206" s="5">
        <v>41</v>
      </c>
    </row>
    <row r="207" spans="1:8" x14ac:dyDescent="0.3">
      <c r="A207" s="5">
        <v>205</v>
      </c>
      <c r="B207" s="5">
        <v>206</v>
      </c>
      <c r="C207" s="5">
        <v>0.1212</v>
      </c>
      <c r="D207" s="5">
        <v>0.46</v>
      </c>
      <c r="E207" s="5">
        <v>0.25369999999999998</v>
      </c>
      <c r="F207" s="5">
        <v>0</v>
      </c>
      <c r="G207" s="5">
        <v>38</v>
      </c>
      <c r="H207" s="5">
        <v>38</v>
      </c>
    </row>
    <row r="208" spans="1:8" x14ac:dyDescent="0.3">
      <c r="A208" s="5">
        <v>206</v>
      </c>
      <c r="B208" s="5">
        <v>207</v>
      </c>
      <c r="C208" s="5">
        <v>0.1061</v>
      </c>
      <c r="D208" s="5">
        <v>0.46</v>
      </c>
      <c r="E208" s="5">
        <v>0.41789999999999999</v>
      </c>
      <c r="F208" s="5">
        <v>1</v>
      </c>
      <c r="G208" s="5">
        <v>19</v>
      </c>
      <c r="H208" s="5">
        <v>20</v>
      </c>
    </row>
    <row r="209" spans="1:8" x14ac:dyDescent="0.3">
      <c r="A209" s="5">
        <v>207</v>
      </c>
      <c r="B209" s="5">
        <v>208</v>
      </c>
      <c r="C209" s="5">
        <v>0.1212</v>
      </c>
      <c r="D209" s="5">
        <v>0.46</v>
      </c>
      <c r="E209" s="5">
        <v>0.29849999999999999</v>
      </c>
      <c r="F209" s="5">
        <v>5</v>
      </c>
      <c r="G209" s="5">
        <v>10</v>
      </c>
      <c r="H209" s="5">
        <v>15</v>
      </c>
    </row>
    <row r="210" spans="1:8" x14ac:dyDescent="0.3">
      <c r="A210" s="5">
        <v>208</v>
      </c>
      <c r="B210" s="5">
        <v>209</v>
      </c>
      <c r="C210" s="5">
        <v>0.13639999999999999</v>
      </c>
      <c r="D210" s="5">
        <v>0.5</v>
      </c>
      <c r="E210" s="5">
        <v>0.19400000000000001</v>
      </c>
      <c r="F210" s="5">
        <v>0</v>
      </c>
      <c r="G210" s="5">
        <v>6</v>
      </c>
      <c r="H210" s="5">
        <v>6</v>
      </c>
    </row>
    <row r="211" spans="1:8" x14ac:dyDescent="0.3">
      <c r="A211" s="5">
        <v>209</v>
      </c>
      <c r="B211" s="5">
        <v>210</v>
      </c>
      <c r="C211" s="5">
        <v>0.1212</v>
      </c>
      <c r="D211" s="5">
        <v>0.5</v>
      </c>
      <c r="E211" s="5">
        <v>0.28360000000000002</v>
      </c>
      <c r="F211" s="5">
        <v>2</v>
      </c>
      <c r="G211" s="5">
        <v>3</v>
      </c>
      <c r="H211" s="5">
        <v>5</v>
      </c>
    </row>
    <row r="212" spans="1:8" x14ac:dyDescent="0.3">
      <c r="A212" s="5">
        <v>210</v>
      </c>
      <c r="B212" s="5">
        <v>211</v>
      </c>
      <c r="C212" s="5">
        <v>0.1212</v>
      </c>
      <c r="D212" s="5">
        <v>0.5</v>
      </c>
      <c r="E212" s="5">
        <v>0.28360000000000002</v>
      </c>
      <c r="F212" s="5">
        <v>1</v>
      </c>
      <c r="G212" s="5">
        <v>0</v>
      </c>
      <c r="H212" s="5">
        <v>1</v>
      </c>
    </row>
    <row r="213" spans="1:8" x14ac:dyDescent="0.3">
      <c r="A213" s="5">
        <v>211</v>
      </c>
      <c r="B213" s="5">
        <v>212</v>
      </c>
      <c r="C213" s="5">
        <v>0.1212</v>
      </c>
      <c r="D213" s="5">
        <v>0.5</v>
      </c>
      <c r="E213" s="5">
        <v>0.22389999999999999</v>
      </c>
      <c r="F213" s="5">
        <v>0</v>
      </c>
      <c r="G213" s="5">
        <v>3</v>
      </c>
      <c r="H213" s="5">
        <v>3</v>
      </c>
    </row>
    <row r="214" spans="1:8" x14ac:dyDescent="0.3">
      <c r="A214" s="5">
        <v>212</v>
      </c>
      <c r="B214" s="5">
        <v>213</v>
      </c>
      <c r="C214" s="5">
        <v>0.1212</v>
      </c>
      <c r="D214" s="5">
        <v>0.5</v>
      </c>
      <c r="E214" s="5">
        <v>0.22389999999999999</v>
      </c>
      <c r="F214" s="5">
        <v>0</v>
      </c>
      <c r="G214" s="5">
        <v>1</v>
      </c>
      <c r="H214" s="5">
        <v>1</v>
      </c>
    </row>
    <row r="215" spans="1:8" x14ac:dyDescent="0.3">
      <c r="A215" s="5">
        <v>213</v>
      </c>
      <c r="B215" s="5">
        <v>214</v>
      </c>
      <c r="C215" s="5">
        <v>0.1212</v>
      </c>
      <c r="D215" s="5">
        <v>0.54</v>
      </c>
      <c r="E215" s="5">
        <v>0.1343</v>
      </c>
      <c r="F215" s="5">
        <v>1</v>
      </c>
      <c r="G215" s="5">
        <v>2</v>
      </c>
      <c r="H215" s="5">
        <v>3</v>
      </c>
    </row>
    <row r="216" spans="1:8" x14ac:dyDescent="0.3">
      <c r="A216" s="5">
        <v>214</v>
      </c>
      <c r="B216" s="5">
        <v>215</v>
      </c>
      <c r="C216" s="5">
        <v>0.1061</v>
      </c>
      <c r="D216" s="5">
        <v>0.54</v>
      </c>
      <c r="E216" s="5">
        <v>0.25369999999999998</v>
      </c>
      <c r="F216" s="5">
        <v>0</v>
      </c>
      <c r="G216" s="5">
        <v>3</v>
      </c>
      <c r="H216" s="5">
        <v>3</v>
      </c>
    </row>
    <row r="217" spans="1:8" x14ac:dyDescent="0.3">
      <c r="A217" s="5">
        <v>215</v>
      </c>
      <c r="B217" s="5">
        <v>216</v>
      </c>
      <c r="C217" s="5">
        <v>0.1212</v>
      </c>
      <c r="D217" s="5">
        <v>0.5</v>
      </c>
      <c r="E217" s="5">
        <v>0.28360000000000002</v>
      </c>
      <c r="F217" s="5">
        <v>0</v>
      </c>
      <c r="G217" s="5">
        <v>31</v>
      </c>
      <c r="H217" s="5">
        <v>31</v>
      </c>
    </row>
    <row r="218" spans="1:8" x14ac:dyDescent="0.3">
      <c r="A218" s="5">
        <v>216</v>
      </c>
      <c r="B218" s="5">
        <v>217</v>
      </c>
      <c r="C218" s="5">
        <v>0.1212</v>
      </c>
      <c r="D218" s="5">
        <v>0.5</v>
      </c>
      <c r="E218" s="5">
        <v>0.22389999999999999</v>
      </c>
      <c r="F218" s="5">
        <v>2</v>
      </c>
      <c r="G218" s="5">
        <v>75</v>
      </c>
      <c r="H218" s="5">
        <v>77</v>
      </c>
    </row>
    <row r="219" spans="1:8" x14ac:dyDescent="0.3">
      <c r="A219" s="5">
        <v>217</v>
      </c>
      <c r="B219" s="5">
        <v>218</v>
      </c>
      <c r="C219" s="5">
        <v>0.1212</v>
      </c>
      <c r="D219" s="5">
        <v>0.5</v>
      </c>
      <c r="E219" s="5">
        <v>0.28360000000000002</v>
      </c>
      <c r="F219" s="5">
        <v>4</v>
      </c>
      <c r="G219" s="5">
        <v>184</v>
      </c>
      <c r="H219" s="5">
        <v>188</v>
      </c>
    </row>
    <row r="220" spans="1:8" x14ac:dyDescent="0.3">
      <c r="A220" s="5">
        <v>218</v>
      </c>
      <c r="B220" s="5">
        <v>219</v>
      </c>
      <c r="C220" s="5">
        <v>0.1212</v>
      </c>
      <c r="D220" s="5">
        <v>0.5</v>
      </c>
      <c r="E220" s="5">
        <v>0.25369999999999998</v>
      </c>
      <c r="F220" s="5">
        <v>2</v>
      </c>
      <c r="G220" s="5">
        <v>92</v>
      </c>
      <c r="H220" s="5">
        <v>94</v>
      </c>
    </row>
    <row r="221" spans="1:8" x14ac:dyDescent="0.3">
      <c r="A221" s="5">
        <v>219</v>
      </c>
      <c r="B221" s="5">
        <v>220</v>
      </c>
      <c r="C221" s="5">
        <v>0.1212</v>
      </c>
      <c r="D221" s="5">
        <v>0.5</v>
      </c>
      <c r="E221" s="5">
        <v>0.29849999999999999</v>
      </c>
      <c r="F221" s="5">
        <v>0</v>
      </c>
      <c r="G221" s="5">
        <v>31</v>
      </c>
      <c r="H221" s="5">
        <v>31</v>
      </c>
    </row>
    <row r="222" spans="1:8" x14ac:dyDescent="0.3">
      <c r="A222" s="5">
        <v>220</v>
      </c>
      <c r="B222" s="5">
        <v>221</v>
      </c>
      <c r="C222" s="5">
        <v>0.13639999999999999</v>
      </c>
      <c r="D222" s="5">
        <v>0.47</v>
      </c>
      <c r="E222" s="5">
        <v>0.28360000000000002</v>
      </c>
      <c r="F222" s="5">
        <v>2</v>
      </c>
      <c r="G222" s="5">
        <v>28</v>
      </c>
      <c r="H222" s="5">
        <v>30</v>
      </c>
    </row>
    <row r="223" spans="1:8" x14ac:dyDescent="0.3">
      <c r="A223" s="5">
        <v>221</v>
      </c>
      <c r="B223" s="5">
        <v>222</v>
      </c>
      <c r="C223" s="5">
        <v>0.18179999999999999</v>
      </c>
      <c r="D223" s="5">
        <v>0.4</v>
      </c>
      <c r="E223" s="5">
        <v>0.28360000000000002</v>
      </c>
      <c r="F223" s="5">
        <v>5</v>
      </c>
      <c r="G223" s="5">
        <v>47</v>
      </c>
      <c r="H223" s="5">
        <v>52</v>
      </c>
    </row>
    <row r="224" spans="1:8" x14ac:dyDescent="0.3">
      <c r="A224" s="5">
        <v>222</v>
      </c>
      <c r="B224" s="5">
        <v>223</v>
      </c>
      <c r="C224" s="5">
        <v>0.18179999999999999</v>
      </c>
      <c r="D224" s="5">
        <v>0.4</v>
      </c>
      <c r="E224" s="5">
        <v>0.28360000000000002</v>
      </c>
      <c r="F224" s="5">
        <v>4</v>
      </c>
      <c r="G224" s="5">
        <v>50</v>
      </c>
      <c r="H224" s="5">
        <v>54</v>
      </c>
    </row>
    <row r="225" spans="1:8" x14ac:dyDescent="0.3">
      <c r="A225" s="5">
        <v>223</v>
      </c>
      <c r="B225" s="5">
        <v>224</v>
      </c>
      <c r="C225" s="5">
        <v>0.19700000000000001</v>
      </c>
      <c r="D225" s="5">
        <v>0.4</v>
      </c>
      <c r="E225" s="5">
        <v>0.22389999999999999</v>
      </c>
      <c r="F225" s="5">
        <v>0</v>
      </c>
      <c r="G225" s="5">
        <v>47</v>
      </c>
      <c r="H225" s="5">
        <v>47</v>
      </c>
    </row>
    <row r="226" spans="1:8" x14ac:dyDescent="0.3">
      <c r="A226" s="5">
        <v>224</v>
      </c>
      <c r="B226" s="5">
        <v>225</v>
      </c>
      <c r="C226" s="5">
        <v>0.19700000000000001</v>
      </c>
      <c r="D226" s="5">
        <v>0.4</v>
      </c>
      <c r="E226" s="5">
        <v>0.22389999999999999</v>
      </c>
      <c r="F226" s="5">
        <v>2</v>
      </c>
      <c r="G226" s="5">
        <v>43</v>
      </c>
      <c r="H226" s="5">
        <v>45</v>
      </c>
    </row>
    <row r="227" spans="1:8" x14ac:dyDescent="0.3">
      <c r="A227" s="5">
        <v>225</v>
      </c>
      <c r="B227" s="5">
        <v>226</v>
      </c>
      <c r="C227" s="5">
        <v>0.21210000000000001</v>
      </c>
      <c r="D227" s="5">
        <v>0.4</v>
      </c>
      <c r="E227" s="5">
        <v>0.1343</v>
      </c>
      <c r="F227" s="5">
        <v>4</v>
      </c>
      <c r="G227" s="5">
        <v>70</v>
      </c>
      <c r="H227" s="5">
        <v>74</v>
      </c>
    </row>
    <row r="228" spans="1:8" x14ac:dyDescent="0.3">
      <c r="A228" s="5">
        <v>226</v>
      </c>
      <c r="B228" s="5">
        <v>227</v>
      </c>
      <c r="C228" s="5">
        <v>0.2273</v>
      </c>
      <c r="D228" s="5">
        <v>0.4</v>
      </c>
      <c r="E228" s="5">
        <v>0.1045</v>
      </c>
      <c r="F228" s="5">
        <v>4</v>
      </c>
      <c r="G228" s="5">
        <v>174</v>
      </c>
      <c r="H228" s="5">
        <v>178</v>
      </c>
    </row>
    <row r="229" spans="1:8" x14ac:dyDescent="0.3">
      <c r="A229" s="5">
        <v>227</v>
      </c>
      <c r="B229" s="5">
        <v>228</v>
      </c>
      <c r="C229" s="5">
        <v>0.19700000000000001</v>
      </c>
      <c r="D229" s="5">
        <v>0.4</v>
      </c>
      <c r="E229" s="5">
        <v>0.22389999999999999</v>
      </c>
      <c r="F229" s="5">
        <v>1</v>
      </c>
      <c r="G229" s="5">
        <v>154</v>
      </c>
      <c r="H229" s="5">
        <v>155</v>
      </c>
    </row>
    <row r="230" spans="1:8" x14ac:dyDescent="0.3">
      <c r="A230" s="5">
        <v>228</v>
      </c>
      <c r="B230" s="5">
        <v>229</v>
      </c>
      <c r="C230" s="5">
        <v>0.16669999999999999</v>
      </c>
      <c r="D230" s="5">
        <v>0.47</v>
      </c>
      <c r="E230" s="5">
        <v>0.16420000000000001</v>
      </c>
      <c r="F230" s="5">
        <v>3</v>
      </c>
      <c r="G230" s="5">
        <v>92</v>
      </c>
      <c r="H230" s="5">
        <v>95</v>
      </c>
    </row>
    <row r="231" spans="1:8" x14ac:dyDescent="0.3">
      <c r="A231" s="5">
        <v>229</v>
      </c>
      <c r="B231" s="5">
        <v>230</v>
      </c>
      <c r="C231" s="5">
        <v>0.16669999999999999</v>
      </c>
      <c r="D231" s="5">
        <v>0.5</v>
      </c>
      <c r="E231" s="5">
        <v>0.16420000000000001</v>
      </c>
      <c r="F231" s="5">
        <v>1</v>
      </c>
      <c r="G231" s="5">
        <v>73</v>
      </c>
      <c r="H231" s="5">
        <v>74</v>
      </c>
    </row>
    <row r="232" spans="1:8" x14ac:dyDescent="0.3">
      <c r="A232" s="5">
        <v>230</v>
      </c>
      <c r="B232" s="5">
        <v>231</v>
      </c>
      <c r="C232" s="5">
        <v>0.13639999999999999</v>
      </c>
      <c r="D232" s="5">
        <v>0.59</v>
      </c>
      <c r="E232" s="5">
        <v>0.19400000000000001</v>
      </c>
      <c r="F232" s="5">
        <v>1</v>
      </c>
      <c r="G232" s="5">
        <v>37</v>
      </c>
      <c r="H232" s="5">
        <v>38</v>
      </c>
    </row>
    <row r="233" spans="1:8" x14ac:dyDescent="0.3">
      <c r="A233" s="5">
        <v>231</v>
      </c>
      <c r="B233" s="5">
        <v>232</v>
      </c>
      <c r="C233" s="5">
        <v>0.1515</v>
      </c>
      <c r="D233" s="5">
        <v>0.59</v>
      </c>
      <c r="E233" s="5">
        <v>0.16420000000000001</v>
      </c>
      <c r="F233" s="5">
        <v>2</v>
      </c>
      <c r="G233" s="5">
        <v>22</v>
      </c>
      <c r="H233" s="5">
        <v>24</v>
      </c>
    </row>
    <row r="234" spans="1:8" x14ac:dyDescent="0.3">
      <c r="A234" s="5">
        <v>232</v>
      </c>
      <c r="B234" s="5">
        <v>233</v>
      </c>
      <c r="C234" s="5">
        <v>0.1515</v>
      </c>
      <c r="D234" s="5">
        <v>0.59</v>
      </c>
      <c r="E234" s="5">
        <v>0.16420000000000001</v>
      </c>
      <c r="F234" s="5">
        <v>0</v>
      </c>
      <c r="G234" s="5">
        <v>18</v>
      </c>
      <c r="H234" s="5">
        <v>18</v>
      </c>
    </row>
    <row r="235" spans="1:8" x14ac:dyDescent="0.3">
      <c r="A235" s="5">
        <v>233</v>
      </c>
      <c r="B235" s="5">
        <v>234</v>
      </c>
      <c r="C235" s="5">
        <v>0.16669999999999999</v>
      </c>
      <c r="D235" s="5">
        <v>0.59</v>
      </c>
      <c r="E235" s="5">
        <v>0.1045</v>
      </c>
      <c r="F235" s="5">
        <v>2</v>
      </c>
      <c r="G235" s="5">
        <v>10</v>
      </c>
      <c r="H235" s="5">
        <v>12</v>
      </c>
    </row>
    <row r="236" spans="1:8" x14ac:dyDescent="0.3">
      <c r="A236" s="5">
        <v>234</v>
      </c>
      <c r="B236" s="5">
        <v>235</v>
      </c>
      <c r="C236" s="5">
        <v>0.1515</v>
      </c>
      <c r="D236" s="5">
        <v>0.59</v>
      </c>
      <c r="E236" s="5">
        <v>0.16420000000000001</v>
      </c>
      <c r="F236" s="5">
        <v>0</v>
      </c>
      <c r="G236" s="5">
        <v>3</v>
      </c>
      <c r="H236" s="5">
        <v>3</v>
      </c>
    </row>
    <row r="237" spans="1:8" x14ac:dyDescent="0.3">
      <c r="A237" s="5">
        <v>235</v>
      </c>
      <c r="B237" s="5">
        <v>236</v>
      </c>
      <c r="C237" s="5">
        <v>0.1515</v>
      </c>
      <c r="D237" s="5">
        <v>0.55000000000000004</v>
      </c>
      <c r="E237" s="5">
        <v>0.19400000000000001</v>
      </c>
      <c r="F237" s="5">
        <v>0</v>
      </c>
      <c r="G237" s="5">
        <v>3</v>
      </c>
      <c r="H237" s="5">
        <v>3</v>
      </c>
    </row>
    <row r="238" spans="1:8" x14ac:dyDescent="0.3">
      <c r="A238" s="5">
        <v>236</v>
      </c>
      <c r="B238" s="5">
        <v>237</v>
      </c>
      <c r="C238" s="5">
        <v>0.18179999999999999</v>
      </c>
      <c r="D238" s="5">
        <v>0.55000000000000004</v>
      </c>
      <c r="E238" s="5">
        <v>0.1343</v>
      </c>
      <c r="F238" s="5">
        <v>0</v>
      </c>
      <c r="G238" s="5">
        <v>6</v>
      </c>
      <c r="H238" s="5">
        <v>6</v>
      </c>
    </row>
    <row r="239" spans="1:8" x14ac:dyDescent="0.3">
      <c r="A239" s="5">
        <v>237</v>
      </c>
      <c r="B239" s="5">
        <v>238</v>
      </c>
      <c r="C239" s="5">
        <v>0.18179999999999999</v>
      </c>
      <c r="D239" s="5">
        <v>0.55000000000000004</v>
      </c>
      <c r="E239" s="5">
        <v>0.1343</v>
      </c>
      <c r="F239" s="5">
        <v>0</v>
      </c>
      <c r="G239" s="5">
        <v>27</v>
      </c>
      <c r="H239" s="5">
        <v>27</v>
      </c>
    </row>
    <row r="240" spans="1:8" x14ac:dyDescent="0.3">
      <c r="A240" s="5">
        <v>238</v>
      </c>
      <c r="B240" s="5">
        <v>239</v>
      </c>
      <c r="C240" s="5">
        <v>0.2273</v>
      </c>
      <c r="D240" s="5">
        <v>0.55000000000000004</v>
      </c>
      <c r="E240" s="5">
        <v>0</v>
      </c>
      <c r="F240" s="5">
        <v>2</v>
      </c>
      <c r="G240" s="5">
        <v>97</v>
      </c>
      <c r="H240" s="5">
        <v>99</v>
      </c>
    </row>
    <row r="241" spans="1:8" x14ac:dyDescent="0.3">
      <c r="A241" s="5">
        <v>239</v>
      </c>
      <c r="B241" s="5">
        <v>240</v>
      </c>
      <c r="C241" s="5">
        <v>0.21210000000000001</v>
      </c>
      <c r="D241" s="5">
        <v>0.51</v>
      </c>
      <c r="E241" s="5">
        <v>8.9599999999999999E-2</v>
      </c>
      <c r="F241" s="5">
        <v>3</v>
      </c>
      <c r="G241" s="5">
        <v>214</v>
      </c>
      <c r="H241" s="5">
        <v>217</v>
      </c>
    </row>
    <row r="242" spans="1:8" x14ac:dyDescent="0.3">
      <c r="A242" s="5">
        <v>240</v>
      </c>
      <c r="B242" s="5">
        <v>241</v>
      </c>
      <c r="C242" s="5">
        <v>0.19700000000000001</v>
      </c>
      <c r="D242" s="5">
        <v>0.51</v>
      </c>
      <c r="E242" s="5">
        <v>0.16420000000000001</v>
      </c>
      <c r="F242" s="5">
        <v>3</v>
      </c>
      <c r="G242" s="5">
        <v>127</v>
      </c>
      <c r="H242" s="5">
        <v>130</v>
      </c>
    </row>
    <row r="243" spans="1:8" x14ac:dyDescent="0.3">
      <c r="A243" s="5">
        <v>241</v>
      </c>
      <c r="B243" s="5">
        <v>242</v>
      </c>
      <c r="C243" s="5">
        <v>0.21210000000000001</v>
      </c>
      <c r="D243" s="5">
        <v>0.51</v>
      </c>
      <c r="E243" s="5">
        <v>0.16420000000000001</v>
      </c>
      <c r="F243" s="5">
        <v>3</v>
      </c>
      <c r="G243" s="5">
        <v>51</v>
      </c>
      <c r="H243" s="5">
        <v>54</v>
      </c>
    </row>
    <row r="244" spans="1:8" x14ac:dyDescent="0.3">
      <c r="A244" s="5">
        <v>242</v>
      </c>
      <c r="B244" s="5">
        <v>243</v>
      </c>
      <c r="C244" s="5">
        <v>0.21210000000000001</v>
      </c>
      <c r="D244" s="5">
        <v>0.47</v>
      </c>
      <c r="E244" s="5">
        <v>0.1343</v>
      </c>
      <c r="F244" s="5">
        <v>4</v>
      </c>
      <c r="G244" s="5">
        <v>31</v>
      </c>
      <c r="H244" s="5">
        <v>35</v>
      </c>
    </row>
    <row r="245" spans="1:8" x14ac:dyDescent="0.3">
      <c r="A245" s="5">
        <v>243</v>
      </c>
      <c r="B245" s="5">
        <v>244</v>
      </c>
      <c r="C245" s="5">
        <v>0.2273</v>
      </c>
      <c r="D245" s="5">
        <v>0.51</v>
      </c>
      <c r="E245" s="5">
        <v>0.1045</v>
      </c>
      <c r="F245" s="5">
        <v>2</v>
      </c>
      <c r="G245" s="5">
        <v>55</v>
      </c>
      <c r="H245" s="5">
        <v>57</v>
      </c>
    </row>
    <row r="246" spans="1:8" x14ac:dyDescent="0.3">
      <c r="A246" s="5">
        <v>244</v>
      </c>
      <c r="B246" s="5">
        <v>245</v>
      </c>
      <c r="C246" s="5">
        <v>0.2273</v>
      </c>
      <c r="D246" s="5">
        <v>0.59</v>
      </c>
      <c r="E246" s="5">
        <v>8.9599999999999999E-2</v>
      </c>
      <c r="F246" s="5">
        <v>6</v>
      </c>
      <c r="G246" s="5">
        <v>46</v>
      </c>
      <c r="H246" s="5">
        <v>52</v>
      </c>
    </row>
    <row r="247" spans="1:8" x14ac:dyDescent="0.3">
      <c r="A247" s="5">
        <v>245</v>
      </c>
      <c r="B247" s="5">
        <v>246</v>
      </c>
      <c r="C247" s="5">
        <v>0.2273</v>
      </c>
      <c r="D247" s="5">
        <v>0.59</v>
      </c>
      <c r="E247" s="5">
        <v>8.9599999999999999E-2</v>
      </c>
      <c r="F247" s="5">
        <v>3</v>
      </c>
      <c r="G247" s="5">
        <v>60</v>
      </c>
      <c r="H247" s="5">
        <v>63</v>
      </c>
    </row>
    <row r="248" spans="1:8" x14ac:dyDescent="0.3">
      <c r="A248" s="5">
        <v>246</v>
      </c>
      <c r="B248" s="5">
        <v>247</v>
      </c>
      <c r="C248" s="5">
        <v>0.19700000000000001</v>
      </c>
      <c r="D248" s="5">
        <v>0.8</v>
      </c>
      <c r="E248" s="5">
        <v>8.9599999999999999E-2</v>
      </c>
      <c r="F248" s="5">
        <v>2</v>
      </c>
      <c r="G248" s="5">
        <v>45</v>
      </c>
      <c r="H248" s="5">
        <v>47</v>
      </c>
    </row>
    <row r="249" spans="1:8" x14ac:dyDescent="0.3">
      <c r="A249" s="5">
        <v>247</v>
      </c>
      <c r="B249" s="5">
        <v>248</v>
      </c>
      <c r="C249" s="5">
        <v>0.1515</v>
      </c>
      <c r="D249" s="5">
        <v>0.86</v>
      </c>
      <c r="E249" s="5">
        <v>0.22389999999999999</v>
      </c>
      <c r="F249" s="5">
        <v>4</v>
      </c>
      <c r="G249" s="5">
        <v>72</v>
      </c>
      <c r="H249" s="5">
        <v>76</v>
      </c>
    </row>
    <row r="250" spans="1:8" x14ac:dyDescent="0.3">
      <c r="A250" s="5">
        <v>248</v>
      </c>
      <c r="B250" s="5">
        <v>249</v>
      </c>
      <c r="C250" s="5">
        <v>0.1515</v>
      </c>
      <c r="D250" s="5">
        <v>0.86</v>
      </c>
      <c r="E250" s="5">
        <v>0.22389999999999999</v>
      </c>
      <c r="F250" s="5">
        <v>6</v>
      </c>
      <c r="G250" s="5">
        <v>130</v>
      </c>
      <c r="H250" s="5">
        <v>136</v>
      </c>
    </row>
    <row r="251" spans="1:8" x14ac:dyDescent="0.3">
      <c r="A251" s="5">
        <v>249</v>
      </c>
      <c r="B251" s="5">
        <v>250</v>
      </c>
      <c r="C251" s="5">
        <v>0.18179999999999999</v>
      </c>
      <c r="D251" s="5">
        <v>0.93</v>
      </c>
      <c r="E251" s="5">
        <v>0.1045</v>
      </c>
      <c r="F251" s="5">
        <v>1</v>
      </c>
      <c r="G251" s="5">
        <v>94</v>
      </c>
      <c r="H251" s="5">
        <v>95</v>
      </c>
    </row>
    <row r="252" spans="1:8" x14ac:dyDescent="0.3">
      <c r="A252" s="5">
        <v>250</v>
      </c>
      <c r="B252" s="5">
        <v>251</v>
      </c>
      <c r="C252" s="5">
        <v>0.2273</v>
      </c>
      <c r="D252" s="5">
        <v>0.93</v>
      </c>
      <c r="E252" s="5">
        <v>0</v>
      </c>
      <c r="F252" s="5">
        <v>0</v>
      </c>
      <c r="G252" s="5">
        <v>51</v>
      </c>
      <c r="H252" s="5">
        <v>51</v>
      </c>
    </row>
    <row r="253" spans="1:8" x14ac:dyDescent="0.3">
      <c r="A253" s="5">
        <v>251</v>
      </c>
      <c r="B253" s="5">
        <v>252</v>
      </c>
      <c r="C253" s="5">
        <v>0.1515</v>
      </c>
      <c r="D253" s="5">
        <v>0.93</v>
      </c>
      <c r="E253" s="5">
        <v>0.19400000000000001</v>
      </c>
      <c r="F253" s="5">
        <v>0</v>
      </c>
      <c r="G253" s="5">
        <v>32</v>
      </c>
      <c r="H253" s="5">
        <v>32</v>
      </c>
    </row>
    <row r="254" spans="1:8" x14ac:dyDescent="0.3">
      <c r="A254" s="5">
        <v>252</v>
      </c>
      <c r="B254" s="5">
        <v>253</v>
      </c>
      <c r="C254" s="5">
        <v>0.19700000000000001</v>
      </c>
      <c r="D254" s="5">
        <v>0.86</v>
      </c>
      <c r="E254" s="5">
        <v>8.9599999999999999E-2</v>
      </c>
      <c r="F254" s="5">
        <v>0</v>
      </c>
      <c r="G254" s="5">
        <v>20</v>
      </c>
      <c r="H254" s="5">
        <v>20</v>
      </c>
    </row>
    <row r="255" spans="1:8" x14ac:dyDescent="0.3">
      <c r="A255" s="5">
        <v>253</v>
      </c>
      <c r="B255" s="5">
        <v>254</v>
      </c>
      <c r="C255" s="5">
        <v>0.18179999999999999</v>
      </c>
      <c r="D255" s="5">
        <v>0.93</v>
      </c>
      <c r="E255" s="5">
        <v>0.1045</v>
      </c>
      <c r="F255" s="5">
        <v>1</v>
      </c>
      <c r="G255" s="5">
        <v>28</v>
      </c>
      <c r="H255" s="5">
        <v>29</v>
      </c>
    </row>
    <row r="256" spans="1:8" x14ac:dyDescent="0.3">
      <c r="A256" s="5">
        <v>254</v>
      </c>
      <c r="B256" s="5">
        <v>255</v>
      </c>
      <c r="C256" s="5">
        <v>0.19700000000000001</v>
      </c>
      <c r="D256" s="5">
        <v>0.93</v>
      </c>
      <c r="E256" s="5">
        <v>8.9599999999999999E-2</v>
      </c>
      <c r="F256" s="5">
        <v>1</v>
      </c>
      <c r="G256" s="5">
        <v>18</v>
      </c>
      <c r="H256" s="5">
        <v>19</v>
      </c>
    </row>
    <row r="257" spans="1:8" x14ac:dyDescent="0.3">
      <c r="A257" s="5">
        <v>255</v>
      </c>
      <c r="B257" s="5">
        <v>256</v>
      </c>
      <c r="C257" s="5">
        <v>0.19700000000000001</v>
      </c>
      <c r="D257" s="5">
        <v>0.86</v>
      </c>
      <c r="E257" s="5">
        <v>8.9599999999999999E-2</v>
      </c>
      <c r="F257" s="5">
        <v>0</v>
      </c>
      <c r="G257" s="5">
        <v>7</v>
      </c>
      <c r="H257" s="5">
        <v>7</v>
      </c>
    </row>
    <row r="258" spans="1:8" x14ac:dyDescent="0.3">
      <c r="A258" s="5">
        <v>256</v>
      </c>
      <c r="B258" s="5">
        <v>257</v>
      </c>
      <c r="C258" s="5">
        <v>0.18179999999999999</v>
      </c>
      <c r="D258" s="5">
        <v>0.86</v>
      </c>
      <c r="E258" s="5">
        <v>0.1045</v>
      </c>
      <c r="F258" s="5">
        <v>0</v>
      </c>
      <c r="G258" s="5">
        <v>6</v>
      </c>
      <c r="H258" s="5">
        <v>6</v>
      </c>
    </row>
    <row r="259" spans="1:8" x14ac:dyDescent="0.3">
      <c r="A259" s="5">
        <v>257</v>
      </c>
      <c r="B259" s="5">
        <v>258</v>
      </c>
      <c r="C259" s="5">
        <v>0.1515</v>
      </c>
      <c r="D259" s="5">
        <v>0.86</v>
      </c>
      <c r="E259" s="5">
        <v>0.1343</v>
      </c>
      <c r="F259" s="5">
        <v>0</v>
      </c>
      <c r="G259" s="5">
        <v>1</v>
      </c>
      <c r="H259" s="5">
        <v>1</v>
      </c>
    </row>
    <row r="260" spans="1:8" x14ac:dyDescent="0.3">
      <c r="A260" s="5">
        <v>258</v>
      </c>
      <c r="B260" s="5">
        <v>259</v>
      </c>
      <c r="C260" s="5">
        <v>0.1515</v>
      </c>
      <c r="D260" s="5">
        <v>0.86</v>
      </c>
      <c r="E260" s="5">
        <v>0.16420000000000001</v>
      </c>
      <c r="F260" s="5">
        <v>0</v>
      </c>
      <c r="G260" s="5">
        <v>5</v>
      </c>
      <c r="H260" s="5">
        <v>5</v>
      </c>
    </row>
    <row r="261" spans="1:8" x14ac:dyDescent="0.3">
      <c r="A261" s="5">
        <v>259</v>
      </c>
      <c r="B261" s="5">
        <v>260</v>
      </c>
      <c r="C261" s="5">
        <v>0.1515</v>
      </c>
      <c r="D261" s="5">
        <v>0.93</v>
      </c>
      <c r="E261" s="5">
        <v>0.1343</v>
      </c>
      <c r="F261" s="5">
        <v>0</v>
      </c>
      <c r="G261" s="5">
        <v>16</v>
      </c>
      <c r="H261" s="5">
        <v>16</v>
      </c>
    </row>
    <row r="262" spans="1:8" x14ac:dyDescent="0.3">
      <c r="A262" s="5">
        <v>260</v>
      </c>
      <c r="B262" s="5">
        <v>261</v>
      </c>
      <c r="C262" s="5">
        <v>0.1515</v>
      </c>
      <c r="D262" s="5">
        <v>0.69</v>
      </c>
      <c r="E262" s="5">
        <v>0.1343</v>
      </c>
      <c r="F262" s="5">
        <v>0</v>
      </c>
      <c r="G262" s="5">
        <v>54</v>
      </c>
      <c r="H262" s="5">
        <v>54</v>
      </c>
    </row>
    <row r="263" spans="1:8" x14ac:dyDescent="0.3">
      <c r="A263" s="5">
        <v>261</v>
      </c>
      <c r="B263" s="5">
        <v>262</v>
      </c>
      <c r="C263" s="5">
        <v>0.16669999999999999</v>
      </c>
      <c r="D263" s="5">
        <v>0.59</v>
      </c>
      <c r="E263" s="5">
        <v>0.16420000000000001</v>
      </c>
      <c r="F263" s="5">
        <v>3</v>
      </c>
      <c r="G263" s="5">
        <v>125</v>
      </c>
      <c r="H263" s="5">
        <v>128</v>
      </c>
    </row>
    <row r="264" spans="1:8" x14ac:dyDescent="0.3">
      <c r="A264" s="5">
        <v>262</v>
      </c>
      <c r="B264" s="5">
        <v>263</v>
      </c>
      <c r="C264" s="5">
        <v>0.13639999999999999</v>
      </c>
      <c r="D264" s="5">
        <v>0.59</v>
      </c>
      <c r="E264" s="5">
        <v>0.32840000000000003</v>
      </c>
      <c r="F264" s="5">
        <v>3</v>
      </c>
      <c r="G264" s="5">
        <v>78</v>
      </c>
      <c r="H264" s="5">
        <v>81</v>
      </c>
    </row>
    <row r="265" spans="1:8" x14ac:dyDescent="0.3">
      <c r="A265" s="5">
        <v>263</v>
      </c>
      <c r="B265" s="5">
        <v>264</v>
      </c>
      <c r="C265" s="5">
        <v>0.18179999999999999</v>
      </c>
      <c r="D265" s="5">
        <v>0.55000000000000004</v>
      </c>
      <c r="E265" s="5">
        <v>0.22389999999999999</v>
      </c>
      <c r="F265" s="5">
        <v>0</v>
      </c>
      <c r="G265" s="5">
        <v>39</v>
      </c>
      <c r="H265" s="5">
        <v>39</v>
      </c>
    </row>
    <row r="266" spans="1:8" x14ac:dyDescent="0.3">
      <c r="A266" s="5">
        <v>264</v>
      </c>
      <c r="B266" s="5">
        <v>265</v>
      </c>
      <c r="C266" s="5">
        <v>0.18179999999999999</v>
      </c>
      <c r="D266" s="5">
        <v>0.51</v>
      </c>
      <c r="E266" s="5">
        <v>0.3881</v>
      </c>
      <c r="F266" s="5">
        <v>3</v>
      </c>
      <c r="G266" s="5">
        <v>32</v>
      </c>
      <c r="H266" s="5">
        <v>35</v>
      </c>
    </row>
    <row r="267" spans="1:8" x14ac:dyDescent="0.3">
      <c r="A267" s="5">
        <v>265</v>
      </c>
      <c r="B267" s="5">
        <v>266</v>
      </c>
      <c r="C267" s="5">
        <v>0.1515</v>
      </c>
      <c r="D267" s="5">
        <v>0.47</v>
      </c>
      <c r="E267" s="5">
        <v>0.58209999999999995</v>
      </c>
      <c r="F267" s="5">
        <v>3</v>
      </c>
      <c r="G267" s="5">
        <v>52</v>
      </c>
      <c r="H267" s="5">
        <v>55</v>
      </c>
    </row>
    <row r="268" spans="1:8" x14ac:dyDescent="0.3">
      <c r="A268" s="5">
        <v>266</v>
      </c>
      <c r="B268" s="5">
        <v>267</v>
      </c>
      <c r="C268" s="5">
        <v>0.19700000000000001</v>
      </c>
      <c r="D268" s="5">
        <v>0.44</v>
      </c>
      <c r="E268" s="5">
        <v>0.35820000000000002</v>
      </c>
      <c r="F268" s="5">
        <v>0</v>
      </c>
      <c r="G268" s="5">
        <v>49</v>
      </c>
      <c r="H268" s="5">
        <v>49</v>
      </c>
    </row>
    <row r="269" spans="1:8" x14ac:dyDescent="0.3">
      <c r="A269" s="5">
        <v>267</v>
      </c>
      <c r="B269" s="5">
        <v>268</v>
      </c>
      <c r="C269" s="5">
        <v>0.18179999999999999</v>
      </c>
      <c r="D269" s="5">
        <v>0.47</v>
      </c>
      <c r="E269" s="5">
        <v>0.32840000000000003</v>
      </c>
      <c r="F269" s="5">
        <v>0</v>
      </c>
      <c r="G269" s="5">
        <v>44</v>
      </c>
      <c r="H269" s="5">
        <v>44</v>
      </c>
    </row>
    <row r="270" spans="1:8" x14ac:dyDescent="0.3">
      <c r="A270" s="5">
        <v>268</v>
      </c>
      <c r="B270" s="5">
        <v>269</v>
      </c>
      <c r="C270" s="5">
        <v>0.16669999999999999</v>
      </c>
      <c r="D270" s="5">
        <v>0.47</v>
      </c>
      <c r="E270" s="5">
        <v>0.41789999999999999</v>
      </c>
      <c r="F270" s="5">
        <v>1</v>
      </c>
      <c r="G270" s="5">
        <v>48</v>
      </c>
      <c r="H270" s="5">
        <v>49</v>
      </c>
    </row>
    <row r="271" spans="1:8" x14ac:dyDescent="0.3">
      <c r="A271" s="5">
        <v>269</v>
      </c>
      <c r="B271" s="5">
        <v>270</v>
      </c>
      <c r="C271" s="5">
        <v>0.19700000000000001</v>
      </c>
      <c r="D271" s="5">
        <v>0.44</v>
      </c>
      <c r="E271" s="5">
        <v>0.32840000000000003</v>
      </c>
      <c r="F271" s="5">
        <v>5</v>
      </c>
      <c r="G271" s="5">
        <v>63</v>
      </c>
      <c r="H271" s="5">
        <v>68</v>
      </c>
    </row>
    <row r="272" spans="1:8" x14ac:dyDescent="0.3">
      <c r="A272" s="5">
        <v>270</v>
      </c>
      <c r="B272" s="5">
        <v>271</v>
      </c>
      <c r="C272" s="5">
        <v>0.18179999999999999</v>
      </c>
      <c r="D272" s="5">
        <v>0.47</v>
      </c>
      <c r="E272" s="5">
        <v>0.35820000000000002</v>
      </c>
      <c r="F272" s="5">
        <v>0</v>
      </c>
      <c r="G272" s="5">
        <v>139</v>
      </c>
      <c r="H272" s="5">
        <v>139</v>
      </c>
    </row>
    <row r="273" spans="1:8" x14ac:dyDescent="0.3">
      <c r="A273" s="5">
        <v>271</v>
      </c>
      <c r="B273" s="5">
        <v>272</v>
      </c>
      <c r="C273" s="5">
        <v>0.1515</v>
      </c>
      <c r="D273" s="5">
        <v>0.47</v>
      </c>
      <c r="E273" s="5">
        <v>0.52239999999999998</v>
      </c>
      <c r="F273" s="5">
        <v>2</v>
      </c>
      <c r="G273" s="5">
        <v>135</v>
      </c>
      <c r="H273" s="5">
        <v>137</v>
      </c>
    </row>
    <row r="274" spans="1:8" x14ac:dyDescent="0.3">
      <c r="A274" s="5">
        <v>272</v>
      </c>
      <c r="B274" s="5">
        <v>273</v>
      </c>
      <c r="C274" s="5">
        <v>0.1515</v>
      </c>
      <c r="D274" s="5">
        <v>0.47</v>
      </c>
      <c r="E274" s="5">
        <v>0.41789999999999999</v>
      </c>
      <c r="F274" s="5">
        <v>1</v>
      </c>
      <c r="G274" s="5">
        <v>82</v>
      </c>
      <c r="H274" s="5">
        <v>83</v>
      </c>
    </row>
    <row r="275" spans="1:8" x14ac:dyDescent="0.3">
      <c r="A275" s="5">
        <v>273</v>
      </c>
      <c r="B275" s="5">
        <v>274</v>
      </c>
      <c r="C275" s="5">
        <v>0.13639999999999999</v>
      </c>
      <c r="D275" s="5">
        <v>0.5</v>
      </c>
      <c r="E275" s="5">
        <v>0.32840000000000003</v>
      </c>
      <c r="F275" s="5">
        <v>2</v>
      </c>
      <c r="G275" s="5">
        <v>54</v>
      </c>
      <c r="H275" s="5">
        <v>56</v>
      </c>
    </row>
    <row r="276" spans="1:8" x14ac:dyDescent="0.3">
      <c r="A276" s="5">
        <v>274</v>
      </c>
      <c r="B276" s="5">
        <v>275</v>
      </c>
      <c r="C276" s="5">
        <v>0.13639999999999999</v>
      </c>
      <c r="D276" s="5">
        <v>0.55000000000000004</v>
      </c>
      <c r="E276" s="5">
        <v>0.32840000000000003</v>
      </c>
      <c r="F276" s="5">
        <v>0</v>
      </c>
      <c r="G276" s="5">
        <v>57</v>
      </c>
      <c r="H276" s="5">
        <v>57</v>
      </c>
    </row>
    <row r="277" spans="1:8" x14ac:dyDescent="0.3">
      <c r="A277" s="5">
        <v>275</v>
      </c>
      <c r="B277" s="5">
        <v>276</v>
      </c>
      <c r="C277" s="5">
        <v>0.1212</v>
      </c>
      <c r="D277" s="5">
        <v>0.55000000000000004</v>
      </c>
      <c r="E277" s="5">
        <v>0.44779999999999998</v>
      </c>
      <c r="F277" s="5">
        <v>1</v>
      </c>
      <c r="G277" s="5">
        <v>32</v>
      </c>
      <c r="H277" s="5">
        <v>33</v>
      </c>
    </row>
    <row r="278" spans="1:8" x14ac:dyDescent="0.3">
      <c r="A278" s="5">
        <v>276</v>
      </c>
      <c r="B278" s="5">
        <v>277</v>
      </c>
      <c r="C278" s="5">
        <v>0.1061</v>
      </c>
      <c r="D278" s="5">
        <v>0.59</v>
      </c>
      <c r="E278" s="5">
        <v>0.41789999999999999</v>
      </c>
      <c r="F278" s="5">
        <v>1</v>
      </c>
      <c r="G278" s="5">
        <v>19</v>
      </c>
      <c r="H278" s="5">
        <v>20</v>
      </c>
    </row>
    <row r="279" spans="1:8" x14ac:dyDescent="0.3">
      <c r="A279" s="5">
        <v>277</v>
      </c>
      <c r="B279" s="5">
        <v>278</v>
      </c>
      <c r="C279" s="5">
        <v>0.1212</v>
      </c>
      <c r="D279" s="5">
        <v>0.59</v>
      </c>
      <c r="E279" s="5">
        <v>0.28360000000000002</v>
      </c>
      <c r="F279" s="5">
        <v>1</v>
      </c>
      <c r="G279" s="5">
        <v>6</v>
      </c>
      <c r="H279" s="5">
        <v>7</v>
      </c>
    </row>
    <row r="280" spans="1:8" x14ac:dyDescent="0.3">
      <c r="A280" s="5">
        <v>278</v>
      </c>
      <c r="B280" s="5">
        <v>279</v>
      </c>
      <c r="C280" s="5">
        <v>0.1212</v>
      </c>
      <c r="D280" s="5">
        <v>0.5</v>
      </c>
      <c r="E280" s="5">
        <v>0.28360000000000002</v>
      </c>
      <c r="F280" s="5">
        <v>0</v>
      </c>
      <c r="G280" s="5">
        <v>2</v>
      </c>
      <c r="H280" s="5">
        <v>2</v>
      </c>
    </row>
    <row r="281" spans="1:8" x14ac:dyDescent="0.3">
      <c r="A281" s="5">
        <v>279</v>
      </c>
      <c r="B281" s="5">
        <v>280</v>
      </c>
      <c r="C281" s="5">
        <v>0.1212</v>
      </c>
      <c r="D281" s="5">
        <v>0.5</v>
      </c>
      <c r="E281" s="5">
        <v>0.35820000000000002</v>
      </c>
      <c r="F281" s="5">
        <v>0</v>
      </c>
      <c r="G281" s="5">
        <v>2</v>
      </c>
      <c r="H281" s="5">
        <v>2</v>
      </c>
    </row>
    <row r="282" spans="1:8" x14ac:dyDescent="0.3">
      <c r="A282" s="5">
        <v>280</v>
      </c>
      <c r="B282" s="5">
        <v>281</v>
      </c>
      <c r="C282" s="5">
        <v>0.1212</v>
      </c>
      <c r="D282" s="5">
        <v>0.5</v>
      </c>
      <c r="E282" s="5">
        <v>0.32840000000000003</v>
      </c>
      <c r="F282" s="5">
        <v>0</v>
      </c>
      <c r="G282" s="5">
        <v>3</v>
      </c>
      <c r="H282" s="5">
        <v>3</v>
      </c>
    </row>
    <row r="283" spans="1:8" x14ac:dyDescent="0.3">
      <c r="A283" s="5">
        <v>281</v>
      </c>
      <c r="B283" s="5">
        <v>282</v>
      </c>
      <c r="C283" s="5">
        <v>0.1212</v>
      </c>
      <c r="D283" s="5">
        <v>0.5</v>
      </c>
      <c r="E283" s="5">
        <v>0.25369999999999998</v>
      </c>
      <c r="F283" s="5">
        <v>0</v>
      </c>
      <c r="G283" s="5">
        <v>4</v>
      </c>
      <c r="H283" s="5">
        <v>4</v>
      </c>
    </row>
    <row r="284" spans="1:8" x14ac:dyDescent="0.3">
      <c r="A284" s="5">
        <v>282</v>
      </c>
      <c r="B284" s="5">
        <v>283</v>
      </c>
      <c r="C284" s="5">
        <v>0.1212</v>
      </c>
      <c r="D284" s="5">
        <v>0.5</v>
      </c>
      <c r="E284" s="5">
        <v>0.29849999999999999</v>
      </c>
      <c r="F284" s="5">
        <v>0</v>
      </c>
      <c r="G284" s="5">
        <v>3</v>
      </c>
      <c r="H284" s="5">
        <v>3</v>
      </c>
    </row>
    <row r="285" spans="1:8" x14ac:dyDescent="0.3">
      <c r="A285" s="5">
        <v>283</v>
      </c>
      <c r="B285" s="5">
        <v>284</v>
      </c>
      <c r="C285" s="5">
        <v>0.1515</v>
      </c>
      <c r="D285" s="5">
        <v>0.54</v>
      </c>
      <c r="E285" s="5">
        <v>0.1343</v>
      </c>
      <c r="F285" s="5">
        <v>0</v>
      </c>
      <c r="G285" s="5">
        <v>28</v>
      </c>
      <c r="H285" s="5">
        <v>28</v>
      </c>
    </row>
    <row r="286" spans="1:8" x14ac:dyDescent="0.3">
      <c r="A286" s="5">
        <v>284</v>
      </c>
      <c r="B286" s="5">
        <v>285</v>
      </c>
      <c r="C286" s="5">
        <v>0.1515</v>
      </c>
      <c r="D286" s="5">
        <v>0.54</v>
      </c>
      <c r="E286" s="5">
        <v>0.1343</v>
      </c>
      <c r="F286" s="5">
        <v>0</v>
      </c>
      <c r="G286" s="5">
        <v>72</v>
      </c>
      <c r="H286" s="5">
        <v>72</v>
      </c>
    </row>
    <row r="287" spans="1:8" x14ac:dyDescent="0.3">
      <c r="A287" s="5">
        <v>285</v>
      </c>
      <c r="B287" s="5">
        <v>286</v>
      </c>
      <c r="C287" s="5">
        <v>0.13639999999999999</v>
      </c>
      <c r="D287" s="5">
        <v>0.5</v>
      </c>
      <c r="E287" s="5">
        <v>0.19400000000000001</v>
      </c>
      <c r="F287" s="5">
        <v>5</v>
      </c>
      <c r="G287" s="5">
        <v>197</v>
      </c>
      <c r="H287" s="5">
        <v>202</v>
      </c>
    </row>
    <row r="288" spans="1:8" x14ac:dyDescent="0.3">
      <c r="A288" s="5">
        <v>286</v>
      </c>
      <c r="B288" s="5">
        <v>287</v>
      </c>
      <c r="C288" s="5">
        <v>0.1212</v>
      </c>
      <c r="D288" s="5">
        <v>0.5</v>
      </c>
      <c r="E288" s="5">
        <v>0.32840000000000003</v>
      </c>
      <c r="F288" s="5">
        <v>2</v>
      </c>
      <c r="G288" s="5">
        <v>137</v>
      </c>
      <c r="H288" s="5">
        <v>139</v>
      </c>
    </row>
    <row r="289" spans="1:8" x14ac:dyDescent="0.3">
      <c r="A289" s="5">
        <v>287</v>
      </c>
      <c r="B289" s="5">
        <v>288</v>
      </c>
      <c r="C289" s="5">
        <v>0.13639999999999999</v>
      </c>
      <c r="D289" s="5">
        <v>0.5</v>
      </c>
      <c r="E289" s="5">
        <v>0.35820000000000002</v>
      </c>
      <c r="F289" s="5">
        <v>2</v>
      </c>
      <c r="G289" s="5">
        <v>36</v>
      </c>
      <c r="H289" s="5">
        <v>38</v>
      </c>
    </row>
    <row r="290" spans="1:8" x14ac:dyDescent="0.3">
      <c r="A290" s="5">
        <v>288</v>
      </c>
      <c r="B290" s="5">
        <v>289</v>
      </c>
      <c r="C290" s="5">
        <v>0.16669999999999999</v>
      </c>
      <c r="D290" s="5">
        <v>0.44</v>
      </c>
      <c r="E290" s="5">
        <v>0.44779999999999998</v>
      </c>
      <c r="F290" s="5">
        <v>4</v>
      </c>
      <c r="G290" s="5">
        <v>33</v>
      </c>
      <c r="H290" s="5">
        <v>37</v>
      </c>
    </row>
    <row r="291" spans="1:8" x14ac:dyDescent="0.3">
      <c r="A291" s="5">
        <v>289</v>
      </c>
      <c r="B291" s="5">
        <v>290</v>
      </c>
      <c r="C291" s="5">
        <v>0.16669999999999999</v>
      </c>
      <c r="D291" s="5">
        <v>0.44</v>
      </c>
      <c r="E291" s="5">
        <v>0.41789999999999999</v>
      </c>
      <c r="F291" s="5">
        <v>3</v>
      </c>
      <c r="G291" s="5">
        <v>49</v>
      </c>
      <c r="H291" s="5">
        <v>52</v>
      </c>
    </row>
    <row r="292" spans="1:8" x14ac:dyDescent="0.3">
      <c r="A292" s="5">
        <v>290</v>
      </c>
      <c r="B292" s="5">
        <v>291</v>
      </c>
      <c r="C292" s="5">
        <v>0.19700000000000001</v>
      </c>
      <c r="D292" s="5">
        <v>0.41</v>
      </c>
      <c r="E292" s="5">
        <v>0.44779999999999998</v>
      </c>
      <c r="F292" s="5">
        <v>2</v>
      </c>
      <c r="G292" s="5">
        <v>81</v>
      </c>
      <c r="H292" s="5">
        <v>83</v>
      </c>
    </row>
    <row r="293" spans="1:8" x14ac:dyDescent="0.3">
      <c r="A293" s="5">
        <v>291</v>
      </c>
      <c r="B293" s="5">
        <v>292</v>
      </c>
      <c r="C293" s="5">
        <v>0.19700000000000001</v>
      </c>
      <c r="D293" s="5">
        <v>0.41</v>
      </c>
      <c r="E293" s="5">
        <v>0.3881</v>
      </c>
      <c r="F293" s="5">
        <v>3</v>
      </c>
      <c r="G293" s="5">
        <v>39</v>
      </c>
      <c r="H293" s="5">
        <v>42</v>
      </c>
    </row>
    <row r="294" spans="1:8" x14ac:dyDescent="0.3">
      <c r="A294" s="5">
        <v>292</v>
      </c>
      <c r="B294" s="5">
        <v>293</v>
      </c>
      <c r="C294" s="5">
        <v>0.21210000000000001</v>
      </c>
      <c r="D294" s="5">
        <v>0.38</v>
      </c>
      <c r="E294" s="5">
        <v>0.29849999999999999</v>
      </c>
      <c r="F294" s="5">
        <v>5</v>
      </c>
      <c r="G294" s="5">
        <v>55</v>
      </c>
      <c r="H294" s="5">
        <v>60</v>
      </c>
    </row>
    <row r="295" spans="1:8" x14ac:dyDescent="0.3">
      <c r="A295" s="5">
        <v>293</v>
      </c>
      <c r="B295" s="5">
        <v>294</v>
      </c>
      <c r="C295" s="5">
        <v>0.21210000000000001</v>
      </c>
      <c r="D295" s="5">
        <v>0.38</v>
      </c>
      <c r="E295" s="5">
        <v>0.35820000000000002</v>
      </c>
      <c r="F295" s="5">
        <v>2</v>
      </c>
      <c r="G295" s="5">
        <v>76</v>
      </c>
      <c r="H295" s="5">
        <v>78</v>
      </c>
    </row>
    <row r="296" spans="1:8" x14ac:dyDescent="0.3">
      <c r="A296" s="5">
        <v>294</v>
      </c>
      <c r="B296" s="5">
        <v>295</v>
      </c>
      <c r="C296" s="5">
        <v>0.18179999999999999</v>
      </c>
      <c r="D296" s="5">
        <v>0.4</v>
      </c>
      <c r="E296" s="5">
        <v>0.28360000000000002</v>
      </c>
      <c r="F296" s="5">
        <v>4</v>
      </c>
      <c r="G296" s="5">
        <v>158</v>
      </c>
      <c r="H296" s="5">
        <v>162</v>
      </c>
    </row>
    <row r="297" spans="1:8" x14ac:dyDescent="0.3">
      <c r="A297" s="5">
        <v>295</v>
      </c>
      <c r="B297" s="5">
        <v>296</v>
      </c>
      <c r="C297" s="5">
        <v>0.18179999999999999</v>
      </c>
      <c r="D297" s="5">
        <v>0.4</v>
      </c>
      <c r="E297" s="5">
        <v>0.32840000000000003</v>
      </c>
      <c r="F297" s="5">
        <v>3</v>
      </c>
      <c r="G297" s="5">
        <v>141</v>
      </c>
      <c r="H297" s="5">
        <v>144</v>
      </c>
    </row>
    <row r="298" spans="1:8" x14ac:dyDescent="0.3">
      <c r="A298" s="5">
        <v>296</v>
      </c>
      <c r="B298" s="5">
        <v>297</v>
      </c>
      <c r="C298" s="5">
        <v>0.1515</v>
      </c>
      <c r="D298" s="5">
        <v>0.47</v>
      </c>
      <c r="E298" s="5">
        <v>0.25369999999999998</v>
      </c>
      <c r="F298" s="5">
        <v>1</v>
      </c>
      <c r="G298" s="5">
        <v>98</v>
      </c>
      <c r="H298" s="5">
        <v>99</v>
      </c>
    </row>
    <row r="299" spans="1:8" x14ac:dyDescent="0.3">
      <c r="A299" s="5">
        <v>297</v>
      </c>
      <c r="B299" s="5">
        <v>298</v>
      </c>
      <c r="C299" s="5">
        <v>0.1515</v>
      </c>
      <c r="D299" s="5">
        <v>0.47</v>
      </c>
      <c r="E299" s="5">
        <v>0.22389999999999999</v>
      </c>
      <c r="F299" s="5">
        <v>0</v>
      </c>
      <c r="G299" s="5">
        <v>64</v>
      </c>
      <c r="H299" s="5">
        <v>64</v>
      </c>
    </row>
    <row r="300" spans="1:8" x14ac:dyDescent="0.3">
      <c r="A300" s="5">
        <v>298</v>
      </c>
      <c r="B300" s="5">
        <v>299</v>
      </c>
      <c r="C300" s="5">
        <v>0.1212</v>
      </c>
      <c r="D300" s="5">
        <v>0.46</v>
      </c>
      <c r="E300" s="5">
        <v>0.29849999999999999</v>
      </c>
      <c r="F300" s="5">
        <v>0</v>
      </c>
      <c r="G300" s="5">
        <v>40</v>
      </c>
      <c r="H300" s="5">
        <v>40</v>
      </c>
    </row>
    <row r="301" spans="1:8" x14ac:dyDescent="0.3">
      <c r="A301" s="5">
        <v>299</v>
      </c>
      <c r="B301" s="5">
        <v>300</v>
      </c>
      <c r="C301" s="5">
        <v>0.1212</v>
      </c>
      <c r="D301" s="5">
        <v>0.46</v>
      </c>
      <c r="E301" s="5">
        <v>0.32840000000000003</v>
      </c>
      <c r="F301" s="5">
        <v>0</v>
      </c>
      <c r="G301" s="5">
        <v>30</v>
      </c>
      <c r="H301" s="5">
        <v>30</v>
      </c>
    </row>
    <row r="302" spans="1:8" x14ac:dyDescent="0.3">
      <c r="A302" s="5">
        <v>300</v>
      </c>
      <c r="B302" s="5">
        <v>301</v>
      </c>
      <c r="C302" s="5">
        <v>0.13639999999999999</v>
      </c>
      <c r="D302" s="5">
        <v>0.5</v>
      </c>
      <c r="E302" s="5">
        <v>0.19400000000000001</v>
      </c>
      <c r="F302" s="5">
        <v>1</v>
      </c>
      <c r="G302" s="5">
        <v>14</v>
      </c>
      <c r="H302" s="5">
        <v>15</v>
      </c>
    </row>
    <row r="303" spans="1:8" x14ac:dyDescent="0.3">
      <c r="A303" s="5">
        <v>301</v>
      </c>
      <c r="B303" s="5">
        <v>302</v>
      </c>
      <c r="C303" s="5">
        <v>0.13639999999999999</v>
      </c>
      <c r="D303" s="5">
        <v>0.5</v>
      </c>
      <c r="E303" s="5">
        <v>0.19400000000000001</v>
      </c>
      <c r="F303" s="5">
        <v>0</v>
      </c>
      <c r="G303" s="5">
        <v>14</v>
      </c>
      <c r="H303" s="5">
        <v>14</v>
      </c>
    </row>
    <row r="304" spans="1:8" x14ac:dyDescent="0.3">
      <c r="A304" s="5">
        <v>302</v>
      </c>
      <c r="B304" s="5">
        <v>303</v>
      </c>
      <c r="C304" s="5">
        <v>0.1212</v>
      </c>
      <c r="D304" s="5">
        <v>0.54</v>
      </c>
      <c r="E304" s="5">
        <v>0.16420000000000001</v>
      </c>
      <c r="F304" s="5">
        <v>0</v>
      </c>
      <c r="G304" s="5">
        <v>5</v>
      </c>
      <c r="H304" s="5">
        <v>5</v>
      </c>
    </row>
    <row r="305" spans="1:8" x14ac:dyDescent="0.3">
      <c r="A305" s="5">
        <v>303</v>
      </c>
      <c r="B305" s="5">
        <v>304</v>
      </c>
      <c r="C305" s="5">
        <v>0.1212</v>
      </c>
      <c r="D305" s="5">
        <v>0.54</v>
      </c>
      <c r="E305" s="5">
        <v>0.1343</v>
      </c>
      <c r="F305" s="5">
        <v>0</v>
      </c>
      <c r="G305" s="5">
        <v>1</v>
      </c>
      <c r="H305" s="5">
        <v>1</v>
      </c>
    </row>
    <row r="306" spans="1:8" x14ac:dyDescent="0.3">
      <c r="A306" s="5">
        <v>304</v>
      </c>
      <c r="B306" s="5">
        <v>305</v>
      </c>
      <c r="C306" s="5">
        <v>0.13639999999999999</v>
      </c>
      <c r="D306" s="5">
        <v>0.54</v>
      </c>
      <c r="E306" s="5">
        <v>0.1045</v>
      </c>
      <c r="F306" s="5">
        <v>0</v>
      </c>
      <c r="G306" s="5">
        <v>1</v>
      </c>
      <c r="H306" s="5">
        <v>1</v>
      </c>
    </row>
    <row r="307" spans="1:8" x14ac:dyDescent="0.3">
      <c r="A307" s="5">
        <v>305</v>
      </c>
      <c r="B307" s="5">
        <v>306</v>
      </c>
      <c r="C307" s="5">
        <v>0.13639999999999999</v>
      </c>
      <c r="D307" s="5">
        <v>0.54</v>
      </c>
      <c r="E307" s="5">
        <v>8.9599999999999999E-2</v>
      </c>
      <c r="F307" s="5">
        <v>0</v>
      </c>
      <c r="G307" s="5">
        <v>8</v>
      </c>
      <c r="H307" s="5">
        <v>8</v>
      </c>
    </row>
    <row r="308" spans="1:8" x14ac:dyDescent="0.3">
      <c r="A308" s="5">
        <v>306</v>
      </c>
      <c r="B308" s="5">
        <v>307</v>
      </c>
      <c r="C308" s="5">
        <v>0.18179999999999999</v>
      </c>
      <c r="D308" s="5">
        <v>0.54</v>
      </c>
      <c r="E308" s="5">
        <v>0</v>
      </c>
      <c r="F308" s="5">
        <v>0</v>
      </c>
      <c r="G308" s="5">
        <v>17</v>
      </c>
      <c r="H308" s="5">
        <v>17</v>
      </c>
    </row>
    <row r="309" spans="1:8" x14ac:dyDescent="0.3">
      <c r="A309" s="5">
        <v>307</v>
      </c>
      <c r="B309" s="5">
        <v>308</v>
      </c>
      <c r="C309" s="5">
        <v>0.1212</v>
      </c>
      <c r="D309" s="5">
        <v>0.74</v>
      </c>
      <c r="E309" s="5">
        <v>0.16420000000000001</v>
      </c>
      <c r="F309" s="5">
        <v>0</v>
      </c>
      <c r="G309" s="5">
        <v>70</v>
      </c>
      <c r="H309" s="5">
        <v>70</v>
      </c>
    </row>
    <row r="310" spans="1:8" x14ac:dyDescent="0.3">
      <c r="A310" s="5">
        <v>308</v>
      </c>
      <c r="B310" s="5">
        <v>309</v>
      </c>
      <c r="C310" s="5">
        <v>0.16669999999999999</v>
      </c>
      <c r="D310" s="5">
        <v>0.68</v>
      </c>
      <c r="E310" s="5">
        <v>0</v>
      </c>
      <c r="F310" s="5">
        <v>2</v>
      </c>
      <c r="G310" s="5">
        <v>156</v>
      </c>
      <c r="H310" s="5">
        <v>158</v>
      </c>
    </row>
    <row r="311" spans="1:8" x14ac:dyDescent="0.3">
      <c r="A311" s="5">
        <v>309</v>
      </c>
      <c r="B311" s="5">
        <v>310</v>
      </c>
      <c r="C311" s="5">
        <v>0.1515</v>
      </c>
      <c r="D311" s="5">
        <v>0.69</v>
      </c>
      <c r="E311" s="5">
        <v>0.1343</v>
      </c>
      <c r="F311" s="5">
        <v>0</v>
      </c>
      <c r="G311" s="5">
        <v>117</v>
      </c>
      <c r="H311" s="5">
        <v>117</v>
      </c>
    </row>
    <row r="312" spans="1:8" x14ac:dyDescent="0.3">
      <c r="A312" s="5">
        <v>310</v>
      </c>
      <c r="B312" s="5">
        <v>311</v>
      </c>
      <c r="C312" s="5">
        <v>0.18179999999999999</v>
      </c>
      <c r="D312" s="5">
        <v>0.55000000000000004</v>
      </c>
      <c r="E312" s="5">
        <v>0.19400000000000001</v>
      </c>
      <c r="F312" s="5">
        <v>4</v>
      </c>
      <c r="G312" s="5">
        <v>40</v>
      </c>
      <c r="H312" s="5">
        <v>44</v>
      </c>
    </row>
    <row r="313" spans="1:8" x14ac:dyDescent="0.3">
      <c r="A313" s="5">
        <v>311</v>
      </c>
      <c r="B313" s="5">
        <v>312</v>
      </c>
      <c r="C313" s="5">
        <v>0.16669999999999999</v>
      </c>
      <c r="D313" s="5">
        <v>0.51</v>
      </c>
      <c r="E313" s="5">
        <v>0.28360000000000002</v>
      </c>
      <c r="F313" s="5">
        <v>6</v>
      </c>
      <c r="G313" s="5">
        <v>47</v>
      </c>
      <c r="H313" s="5">
        <v>53</v>
      </c>
    </row>
    <row r="314" spans="1:8" x14ac:dyDescent="0.3">
      <c r="A314" s="5">
        <v>312</v>
      </c>
      <c r="B314" s="5">
        <v>313</v>
      </c>
      <c r="C314" s="5">
        <v>0.19700000000000001</v>
      </c>
      <c r="D314" s="5">
        <v>0.44</v>
      </c>
      <c r="E314" s="5">
        <v>0.25369999999999998</v>
      </c>
      <c r="F314" s="5">
        <v>2</v>
      </c>
      <c r="G314" s="5">
        <v>59</v>
      </c>
      <c r="H314" s="5">
        <v>61</v>
      </c>
    </row>
    <row r="315" spans="1:8" x14ac:dyDescent="0.3">
      <c r="A315" s="5">
        <v>313</v>
      </c>
      <c r="B315" s="5">
        <v>314</v>
      </c>
      <c r="C315" s="5">
        <v>0.19700000000000001</v>
      </c>
      <c r="D315" s="5">
        <v>0.37</v>
      </c>
      <c r="E315" s="5">
        <v>0.3881</v>
      </c>
      <c r="F315" s="5">
        <v>4</v>
      </c>
      <c r="G315" s="5">
        <v>73</v>
      </c>
      <c r="H315" s="5">
        <v>77</v>
      </c>
    </row>
    <row r="316" spans="1:8" x14ac:dyDescent="0.3">
      <c r="A316" s="5">
        <v>314</v>
      </c>
      <c r="B316" s="5">
        <v>315</v>
      </c>
      <c r="C316" s="5">
        <v>0.21210000000000001</v>
      </c>
      <c r="D316" s="5">
        <v>0.41</v>
      </c>
      <c r="E316" s="5">
        <v>0.28360000000000002</v>
      </c>
      <c r="F316" s="5">
        <v>5</v>
      </c>
      <c r="G316" s="5">
        <v>59</v>
      </c>
      <c r="H316" s="5">
        <v>64</v>
      </c>
    </row>
    <row r="317" spans="1:8" x14ac:dyDescent="0.3">
      <c r="A317" s="5">
        <v>315</v>
      </c>
      <c r="B317" s="5">
        <v>316</v>
      </c>
      <c r="C317" s="5">
        <v>0.2424</v>
      </c>
      <c r="D317" s="5">
        <v>0.38</v>
      </c>
      <c r="E317" s="5">
        <v>0.16420000000000001</v>
      </c>
      <c r="F317" s="5">
        <v>9</v>
      </c>
      <c r="G317" s="5">
        <v>59</v>
      </c>
      <c r="H317" s="5">
        <v>68</v>
      </c>
    </row>
    <row r="318" spans="1:8" x14ac:dyDescent="0.3">
      <c r="A318" s="5">
        <v>316</v>
      </c>
      <c r="B318" s="5">
        <v>317</v>
      </c>
      <c r="C318" s="5">
        <v>0.2424</v>
      </c>
      <c r="D318" s="5">
        <v>0.41</v>
      </c>
      <c r="E318" s="5">
        <v>0.1045</v>
      </c>
      <c r="F318" s="5">
        <v>3</v>
      </c>
      <c r="G318" s="5">
        <v>87</v>
      </c>
      <c r="H318" s="5">
        <v>90</v>
      </c>
    </row>
    <row r="319" spans="1:8" x14ac:dyDescent="0.3">
      <c r="A319" s="5">
        <v>317</v>
      </c>
      <c r="B319" s="5">
        <v>318</v>
      </c>
      <c r="C319" s="5">
        <v>0.2273</v>
      </c>
      <c r="D319" s="5">
        <v>0.41</v>
      </c>
      <c r="E319" s="5">
        <v>0.16420000000000001</v>
      </c>
      <c r="F319" s="5">
        <v>4</v>
      </c>
      <c r="G319" s="5">
        <v>155</v>
      </c>
      <c r="H319" s="5">
        <v>159</v>
      </c>
    </row>
    <row r="320" spans="1:8" x14ac:dyDescent="0.3">
      <c r="A320" s="5">
        <v>318</v>
      </c>
      <c r="B320" s="5">
        <v>319</v>
      </c>
      <c r="C320" s="5">
        <v>0.2576</v>
      </c>
      <c r="D320" s="5">
        <v>0.47</v>
      </c>
      <c r="E320" s="5">
        <v>0</v>
      </c>
      <c r="F320" s="5">
        <v>5</v>
      </c>
      <c r="G320" s="5">
        <v>134</v>
      </c>
      <c r="H320" s="5">
        <v>139</v>
      </c>
    </row>
    <row r="321" spans="1:8" x14ac:dyDescent="0.3">
      <c r="A321" s="5">
        <v>319</v>
      </c>
      <c r="B321" s="5">
        <v>320</v>
      </c>
      <c r="C321" s="5">
        <v>0.19700000000000001</v>
      </c>
      <c r="D321" s="5">
        <v>0.59</v>
      </c>
      <c r="E321" s="5">
        <v>8.9599999999999999E-2</v>
      </c>
      <c r="F321" s="5">
        <v>3</v>
      </c>
      <c r="G321" s="5">
        <v>89</v>
      </c>
      <c r="H321" s="5">
        <v>92</v>
      </c>
    </row>
    <row r="322" spans="1:8" x14ac:dyDescent="0.3">
      <c r="A322" s="5">
        <v>320</v>
      </c>
      <c r="B322" s="5">
        <v>321</v>
      </c>
      <c r="C322" s="5">
        <v>0.2424</v>
      </c>
      <c r="D322" s="5">
        <v>0.59</v>
      </c>
      <c r="E322" s="5">
        <v>0</v>
      </c>
      <c r="F322" s="5">
        <v>0</v>
      </c>
      <c r="G322" s="5">
        <v>68</v>
      </c>
      <c r="H322" s="5">
        <v>68</v>
      </c>
    </row>
    <row r="323" spans="1:8" x14ac:dyDescent="0.3">
      <c r="A323" s="5">
        <v>321</v>
      </c>
      <c r="B323" s="5">
        <v>322</v>
      </c>
      <c r="C323" s="5">
        <v>0.2273</v>
      </c>
      <c r="D323" s="5">
        <v>0.69</v>
      </c>
      <c r="E323" s="5">
        <v>0</v>
      </c>
      <c r="F323" s="5">
        <v>4</v>
      </c>
      <c r="G323" s="5">
        <v>48</v>
      </c>
      <c r="H323" s="5">
        <v>52</v>
      </c>
    </row>
    <row r="324" spans="1:8" x14ac:dyDescent="0.3">
      <c r="A324" s="5">
        <v>322</v>
      </c>
      <c r="B324" s="5">
        <v>323</v>
      </c>
      <c r="C324" s="5">
        <v>0.2273</v>
      </c>
      <c r="D324" s="5">
        <v>0.69</v>
      </c>
      <c r="E324" s="5">
        <v>0</v>
      </c>
      <c r="F324" s="5">
        <v>2</v>
      </c>
      <c r="G324" s="5">
        <v>34</v>
      </c>
      <c r="H324" s="5">
        <v>36</v>
      </c>
    </row>
    <row r="325" spans="1:8" x14ac:dyDescent="0.3">
      <c r="A325" s="5">
        <v>323</v>
      </c>
      <c r="B325" s="5">
        <v>324</v>
      </c>
      <c r="C325" s="5">
        <v>0.2424</v>
      </c>
      <c r="D325" s="5">
        <v>0.55000000000000004</v>
      </c>
      <c r="E325" s="5">
        <v>0</v>
      </c>
      <c r="F325" s="5">
        <v>1</v>
      </c>
      <c r="G325" s="5">
        <v>26</v>
      </c>
      <c r="H325" s="5">
        <v>27</v>
      </c>
    </row>
    <row r="326" spans="1:8" x14ac:dyDescent="0.3">
      <c r="A326" s="5">
        <v>324</v>
      </c>
      <c r="B326" s="5">
        <v>325</v>
      </c>
      <c r="C326" s="5">
        <v>0.2424</v>
      </c>
      <c r="D326" s="5">
        <v>0.55000000000000004</v>
      </c>
      <c r="E326" s="5">
        <v>0</v>
      </c>
      <c r="F326" s="5">
        <v>3</v>
      </c>
      <c r="G326" s="5">
        <v>25</v>
      </c>
      <c r="H326" s="5">
        <v>28</v>
      </c>
    </row>
    <row r="327" spans="1:8" x14ac:dyDescent="0.3">
      <c r="A327" s="5">
        <v>325</v>
      </c>
      <c r="B327" s="5">
        <v>326</v>
      </c>
      <c r="C327" s="5">
        <v>0.19700000000000001</v>
      </c>
      <c r="D327" s="5">
        <v>0.59</v>
      </c>
      <c r="E327" s="5">
        <v>8.9599999999999999E-2</v>
      </c>
      <c r="F327" s="5">
        <v>2</v>
      </c>
      <c r="G327" s="5">
        <v>18</v>
      </c>
      <c r="H327" s="5">
        <v>20</v>
      </c>
    </row>
    <row r="328" spans="1:8" x14ac:dyDescent="0.3">
      <c r="A328" s="5">
        <v>326</v>
      </c>
      <c r="B328" s="5">
        <v>327</v>
      </c>
      <c r="C328" s="5">
        <v>0.19700000000000001</v>
      </c>
      <c r="D328" s="5">
        <v>0.59</v>
      </c>
      <c r="E328" s="5">
        <v>8.9599999999999999E-2</v>
      </c>
      <c r="F328" s="5">
        <v>0</v>
      </c>
      <c r="G328" s="5">
        <v>12</v>
      </c>
      <c r="H328" s="5">
        <v>12</v>
      </c>
    </row>
    <row r="329" spans="1:8" x14ac:dyDescent="0.3">
      <c r="A329" s="5">
        <v>327</v>
      </c>
      <c r="B329" s="5">
        <v>328</v>
      </c>
      <c r="C329" s="5">
        <v>0.2273</v>
      </c>
      <c r="D329" s="5">
        <v>0.59</v>
      </c>
      <c r="E329" s="5">
        <v>0</v>
      </c>
      <c r="F329" s="5">
        <v>1</v>
      </c>
      <c r="G329" s="5">
        <v>7</v>
      </c>
      <c r="H329" s="5">
        <v>8</v>
      </c>
    </row>
    <row r="330" spans="1:8" x14ac:dyDescent="0.3">
      <c r="A330" s="5">
        <v>328</v>
      </c>
      <c r="B330" s="5">
        <v>329</v>
      </c>
      <c r="C330" s="5">
        <v>0.2273</v>
      </c>
      <c r="D330" s="5">
        <v>0.59</v>
      </c>
      <c r="E330" s="5">
        <v>0</v>
      </c>
      <c r="F330" s="5">
        <v>0</v>
      </c>
      <c r="G330" s="5">
        <v>5</v>
      </c>
      <c r="H330" s="5">
        <v>5</v>
      </c>
    </row>
    <row r="331" spans="1:8" x14ac:dyDescent="0.3">
      <c r="A331" s="5">
        <v>329</v>
      </c>
      <c r="B331" s="5">
        <v>330</v>
      </c>
      <c r="C331" s="5">
        <v>0.2273</v>
      </c>
      <c r="D331" s="5">
        <v>0.59</v>
      </c>
      <c r="E331" s="5">
        <v>0</v>
      </c>
      <c r="F331" s="5">
        <v>0</v>
      </c>
      <c r="G331" s="5">
        <v>1</v>
      </c>
      <c r="H331" s="5">
        <v>1</v>
      </c>
    </row>
    <row r="332" spans="1:8" x14ac:dyDescent="0.3">
      <c r="A332" s="5">
        <v>330</v>
      </c>
      <c r="B332" s="5">
        <v>331</v>
      </c>
      <c r="C332" s="5">
        <v>0.16669999999999999</v>
      </c>
      <c r="D332" s="5">
        <v>0.63</v>
      </c>
      <c r="E332" s="5">
        <v>0.1045</v>
      </c>
      <c r="F332" s="5">
        <v>1</v>
      </c>
      <c r="G332" s="5">
        <v>2</v>
      </c>
      <c r="H332" s="5">
        <v>3</v>
      </c>
    </row>
    <row r="333" spans="1:8" x14ac:dyDescent="0.3">
      <c r="A333" s="5">
        <v>331</v>
      </c>
      <c r="B333" s="5">
        <v>332</v>
      </c>
      <c r="C333" s="5">
        <v>0.21210000000000001</v>
      </c>
      <c r="D333" s="5">
        <v>0.63</v>
      </c>
      <c r="E333" s="5">
        <v>0</v>
      </c>
      <c r="F333" s="5">
        <v>1</v>
      </c>
      <c r="G333" s="5">
        <v>9</v>
      </c>
      <c r="H333" s="5">
        <v>10</v>
      </c>
    </row>
    <row r="334" spans="1:8" x14ac:dyDescent="0.3">
      <c r="A334" s="5">
        <v>332</v>
      </c>
      <c r="B334" s="5">
        <v>333</v>
      </c>
      <c r="C334" s="5">
        <v>0.1515</v>
      </c>
      <c r="D334" s="5">
        <v>0.63</v>
      </c>
      <c r="E334" s="5">
        <v>0.1343</v>
      </c>
      <c r="F334" s="5">
        <v>1</v>
      </c>
      <c r="G334" s="5">
        <v>22</v>
      </c>
      <c r="H334" s="5">
        <v>23</v>
      </c>
    </row>
    <row r="335" spans="1:8" x14ac:dyDescent="0.3">
      <c r="A335" s="5">
        <v>333</v>
      </c>
      <c r="B335" s="5">
        <v>334</v>
      </c>
      <c r="C335" s="5">
        <v>0.18179999999999999</v>
      </c>
      <c r="D335" s="5">
        <v>0.64</v>
      </c>
      <c r="E335" s="5">
        <v>0.1343</v>
      </c>
      <c r="F335" s="5">
        <v>2</v>
      </c>
      <c r="G335" s="5">
        <v>31</v>
      </c>
      <c r="H335" s="5">
        <v>33</v>
      </c>
    </row>
    <row r="336" spans="1:8" x14ac:dyDescent="0.3">
      <c r="A336" s="5">
        <v>334</v>
      </c>
      <c r="B336" s="5">
        <v>335</v>
      </c>
      <c r="C336" s="5">
        <v>0.19700000000000001</v>
      </c>
      <c r="D336" s="5">
        <v>0.59</v>
      </c>
      <c r="E336" s="5">
        <v>0.16420000000000001</v>
      </c>
      <c r="F336" s="5">
        <v>2</v>
      </c>
      <c r="G336" s="5">
        <v>57</v>
      </c>
      <c r="H336" s="5">
        <v>59</v>
      </c>
    </row>
    <row r="337" spans="1:8" x14ac:dyDescent="0.3">
      <c r="A337" s="5">
        <v>335</v>
      </c>
      <c r="B337" s="5">
        <v>336</v>
      </c>
      <c r="C337" s="5">
        <v>0.19700000000000001</v>
      </c>
      <c r="D337" s="5">
        <v>0.55000000000000004</v>
      </c>
      <c r="E337" s="5">
        <v>0.22389999999999999</v>
      </c>
      <c r="F337" s="5">
        <v>18</v>
      </c>
      <c r="G337" s="5">
        <v>54</v>
      </c>
      <c r="H337" s="5">
        <v>72</v>
      </c>
    </row>
    <row r="338" spans="1:8" x14ac:dyDescent="0.3">
      <c r="A338" s="5">
        <v>336</v>
      </c>
      <c r="B338" s="5">
        <v>337</v>
      </c>
      <c r="C338" s="5">
        <v>0.2273</v>
      </c>
      <c r="D338" s="5">
        <v>0.48</v>
      </c>
      <c r="E338" s="5">
        <v>0.22389999999999999</v>
      </c>
      <c r="F338" s="5">
        <v>15</v>
      </c>
      <c r="G338" s="5">
        <v>74</v>
      </c>
      <c r="H338" s="5">
        <v>89</v>
      </c>
    </row>
    <row r="339" spans="1:8" x14ac:dyDescent="0.3">
      <c r="A339" s="5">
        <v>337</v>
      </c>
      <c r="B339" s="5">
        <v>338</v>
      </c>
      <c r="C339" s="5">
        <v>0.2576</v>
      </c>
      <c r="D339" s="5">
        <v>0.38</v>
      </c>
      <c r="E339" s="5">
        <v>0.29849999999999999</v>
      </c>
      <c r="F339" s="5">
        <v>21</v>
      </c>
      <c r="G339" s="5">
        <v>80</v>
      </c>
      <c r="H339" s="5">
        <v>101</v>
      </c>
    </row>
    <row r="340" spans="1:8" x14ac:dyDescent="0.3">
      <c r="A340" s="5">
        <v>338</v>
      </c>
      <c r="B340" s="5">
        <v>339</v>
      </c>
      <c r="C340" s="5">
        <v>0.28789999999999999</v>
      </c>
      <c r="D340" s="5">
        <v>0.39</v>
      </c>
      <c r="E340" s="5">
        <v>0.28360000000000002</v>
      </c>
      <c r="F340" s="5">
        <v>26</v>
      </c>
      <c r="G340" s="5">
        <v>92</v>
      </c>
      <c r="H340" s="5">
        <v>118</v>
      </c>
    </row>
    <row r="341" spans="1:8" x14ac:dyDescent="0.3">
      <c r="A341" s="5">
        <v>339</v>
      </c>
      <c r="B341" s="5">
        <v>340</v>
      </c>
      <c r="C341" s="5">
        <v>0.31819999999999998</v>
      </c>
      <c r="D341" s="5">
        <v>0.36</v>
      </c>
      <c r="E341" s="5">
        <v>0.19400000000000001</v>
      </c>
      <c r="F341" s="5">
        <v>21</v>
      </c>
      <c r="G341" s="5">
        <v>108</v>
      </c>
      <c r="H341" s="5">
        <v>129</v>
      </c>
    </row>
    <row r="342" spans="1:8" x14ac:dyDescent="0.3">
      <c r="A342" s="5">
        <v>340</v>
      </c>
      <c r="B342" s="5">
        <v>341</v>
      </c>
      <c r="C342" s="5">
        <v>0.33329999999999999</v>
      </c>
      <c r="D342" s="5">
        <v>0.34</v>
      </c>
      <c r="E342" s="5">
        <v>0.19400000000000001</v>
      </c>
      <c r="F342" s="5">
        <v>33</v>
      </c>
      <c r="G342" s="5">
        <v>95</v>
      </c>
      <c r="H342" s="5">
        <v>128</v>
      </c>
    </row>
    <row r="343" spans="1:8" x14ac:dyDescent="0.3">
      <c r="A343" s="5">
        <v>341</v>
      </c>
      <c r="B343" s="5">
        <v>342</v>
      </c>
      <c r="C343" s="5">
        <v>0.30299999999999999</v>
      </c>
      <c r="D343" s="5">
        <v>0.36</v>
      </c>
      <c r="E343" s="5">
        <v>0.28360000000000002</v>
      </c>
      <c r="F343" s="5">
        <v>29</v>
      </c>
      <c r="G343" s="5">
        <v>54</v>
      </c>
      <c r="H343" s="5">
        <v>83</v>
      </c>
    </row>
    <row r="344" spans="1:8" x14ac:dyDescent="0.3">
      <c r="A344" s="5">
        <v>342</v>
      </c>
      <c r="B344" s="5">
        <v>343</v>
      </c>
      <c r="C344" s="5">
        <v>0.28789999999999999</v>
      </c>
      <c r="D344" s="5">
        <v>0.45</v>
      </c>
      <c r="E344" s="5">
        <v>0.25369999999999998</v>
      </c>
      <c r="F344" s="5">
        <v>15</v>
      </c>
      <c r="G344" s="5">
        <v>69</v>
      </c>
      <c r="H344" s="5">
        <v>84</v>
      </c>
    </row>
    <row r="345" spans="1:8" x14ac:dyDescent="0.3">
      <c r="A345" s="5">
        <v>343</v>
      </c>
      <c r="B345" s="5">
        <v>344</v>
      </c>
      <c r="C345" s="5">
        <v>0.30299999999999999</v>
      </c>
      <c r="D345" s="5">
        <v>0.39</v>
      </c>
      <c r="E345" s="5">
        <v>0.25369999999999998</v>
      </c>
      <c r="F345" s="5">
        <v>14</v>
      </c>
      <c r="G345" s="5">
        <v>60</v>
      </c>
      <c r="H345" s="5">
        <v>74</v>
      </c>
    </row>
    <row r="346" spans="1:8" x14ac:dyDescent="0.3">
      <c r="A346" s="5">
        <v>344</v>
      </c>
      <c r="B346" s="5">
        <v>345</v>
      </c>
      <c r="C346" s="5">
        <v>0.30299999999999999</v>
      </c>
      <c r="D346" s="5">
        <v>0.39</v>
      </c>
      <c r="E346" s="5">
        <v>0.25369999999999998</v>
      </c>
      <c r="F346" s="5">
        <v>6</v>
      </c>
      <c r="G346" s="5">
        <v>35</v>
      </c>
      <c r="H346" s="5">
        <v>41</v>
      </c>
    </row>
    <row r="347" spans="1:8" x14ac:dyDescent="0.3">
      <c r="A347" s="5">
        <v>345</v>
      </c>
      <c r="B347" s="5">
        <v>346</v>
      </c>
      <c r="C347" s="5">
        <v>0.30299999999999999</v>
      </c>
      <c r="D347" s="5">
        <v>0.39</v>
      </c>
      <c r="E347" s="5">
        <v>0.22389999999999999</v>
      </c>
      <c r="F347" s="5">
        <v>6</v>
      </c>
      <c r="G347" s="5">
        <v>51</v>
      </c>
      <c r="H347" s="5">
        <v>57</v>
      </c>
    </row>
    <row r="348" spans="1:8" x14ac:dyDescent="0.3">
      <c r="A348" s="5">
        <v>346</v>
      </c>
      <c r="B348" s="5">
        <v>347</v>
      </c>
      <c r="C348" s="5">
        <v>0.31819999999999998</v>
      </c>
      <c r="D348" s="5">
        <v>0.42</v>
      </c>
      <c r="E348" s="5">
        <v>0.1045</v>
      </c>
      <c r="F348" s="5">
        <v>0</v>
      </c>
      <c r="G348" s="5">
        <v>26</v>
      </c>
      <c r="H348" s="5">
        <v>26</v>
      </c>
    </row>
    <row r="349" spans="1:8" x14ac:dyDescent="0.3">
      <c r="A349" s="5">
        <v>347</v>
      </c>
      <c r="B349" s="5">
        <v>348</v>
      </c>
      <c r="C349" s="5">
        <v>0.28789999999999999</v>
      </c>
      <c r="D349" s="5">
        <v>0.45</v>
      </c>
      <c r="E349" s="5">
        <v>0.28360000000000002</v>
      </c>
      <c r="F349" s="5">
        <v>5</v>
      </c>
      <c r="G349" s="5">
        <v>39</v>
      </c>
      <c r="H349" s="5">
        <v>44</v>
      </c>
    </row>
    <row r="350" spans="1:8" x14ac:dyDescent="0.3">
      <c r="A350" s="5">
        <v>348</v>
      </c>
      <c r="B350" s="5">
        <v>349</v>
      </c>
      <c r="C350" s="5">
        <v>0.30299999999999999</v>
      </c>
      <c r="D350" s="5">
        <v>0.56000000000000005</v>
      </c>
      <c r="E350" s="5">
        <v>0</v>
      </c>
      <c r="F350" s="5">
        <v>6</v>
      </c>
      <c r="G350" s="5">
        <v>33</v>
      </c>
      <c r="H350" s="5">
        <v>39</v>
      </c>
    </row>
    <row r="351" spans="1:8" x14ac:dyDescent="0.3">
      <c r="A351" s="5">
        <v>349</v>
      </c>
      <c r="B351" s="5">
        <v>350</v>
      </c>
      <c r="C351" s="5">
        <v>0.2727</v>
      </c>
      <c r="D351" s="5">
        <v>0.56000000000000005</v>
      </c>
      <c r="E351" s="5">
        <v>0.1343</v>
      </c>
      <c r="F351" s="5">
        <v>4</v>
      </c>
      <c r="G351" s="5">
        <v>19</v>
      </c>
      <c r="H351" s="5">
        <v>23</v>
      </c>
    </row>
    <row r="352" spans="1:8" x14ac:dyDescent="0.3">
      <c r="A352" s="5">
        <v>350</v>
      </c>
      <c r="B352" s="5">
        <v>351</v>
      </c>
      <c r="C352" s="5">
        <v>0.28789999999999999</v>
      </c>
      <c r="D352" s="5">
        <v>0.56000000000000005</v>
      </c>
      <c r="E352" s="5">
        <v>8.9599999999999999E-2</v>
      </c>
      <c r="F352" s="5">
        <v>3</v>
      </c>
      <c r="G352" s="5">
        <v>13</v>
      </c>
      <c r="H352" s="5">
        <v>16</v>
      </c>
    </row>
    <row r="353" spans="1:8" x14ac:dyDescent="0.3">
      <c r="A353" s="5">
        <v>351</v>
      </c>
      <c r="B353" s="5">
        <v>352</v>
      </c>
      <c r="C353" s="5">
        <v>0.2727</v>
      </c>
      <c r="D353" s="5">
        <v>0.69</v>
      </c>
      <c r="E353" s="5">
        <v>0</v>
      </c>
      <c r="F353" s="5">
        <v>9</v>
      </c>
      <c r="G353" s="5">
        <v>6</v>
      </c>
      <c r="H353" s="5">
        <v>15</v>
      </c>
    </row>
    <row r="354" spans="1:8" x14ac:dyDescent="0.3">
      <c r="A354" s="5">
        <v>352</v>
      </c>
      <c r="B354" s="5">
        <v>353</v>
      </c>
      <c r="C354" s="5">
        <v>0.2576</v>
      </c>
      <c r="D354" s="5">
        <v>0.56000000000000005</v>
      </c>
      <c r="E354" s="5">
        <v>0.16420000000000001</v>
      </c>
      <c r="F354" s="5">
        <v>0</v>
      </c>
      <c r="G354" s="5">
        <v>1</v>
      </c>
      <c r="H354" s="5">
        <v>1</v>
      </c>
    </row>
    <row r="355" spans="1:8" x14ac:dyDescent="0.3">
      <c r="A355" s="5">
        <v>353</v>
      </c>
      <c r="B355" s="5">
        <v>354</v>
      </c>
      <c r="C355" s="5">
        <v>0.2576</v>
      </c>
      <c r="D355" s="5">
        <v>0.56000000000000005</v>
      </c>
      <c r="E355" s="5">
        <v>0.16420000000000001</v>
      </c>
      <c r="F355" s="5">
        <v>1</v>
      </c>
      <c r="G355" s="5">
        <v>1</v>
      </c>
      <c r="H355" s="5">
        <v>2</v>
      </c>
    </row>
    <row r="356" spans="1:8" x14ac:dyDescent="0.3">
      <c r="A356" s="5">
        <v>354</v>
      </c>
      <c r="B356" s="5">
        <v>355</v>
      </c>
      <c r="C356" s="5">
        <v>0.2576</v>
      </c>
      <c r="D356" s="5">
        <v>0.56000000000000005</v>
      </c>
      <c r="E356" s="5">
        <v>0.16420000000000001</v>
      </c>
      <c r="F356" s="5">
        <v>0</v>
      </c>
      <c r="G356" s="5">
        <v>1</v>
      </c>
      <c r="H356" s="5">
        <v>1</v>
      </c>
    </row>
    <row r="357" spans="1:8" x14ac:dyDescent="0.3">
      <c r="A357" s="5">
        <v>355</v>
      </c>
      <c r="B357" s="5">
        <v>356</v>
      </c>
      <c r="C357" s="5">
        <v>0.21210000000000001</v>
      </c>
      <c r="D357" s="5">
        <v>0.56000000000000005</v>
      </c>
      <c r="E357" s="5">
        <v>0.29849999999999999</v>
      </c>
      <c r="F357" s="5">
        <v>0</v>
      </c>
      <c r="G357" s="5">
        <v>3</v>
      </c>
      <c r="H357" s="5">
        <v>3</v>
      </c>
    </row>
    <row r="358" spans="1:8" x14ac:dyDescent="0.3">
      <c r="A358" s="5">
        <v>356</v>
      </c>
      <c r="B358" s="5">
        <v>357</v>
      </c>
      <c r="C358" s="5">
        <v>0.21210000000000001</v>
      </c>
      <c r="D358" s="5">
        <v>0.55000000000000004</v>
      </c>
      <c r="E358" s="5">
        <v>0.28360000000000002</v>
      </c>
      <c r="F358" s="5">
        <v>0</v>
      </c>
      <c r="G358" s="5">
        <v>18</v>
      </c>
      <c r="H358" s="5">
        <v>18</v>
      </c>
    </row>
    <row r="359" spans="1:8" x14ac:dyDescent="0.3">
      <c r="A359" s="5">
        <v>357</v>
      </c>
      <c r="B359" s="5">
        <v>358</v>
      </c>
      <c r="C359" s="5">
        <v>0.21210000000000001</v>
      </c>
      <c r="D359" s="5">
        <v>0.51</v>
      </c>
      <c r="E359" s="5">
        <v>0.25369999999999998</v>
      </c>
      <c r="F359" s="5">
        <v>3</v>
      </c>
      <c r="G359" s="5">
        <v>29</v>
      </c>
      <c r="H359" s="5">
        <v>32</v>
      </c>
    </row>
    <row r="360" spans="1:8" x14ac:dyDescent="0.3">
      <c r="A360" s="5">
        <v>358</v>
      </c>
      <c r="B360" s="5">
        <v>359</v>
      </c>
      <c r="C360" s="5">
        <v>0.21210000000000001</v>
      </c>
      <c r="D360" s="5">
        <v>0.51</v>
      </c>
      <c r="E360" s="5">
        <v>0.28360000000000002</v>
      </c>
      <c r="F360" s="5">
        <v>8</v>
      </c>
      <c r="G360" s="5">
        <v>71</v>
      </c>
      <c r="H360" s="5">
        <v>79</v>
      </c>
    </row>
    <row r="361" spans="1:8" x14ac:dyDescent="0.3">
      <c r="A361" s="5">
        <v>359</v>
      </c>
      <c r="B361" s="5">
        <v>360</v>
      </c>
      <c r="C361" s="5">
        <v>0.2273</v>
      </c>
      <c r="D361" s="5">
        <v>0.44</v>
      </c>
      <c r="E361" s="5">
        <v>0.25369999999999998</v>
      </c>
      <c r="F361" s="5">
        <v>23</v>
      </c>
      <c r="G361" s="5">
        <v>70</v>
      </c>
      <c r="H361" s="5">
        <v>93</v>
      </c>
    </row>
    <row r="362" spans="1:8" x14ac:dyDescent="0.3">
      <c r="A362" s="5">
        <v>360</v>
      </c>
      <c r="B362" s="5">
        <v>361</v>
      </c>
      <c r="C362" s="5">
        <v>0.21210000000000001</v>
      </c>
      <c r="D362" s="5">
        <v>0.41</v>
      </c>
      <c r="E362" s="5">
        <v>0.28360000000000002</v>
      </c>
      <c r="F362" s="5">
        <v>29</v>
      </c>
      <c r="G362" s="5">
        <v>75</v>
      </c>
      <c r="H362" s="5">
        <v>104</v>
      </c>
    </row>
    <row r="363" spans="1:8" x14ac:dyDescent="0.3">
      <c r="A363" s="5">
        <v>361</v>
      </c>
      <c r="B363" s="5">
        <v>362</v>
      </c>
      <c r="C363" s="5">
        <v>0.2273</v>
      </c>
      <c r="D363" s="5">
        <v>0.35</v>
      </c>
      <c r="E363" s="5">
        <v>0.29849999999999999</v>
      </c>
      <c r="F363" s="5">
        <v>23</v>
      </c>
      <c r="G363" s="5">
        <v>95</v>
      </c>
      <c r="H363" s="5">
        <v>118</v>
      </c>
    </row>
    <row r="364" spans="1:8" x14ac:dyDescent="0.3">
      <c r="A364" s="5">
        <v>362</v>
      </c>
      <c r="B364" s="5">
        <v>363</v>
      </c>
      <c r="C364" s="5">
        <v>0.2727</v>
      </c>
      <c r="D364" s="5">
        <v>0.36</v>
      </c>
      <c r="E364" s="5">
        <v>0.25369999999999998</v>
      </c>
      <c r="F364" s="5">
        <v>22</v>
      </c>
      <c r="G364" s="5">
        <v>69</v>
      </c>
      <c r="H364" s="5">
        <v>91</v>
      </c>
    </row>
    <row r="365" spans="1:8" x14ac:dyDescent="0.3">
      <c r="A365" s="5">
        <v>363</v>
      </c>
      <c r="B365" s="5">
        <v>364</v>
      </c>
      <c r="C365" s="5">
        <v>0.2424</v>
      </c>
      <c r="D365" s="5">
        <v>0.38</v>
      </c>
      <c r="E365" s="5">
        <v>0.25369999999999998</v>
      </c>
      <c r="F365" s="5">
        <v>35</v>
      </c>
      <c r="G365" s="5">
        <v>78</v>
      </c>
      <c r="H365" s="5">
        <v>113</v>
      </c>
    </row>
    <row r="366" spans="1:8" x14ac:dyDescent="0.3">
      <c r="A366" s="5">
        <v>364</v>
      </c>
      <c r="B366" s="5">
        <v>365</v>
      </c>
      <c r="C366" s="5">
        <v>0.2273</v>
      </c>
      <c r="D366" s="5">
        <v>0.38</v>
      </c>
      <c r="E366" s="5">
        <v>0.22389999999999999</v>
      </c>
      <c r="F366" s="5">
        <v>22</v>
      </c>
      <c r="G366" s="5">
        <v>77</v>
      </c>
      <c r="H366" s="5">
        <v>99</v>
      </c>
    </row>
    <row r="367" spans="1:8" x14ac:dyDescent="0.3">
      <c r="A367" s="5">
        <v>365</v>
      </c>
      <c r="B367" s="5">
        <v>366</v>
      </c>
      <c r="C367" s="5">
        <v>0.21210000000000001</v>
      </c>
      <c r="D367" s="5">
        <v>0.37</v>
      </c>
      <c r="E367" s="5">
        <v>0.25369999999999998</v>
      </c>
      <c r="F367" s="5">
        <v>23</v>
      </c>
      <c r="G367" s="5">
        <v>82</v>
      </c>
      <c r="H367" s="5">
        <v>105</v>
      </c>
    </row>
    <row r="368" spans="1:8" x14ac:dyDescent="0.3">
      <c r="A368" s="5">
        <v>366</v>
      </c>
      <c r="B368" s="5">
        <v>367</v>
      </c>
      <c r="C368" s="5">
        <v>0.21210000000000001</v>
      </c>
      <c r="D368" s="5">
        <v>0.4</v>
      </c>
      <c r="E368" s="5">
        <v>0.16420000000000001</v>
      </c>
      <c r="F368" s="5">
        <v>11</v>
      </c>
      <c r="G368" s="5">
        <v>56</v>
      </c>
      <c r="H368" s="5">
        <v>67</v>
      </c>
    </row>
    <row r="369" spans="1:8" x14ac:dyDescent="0.3">
      <c r="A369" s="5">
        <v>367</v>
      </c>
      <c r="B369" s="5">
        <v>368</v>
      </c>
      <c r="C369" s="5">
        <v>0.19700000000000001</v>
      </c>
      <c r="D369" s="5">
        <v>0.47</v>
      </c>
      <c r="E369" s="5">
        <v>0.1343</v>
      </c>
      <c r="F369" s="5">
        <v>14</v>
      </c>
      <c r="G369" s="5">
        <v>47</v>
      </c>
      <c r="H369" s="5">
        <v>61</v>
      </c>
    </row>
    <row r="370" spans="1:8" x14ac:dyDescent="0.3">
      <c r="A370" s="5">
        <v>368</v>
      </c>
      <c r="B370" s="5">
        <v>369</v>
      </c>
      <c r="C370" s="5">
        <v>0.19700000000000001</v>
      </c>
      <c r="D370" s="5">
        <v>0.47</v>
      </c>
      <c r="E370" s="5">
        <v>0.16420000000000001</v>
      </c>
      <c r="F370" s="5">
        <v>7</v>
      </c>
      <c r="G370" s="5">
        <v>50</v>
      </c>
      <c r="H370" s="5">
        <v>57</v>
      </c>
    </row>
    <row r="371" spans="1:8" x14ac:dyDescent="0.3">
      <c r="A371" s="5">
        <v>369</v>
      </c>
      <c r="B371" s="5">
        <v>370</v>
      </c>
      <c r="C371" s="5">
        <v>0.19700000000000001</v>
      </c>
      <c r="D371" s="5">
        <v>0.51</v>
      </c>
      <c r="E371" s="5">
        <v>0.16420000000000001</v>
      </c>
      <c r="F371" s="5">
        <v>6</v>
      </c>
      <c r="G371" s="5">
        <v>22</v>
      </c>
      <c r="H371" s="5">
        <v>28</v>
      </c>
    </row>
    <row r="372" spans="1:8" x14ac:dyDescent="0.3">
      <c r="A372" s="5">
        <v>370</v>
      </c>
      <c r="B372" s="5">
        <v>371</v>
      </c>
      <c r="C372" s="5">
        <v>0.21210000000000001</v>
      </c>
      <c r="D372" s="5">
        <v>0.49</v>
      </c>
      <c r="E372" s="5">
        <v>0.1343</v>
      </c>
      <c r="F372" s="5">
        <v>2</v>
      </c>
      <c r="G372" s="5">
        <v>19</v>
      </c>
      <c r="H372" s="5">
        <v>21</v>
      </c>
    </row>
    <row r="373" spans="1:8" x14ac:dyDescent="0.3">
      <c r="A373" s="5">
        <v>371</v>
      </c>
      <c r="B373" s="5">
        <v>372</v>
      </c>
      <c r="C373" s="5">
        <v>0.2273</v>
      </c>
      <c r="D373" s="5">
        <v>0.4</v>
      </c>
      <c r="E373" s="5">
        <v>0.1045</v>
      </c>
      <c r="F373" s="5">
        <v>0</v>
      </c>
      <c r="G373" s="5">
        <v>18</v>
      </c>
      <c r="H373" s="5">
        <v>18</v>
      </c>
    </row>
    <row r="374" spans="1:8" x14ac:dyDescent="0.3">
      <c r="A374" s="5">
        <v>372</v>
      </c>
      <c r="B374" s="5">
        <v>373</v>
      </c>
      <c r="C374" s="5">
        <v>0.19700000000000001</v>
      </c>
      <c r="D374" s="5">
        <v>0.47</v>
      </c>
      <c r="E374" s="5">
        <v>0.22389999999999999</v>
      </c>
      <c r="F374" s="5">
        <v>1</v>
      </c>
      <c r="G374" s="5">
        <v>16</v>
      </c>
      <c r="H374" s="5">
        <v>17</v>
      </c>
    </row>
    <row r="375" spans="1:8" x14ac:dyDescent="0.3">
      <c r="A375" s="5">
        <v>373</v>
      </c>
      <c r="B375" s="5">
        <v>374</v>
      </c>
      <c r="C375" s="5">
        <v>0.19700000000000001</v>
      </c>
      <c r="D375" s="5">
        <v>0.44</v>
      </c>
      <c r="E375" s="5">
        <v>0.19400000000000001</v>
      </c>
      <c r="F375" s="5">
        <v>1</v>
      </c>
      <c r="G375" s="5">
        <v>15</v>
      </c>
      <c r="H375" s="5">
        <v>16</v>
      </c>
    </row>
    <row r="376" spans="1:8" x14ac:dyDescent="0.3">
      <c r="A376" s="5">
        <v>374</v>
      </c>
      <c r="B376" s="5">
        <v>375</v>
      </c>
      <c r="C376" s="5">
        <v>0.16669999999999999</v>
      </c>
      <c r="D376" s="5">
        <v>0.43</v>
      </c>
      <c r="E376" s="5">
        <v>0.25369999999999998</v>
      </c>
      <c r="F376" s="5">
        <v>0</v>
      </c>
      <c r="G376" s="5">
        <v>8</v>
      </c>
      <c r="H376" s="5">
        <v>8</v>
      </c>
    </row>
    <row r="377" spans="1:8" x14ac:dyDescent="0.3">
      <c r="A377" s="5">
        <v>375</v>
      </c>
      <c r="B377" s="5">
        <v>376</v>
      </c>
      <c r="C377" s="5">
        <v>0.18179999999999999</v>
      </c>
      <c r="D377" s="5">
        <v>0.43</v>
      </c>
      <c r="E377" s="5">
        <v>0.19400000000000001</v>
      </c>
      <c r="F377" s="5">
        <v>0</v>
      </c>
      <c r="G377" s="5">
        <v>2</v>
      </c>
      <c r="H377" s="5">
        <v>2</v>
      </c>
    </row>
    <row r="378" spans="1:8" x14ac:dyDescent="0.3">
      <c r="A378" s="5">
        <v>376</v>
      </c>
      <c r="B378" s="5">
        <v>377</v>
      </c>
      <c r="C378" s="5">
        <v>0.19700000000000001</v>
      </c>
      <c r="D378" s="5">
        <v>0.43</v>
      </c>
      <c r="E378" s="5">
        <v>0.1343</v>
      </c>
      <c r="F378" s="5">
        <v>1</v>
      </c>
      <c r="G378" s="5">
        <v>2</v>
      </c>
      <c r="H378" s="5">
        <v>3</v>
      </c>
    </row>
    <row r="379" spans="1:8" x14ac:dyDescent="0.3">
      <c r="A379" s="5">
        <v>377</v>
      </c>
      <c r="B379" s="5">
        <v>378</v>
      </c>
      <c r="C379" s="5">
        <v>0.19700000000000001</v>
      </c>
      <c r="D379" s="5">
        <v>0.43</v>
      </c>
      <c r="E379" s="5">
        <v>0.16420000000000001</v>
      </c>
      <c r="F379" s="5">
        <v>0</v>
      </c>
      <c r="G379" s="5">
        <v>1</v>
      </c>
      <c r="H379" s="5">
        <v>1</v>
      </c>
    </row>
    <row r="380" spans="1:8" x14ac:dyDescent="0.3">
      <c r="A380" s="5">
        <v>378</v>
      </c>
      <c r="B380" s="5">
        <v>379</v>
      </c>
      <c r="C380" s="5">
        <v>0.18179999999999999</v>
      </c>
      <c r="D380" s="5">
        <v>0.43</v>
      </c>
      <c r="E380" s="5">
        <v>0.19400000000000001</v>
      </c>
      <c r="F380" s="5">
        <v>0</v>
      </c>
      <c r="G380" s="5">
        <v>5</v>
      </c>
      <c r="H380" s="5">
        <v>5</v>
      </c>
    </row>
    <row r="381" spans="1:8" x14ac:dyDescent="0.3">
      <c r="A381" s="5">
        <v>379</v>
      </c>
      <c r="B381" s="5">
        <v>380</v>
      </c>
      <c r="C381" s="5">
        <v>0.18179999999999999</v>
      </c>
      <c r="D381" s="5">
        <v>0.5</v>
      </c>
      <c r="E381" s="5">
        <v>0.1343</v>
      </c>
      <c r="F381" s="5">
        <v>4</v>
      </c>
      <c r="G381" s="5">
        <v>9</v>
      </c>
      <c r="H381" s="5">
        <v>13</v>
      </c>
    </row>
    <row r="382" spans="1:8" x14ac:dyDescent="0.3">
      <c r="A382" s="5">
        <v>380</v>
      </c>
      <c r="B382" s="5">
        <v>381</v>
      </c>
      <c r="C382" s="5">
        <v>0.1515</v>
      </c>
      <c r="D382" s="5">
        <v>0.47</v>
      </c>
      <c r="E382" s="5">
        <v>0.22389999999999999</v>
      </c>
      <c r="F382" s="5">
        <v>3</v>
      </c>
      <c r="G382" s="5">
        <v>30</v>
      </c>
      <c r="H382" s="5">
        <v>33</v>
      </c>
    </row>
    <row r="383" spans="1:8" x14ac:dyDescent="0.3">
      <c r="A383" s="5">
        <v>381</v>
      </c>
      <c r="B383" s="5">
        <v>382</v>
      </c>
      <c r="C383" s="5">
        <v>0.1515</v>
      </c>
      <c r="D383" s="5">
        <v>0.47</v>
      </c>
      <c r="E383" s="5">
        <v>0.22389999999999999</v>
      </c>
      <c r="F383" s="5">
        <v>8</v>
      </c>
      <c r="G383" s="5">
        <v>39</v>
      </c>
      <c r="H383" s="5">
        <v>47</v>
      </c>
    </row>
    <row r="384" spans="1:8" x14ac:dyDescent="0.3">
      <c r="A384" s="5">
        <v>382</v>
      </c>
      <c r="B384" s="5">
        <v>383</v>
      </c>
      <c r="C384" s="5">
        <v>0.1515</v>
      </c>
      <c r="D384" s="5">
        <v>0.5</v>
      </c>
      <c r="E384" s="5">
        <v>0.25369999999999998</v>
      </c>
      <c r="F384" s="5">
        <v>7</v>
      </c>
      <c r="G384" s="5">
        <v>50</v>
      </c>
      <c r="H384" s="5">
        <v>57</v>
      </c>
    </row>
    <row r="385" spans="1:8" x14ac:dyDescent="0.3">
      <c r="A385" s="5">
        <v>383</v>
      </c>
      <c r="B385" s="5">
        <v>384</v>
      </c>
      <c r="C385" s="5">
        <v>0.1515</v>
      </c>
      <c r="D385" s="5">
        <v>0.55000000000000004</v>
      </c>
      <c r="E385" s="5">
        <v>0.19400000000000001</v>
      </c>
      <c r="F385" s="5">
        <v>9</v>
      </c>
      <c r="G385" s="5">
        <v>55</v>
      </c>
      <c r="H385" s="5">
        <v>64</v>
      </c>
    </row>
    <row r="386" spans="1:8" x14ac:dyDescent="0.3">
      <c r="A386" s="5">
        <v>384</v>
      </c>
      <c r="B386" s="5">
        <v>385</v>
      </c>
      <c r="C386" s="5">
        <v>0.19700000000000001</v>
      </c>
      <c r="D386" s="5">
        <v>0.47</v>
      </c>
      <c r="E386" s="5">
        <v>0.1343</v>
      </c>
      <c r="F386" s="5">
        <v>10</v>
      </c>
      <c r="G386" s="5">
        <v>70</v>
      </c>
      <c r="H386" s="5">
        <v>80</v>
      </c>
    </row>
    <row r="387" spans="1:8" x14ac:dyDescent="0.3">
      <c r="A387" s="5">
        <v>385</v>
      </c>
      <c r="B387" s="5">
        <v>386</v>
      </c>
      <c r="C387" s="5">
        <v>0.19700000000000001</v>
      </c>
      <c r="D387" s="5">
        <v>0.47</v>
      </c>
      <c r="E387" s="5">
        <v>0.1343</v>
      </c>
      <c r="F387" s="5">
        <v>13</v>
      </c>
      <c r="G387" s="5">
        <v>80</v>
      </c>
      <c r="H387" s="5">
        <v>93</v>
      </c>
    </row>
    <row r="388" spans="1:8" x14ac:dyDescent="0.3">
      <c r="A388" s="5">
        <v>386</v>
      </c>
      <c r="B388" s="5">
        <v>387</v>
      </c>
      <c r="C388" s="5">
        <v>0.21210000000000001</v>
      </c>
      <c r="D388" s="5">
        <v>0.43</v>
      </c>
      <c r="E388" s="5">
        <v>0.1045</v>
      </c>
      <c r="F388" s="5">
        <v>12</v>
      </c>
      <c r="G388" s="5">
        <v>74</v>
      </c>
      <c r="H388" s="5">
        <v>86</v>
      </c>
    </row>
    <row r="389" spans="1:8" x14ac:dyDescent="0.3">
      <c r="A389" s="5">
        <v>387</v>
      </c>
      <c r="B389" s="5">
        <v>388</v>
      </c>
      <c r="C389" s="5">
        <v>0.21210000000000001</v>
      </c>
      <c r="D389" s="5">
        <v>0.47</v>
      </c>
      <c r="E389" s="5">
        <v>0.16420000000000001</v>
      </c>
      <c r="F389" s="5">
        <v>21</v>
      </c>
      <c r="G389" s="5">
        <v>72</v>
      </c>
      <c r="H389" s="5">
        <v>93</v>
      </c>
    </row>
    <row r="390" spans="1:8" x14ac:dyDescent="0.3">
      <c r="A390" s="5">
        <v>388</v>
      </c>
      <c r="B390" s="5">
        <v>389</v>
      </c>
      <c r="C390" s="5">
        <v>0.21210000000000001</v>
      </c>
      <c r="D390" s="5">
        <v>0.47</v>
      </c>
      <c r="E390" s="5">
        <v>0.16420000000000001</v>
      </c>
      <c r="F390" s="5">
        <v>6</v>
      </c>
      <c r="G390" s="5">
        <v>76</v>
      </c>
      <c r="H390" s="5">
        <v>82</v>
      </c>
    </row>
    <row r="391" spans="1:8" x14ac:dyDescent="0.3">
      <c r="A391" s="5">
        <v>389</v>
      </c>
      <c r="B391" s="5">
        <v>390</v>
      </c>
      <c r="C391" s="5">
        <v>0.19700000000000001</v>
      </c>
      <c r="D391" s="5">
        <v>0.51</v>
      </c>
      <c r="E391" s="5">
        <v>0.19400000000000001</v>
      </c>
      <c r="F391" s="5">
        <v>4</v>
      </c>
      <c r="G391" s="5">
        <v>67</v>
      </c>
      <c r="H391" s="5">
        <v>71</v>
      </c>
    </row>
    <row r="392" spans="1:8" x14ac:dyDescent="0.3">
      <c r="A392" s="5">
        <v>390</v>
      </c>
      <c r="B392" s="5">
        <v>391</v>
      </c>
      <c r="C392" s="5">
        <v>0.16669999999999999</v>
      </c>
      <c r="D392" s="5">
        <v>0.55000000000000004</v>
      </c>
      <c r="E392" s="5">
        <v>0.25369999999999998</v>
      </c>
      <c r="F392" s="5">
        <v>7</v>
      </c>
      <c r="G392" s="5">
        <v>85</v>
      </c>
      <c r="H392" s="5">
        <v>92</v>
      </c>
    </row>
    <row r="393" spans="1:8" x14ac:dyDescent="0.3">
      <c r="A393" s="5">
        <v>391</v>
      </c>
      <c r="B393" s="5">
        <v>392</v>
      </c>
      <c r="C393" s="5">
        <v>0.18179999999999999</v>
      </c>
      <c r="D393" s="5">
        <v>0.59</v>
      </c>
      <c r="E393" s="5">
        <v>0.19400000000000001</v>
      </c>
      <c r="F393" s="5">
        <v>2</v>
      </c>
      <c r="G393" s="5">
        <v>58</v>
      </c>
      <c r="H393" s="5">
        <v>60</v>
      </c>
    </row>
    <row r="394" spans="1:8" x14ac:dyDescent="0.3">
      <c r="A394" s="5">
        <v>392</v>
      </c>
      <c r="B394" s="5">
        <v>393</v>
      </c>
      <c r="C394" s="5">
        <v>0.1515</v>
      </c>
      <c r="D394" s="5">
        <v>0.8</v>
      </c>
      <c r="E394" s="5">
        <v>0.19400000000000001</v>
      </c>
      <c r="F394" s="5">
        <v>4</v>
      </c>
      <c r="G394" s="5">
        <v>29</v>
      </c>
      <c r="H394" s="5">
        <v>33</v>
      </c>
    </row>
    <row r="395" spans="1:8" x14ac:dyDescent="0.3">
      <c r="A395" s="5">
        <v>393</v>
      </c>
      <c r="B395" s="5">
        <v>394</v>
      </c>
      <c r="C395" s="5">
        <v>0.1515</v>
      </c>
      <c r="D395" s="5">
        <v>0.8</v>
      </c>
      <c r="E395" s="5">
        <v>0.19400000000000001</v>
      </c>
      <c r="F395" s="5">
        <v>3</v>
      </c>
      <c r="G395" s="5">
        <v>24</v>
      </c>
      <c r="H395" s="5">
        <v>27</v>
      </c>
    </row>
    <row r="396" spans="1:8" x14ac:dyDescent="0.3">
      <c r="A396" s="5">
        <v>394</v>
      </c>
      <c r="B396" s="5">
        <v>395</v>
      </c>
      <c r="C396" s="5">
        <v>0.1212</v>
      </c>
      <c r="D396" s="5">
        <v>0.93</v>
      </c>
      <c r="E396" s="5">
        <v>0.25369999999999998</v>
      </c>
      <c r="F396" s="5">
        <v>0</v>
      </c>
      <c r="G396" s="5">
        <v>13</v>
      </c>
      <c r="H396" s="5">
        <v>13</v>
      </c>
    </row>
    <row r="397" spans="1:8" x14ac:dyDescent="0.3">
      <c r="A397" s="5">
        <v>395</v>
      </c>
      <c r="B397" s="5">
        <v>396</v>
      </c>
      <c r="C397" s="5">
        <v>0.13639999999999999</v>
      </c>
      <c r="D397" s="5">
        <v>0.86</v>
      </c>
      <c r="E397" s="5">
        <v>0.28360000000000002</v>
      </c>
      <c r="F397" s="5">
        <v>1</v>
      </c>
      <c r="G397" s="5">
        <v>3</v>
      </c>
      <c r="H397" s="5">
        <v>4</v>
      </c>
    </row>
    <row r="398" spans="1:8" x14ac:dyDescent="0.3">
      <c r="A398" s="5">
        <v>396</v>
      </c>
      <c r="B398" s="5">
        <v>397</v>
      </c>
      <c r="C398" s="5">
        <v>0.18179999999999999</v>
      </c>
      <c r="D398" s="5">
        <v>0.86</v>
      </c>
      <c r="E398" s="5">
        <v>0.32840000000000003</v>
      </c>
      <c r="F398" s="5">
        <v>0</v>
      </c>
      <c r="G398" s="5">
        <v>3</v>
      </c>
      <c r="H398" s="5">
        <v>3</v>
      </c>
    </row>
    <row r="399" spans="1:8" x14ac:dyDescent="0.3">
      <c r="A399" s="5">
        <v>397</v>
      </c>
      <c r="B399" s="5">
        <v>398</v>
      </c>
      <c r="C399" s="5">
        <v>0.19700000000000001</v>
      </c>
      <c r="D399" s="5">
        <v>0.86</v>
      </c>
      <c r="E399" s="5">
        <v>0.22389999999999999</v>
      </c>
      <c r="F399" s="5">
        <v>0</v>
      </c>
      <c r="G399" s="5">
        <v>22</v>
      </c>
      <c r="H399" s="5">
        <v>22</v>
      </c>
    </row>
    <row r="400" spans="1:8" x14ac:dyDescent="0.3">
      <c r="A400" s="5">
        <v>398</v>
      </c>
      <c r="B400" s="5">
        <v>399</v>
      </c>
      <c r="C400" s="5">
        <v>0.2273</v>
      </c>
      <c r="D400" s="5">
        <v>0.8</v>
      </c>
      <c r="E400" s="5">
        <v>0.16420000000000001</v>
      </c>
      <c r="F400" s="5">
        <v>2</v>
      </c>
      <c r="G400" s="5">
        <v>26</v>
      </c>
      <c r="H400" s="5">
        <v>28</v>
      </c>
    </row>
    <row r="401" spans="1:8" x14ac:dyDescent="0.3">
      <c r="A401" s="5">
        <v>399</v>
      </c>
      <c r="B401" s="5">
        <v>400</v>
      </c>
      <c r="C401" s="5">
        <v>0.2273</v>
      </c>
      <c r="D401" s="5">
        <v>0.87</v>
      </c>
      <c r="E401" s="5">
        <v>0.16420000000000001</v>
      </c>
      <c r="F401" s="5">
        <v>3</v>
      </c>
      <c r="G401" s="5">
        <v>32</v>
      </c>
      <c r="H401" s="5">
        <v>35</v>
      </c>
    </row>
    <row r="402" spans="1:8" x14ac:dyDescent="0.3">
      <c r="A402" s="5">
        <v>400</v>
      </c>
      <c r="B402" s="5">
        <v>401</v>
      </c>
      <c r="C402" s="5">
        <v>0.2273</v>
      </c>
      <c r="D402" s="5">
        <v>0.87</v>
      </c>
      <c r="E402" s="5">
        <v>0.19400000000000001</v>
      </c>
      <c r="F402" s="5">
        <v>0</v>
      </c>
      <c r="G402" s="5">
        <v>61</v>
      </c>
      <c r="H402" s="5">
        <v>61</v>
      </c>
    </row>
    <row r="403" spans="1:8" x14ac:dyDescent="0.3">
      <c r="A403" s="5">
        <v>401</v>
      </c>
      <c r="B403" s="5">
        <v>402</v>
      </c>
      <c r="C403" s="5">
        <v>0.2273</v>
      </c>
      <c r="D403" s="5">
        <v>0.82</v>
      </c>
      <c r="E403" s="5">
        <v>0.19400000000000001</v>
      </c>
      <c r="F403" s="5">
        <v>1</v>
      </c>
      <c r="G403" s="5">
        <v>124</v>
      </c>
      <c r="H403" s="5">
        <v>125</v>
      </c>
    </row>
    <row r="404" spans="1:8" x14ac:dyDescent="0.3">
      <c r="A404" s="5">
        <v>402</v>
      </c>
      <c r="B404" s="5">
        <v>403</v>
      </c>
      <c r="C404" s="5">
        <v>0.2273</v>
      </c>
      <c r="D404" s="5">
        <v>0.8</v>
      </c>
      <c r="E404" s="5">
        <v>0.16420000000000001</v>
      </c>
      <c r="F404" s="5">
        <v>1</v>
      </c>
      <c r="G404" s="5">
        <v>132</v>
      </c>
      <c r="H404" s="5">
        <v>133</v>
      </c>
    </row>
    <row r="405" spans="1:8" x14ac:dyDescent="0.3">
      <c r="A405" s="5">
        <v>403</v>
      </c>
      <c r="B405" s="5">
        <v>404</v>
      </c>
      <c r="C405" s="5">
        <v>0.2273</v>
      </c>
      <c r="D405" s="5">
        <v>0.8</v>
      </c>
      <c r="E405" s="5">
        <v>0.1343</v>
      </c>
      <c r="F405" s="5">
        <v>1</v>
      </c>
      <c r="G405" s="5">
        <v>98</v>
      </c>
      <c r="H405" s="5">
        <v>99</v>
      </c>
    </row>
    <row r="406" spans="1:8" x14ac:dyDescent="0.3">
      <c r="A406" s="5">
        <v>404</v>
      </c>
      <c r="B406" s="5">
        <v>405</v>
      </c>
      <c r="C406" s="5">
        <v>0.2727</v>
      </c>
      <c r="D406" s="5">
        <v>0.87</v>
      </c>
      <c r="E406" s="5">
        <v>0</v>
      </c>
      <c r="F406" s="5">
        <v>0</v>
      </c>
      <c r="G406" s="5">
        <v>83</v>
      </c>
      <c r="H406" s="5">
        <v>83</v>
      </c>
    </row>
    <row r="407" spans="1:8" x14ac:dyDescent="0.3">
      <c r="A407" s="5">
        <v>405</v>
      </c>
      <c r="B407" s="5">
        <v>406</v>
      </c>
      <c r="C407" s="5">
        <v>0.2424</v>
      </c>
      <c r="D407" s="5">
        <v>0.93</v>
      </c>
      <c r="E407" s="5">
        <v>0.1045</v>
      </c>
      <c r="F407" s="5">
        <v>0</v>
      </c>
      <c r="G407" s="5">
        <v>41</v>
      </c>
      <c r="H407" s="5">
        <v>41</v>
      </c>
    </row>
    <row r="408" spans="1:8" x14ac:dyDescent="0.3">
      <c r="A408" s="5">
        <v>406</v>
      </c>
      <c r="B408" s="5">
        <v>407</v>
      </c>
      <c r="C408" s="5">
        <v>0.2576</v>
      </c>
      <c r="D408" s="5">
        <v>0.93</v>
      </c>
      <c r="E408" s="5">
        <v>8.9599999999999999E-2</v>
      </c>
      <c r="F408" s="5">
        <v>0</v>
      </c>
      <c r="G408" s="5">
        <v>33</v>
      </c>
      <c r="H408" s="5">
        <v>33</v>
      </c>
    </row>
    <row r="409" spans="1:8" x14ac:dyDescent="0.3">
      <c r="A409" s="5">
        <v>407</v>
      </c>
      <c r="B409" s="5">
        <v>408</v>
      </c>
      <c r="C409" s="5">
        <v>0.2727</v>
      </c>
      <c r="D409" s="5">
        <v>0.93</v>
      </c>
      <c r="E409" s="5">
        <v>0</v>
      </c>
      <c r="F409" s="5">
        <v>1</v>
      </c>
      <c r="G409" s="5">
        <v>19</v>
      </c>
      <c r="H409" s="5">
        <v>20</v>
      </c>
    </row>
    <row r="410" spans="1:8" x14ac:dyDescent="0.3">
      <c r="A410" s="5">
        <v>408</v>
      </c>
      <c r="B410" s="5">
        <v>409</v>
      </c>
      <c r="C410" s="5">
        <v>0.2727</v>
      </c>
      <c r="D410" s="5">
        <v>0.93</v>
      </c>
      <c r="E410" s="5">
        <v>0</v>
      </c>
      <c r="F410" s="5">
        <v>0</v>
      </c>
      <c r="G410" s="5">
        <v>3</v>
      </c>
      <c r="H410" s="5">
        <v>3</v>
      </c>
    </row>
    <row r="411" spans="1:8" x14ac:dyDescent="0.3">
      <c r="A411" s="5">
        <v>409</v>
      </c>
      <c r="B411" s="5">
        <v>410</v>
      </c>
      <c r="C411" s="5">
        <v>0.2273</v>
      </c>
      <c r="D411" s="5">
        <v>0.93</v>
      </c>
      <c r="E411" s="5">
        <v>0.1343</v>
      </c>
      <c r="F411" s="5">
        <v>1</v>
      </c>
      <c r="G411" s="5">
        <v>6</v>
      </c>
      <c r="H411" s="5">
        <v>7</v>
      </c>
    </row>
    <row r="412" spans="1:8" x14ac:dyDescent="0.3">
      <c r="A412" s="5">
        <v>410</v>
      </c>
      <c r="B412" s="5">
        <v>411</v>
      </c>
      <c r="C412" s="5">
        <v>0.2273</v>
      </c>
      <c r="D412" s="5">
        <v>0.93</v>
      </c>
      <c r="E412" s="5">
        <v>0.1343</v>
      </c>
      <c r="F412" s="5">
        <v>0</v>
      </c>
      <c r="G412" s="5">
        <v>3</v>
      </c>
      <c r="H412" s="5">
        <v>3</v>
      </c>
    </row>
    <row r="413" spans="1:8" x14ac:dyDescent="0.3">
      <c r="A413" s="5">
        <v>411</v>
      </c>
      <c r="B413" s="5">
        <v>412</v>
      </c>
      <c r="C413" s="5">
        <v>0.2273</v>
      </c>
      <c r="D413" s="5">
        <v>0.93</v>
      </c>
      <c r="E413" s="5">
        <v>0.1343</v>
      </c>
      <c r="F413" s="5">
        <v>1</v>
      </c>
      <c r="G413" s="5">
        <v>1</v>
      </c>
      <c r="H413" s="5">
        <v>2</v>
      </c>
    </row>
    <row r="414" spans="1:8" x14ac:dyDescent="0.3">
      <c r="A414" s="5">
        <v>412</v>
      </c>
      <c r="B414" s="5">
        <v>413</v>
      </c>
      <c r="C414" s="5">
        <v>0.2576</v>
      </c>
      <c r="D414" s="5">
        <v>0.93</v>
      </c>
      <c r="E414" s="5">
        <v>8.9599999999999999E-2</v>
      </c>
      <c r="F414" s="5">
        <v>0</v>
      </c>
      <c r="G414" s="5">
        <v>7</v>
      </c>
      <c r="H414" s="5">
        <v>7</v>
      </c>
    </row>
    <row r="415" spans="1:8" x14ac:dyDescent="0.3">
      <c r="A415" s="5">
        <v>413</v>
      </c>
      <c r="B415" s="5">
        <v>414</v>
      </c>
      <c r="C415" s="5">
        <v>0.2576</v>
      </c>
      <c r="D415" s="5">
        <v>0.93</v>
      </c>
      <c r="E415" s="5">
        <v>8.9599999999999999E-2</v>
      </c>
      <c r="F415" s="5">
        <v>0</v>
      </c>
      <c r="G415" s="5">
        <v>32</v>
      </c>
      <c r="H415" s="5">
        <v>32</v>
      </c>
    </row>
    <row r="416" spans="1:8" x14ac:dyDescent="0.3">
      <c r="A416" s="5">
        <v>414</v>
      </c>
      <c r="B416" s="5">
        <v>415</v>
      </c>
      <c r="C416" s="5">
        <v>0.2576</v>
      </c>
      <c r="D416" s="5">
        <v>0.92</v>
      </c>
      <c r="E416" s="5">
        <v>0.1045</v>
      </c>
      <c r="F416" s="5">
        <v>1</v>
      </c>
      <c r="G416" s="5">
        <v>89</v>
      </c>
      <c r="H416" s="5">
        <v>90</v>
      </c>
    </row>
    <row r="417" spans="1:8" x14ac:dyDescent="0.3">
      <c r="A417" s="5">
        <v>415</v>
      </c>
      <c r="B417" s="5">
        <v>416</v>
      </c>
      <c r="C417" s="5">
        <v>0.2576</v>
      </c>
      <c r="D417" s="5">
        <v>0.93</v>
      </c>
      <c r="E417" s="5">
        <v>0.1045</v>
      </c>
      <c r="F417" s="5">
        <v>1</v>
      </c>
      <c r="G417" s="5">
        <v>196</v>
      </c>
      <c r="H417" s="5">
        <v>197</v>
      </c>
    </row>
    <row r="418" spans="1:8" x14ac:dyDescent="0.3">
      <c r="A418" s="5">
        <v>416</v>
      </c>
      <c r="B418" s="5">
        <v>417</v>
      </c>
      <c r="C418" s="5">
        <v>0.2576</v>
      </c>
      <c r="D418" s="5">
        <v>0.93</v>
      </c>
      <c r="E418" s="5">
        <v>0.1045</v>
      </c>
      <c r="F418" s="5">
        <v>2</v>
      </c>
      <c r="G418" s="5">
        <v>107</v>
      </c>
      <c r="H418" s="5">
        <v>109</v>
      </c>
    </row>
    <row r="419" spans="1:8" x14ac:dyDescent="0.3">
      <c r="A419" s="5">
        <v>417</v>
      </c>
      <c r="B419" s="5">
        <v>418</v>
      </c>
      <c r="C419" s="5">
        <v>0.2727</v>
      </c>
      <c r="D419" s="5">
        <v>0.93</v>
      </c>
      <c r="E419" s="5">
        <v>0.1343</v>
      </c>
      <c r="F419" s="5">
        <v>1</v>
      </c>
      <c r="G419" s="5">
        <v>46</v>
      </c>
      <c r="H419" s="5">
        <v>47</v>
      </c>
    </row>
    <row r="420" spans="1:8" x14ac:dyDescent="0.3">
      <c r="A420" s="5">
        <v>418</v>
      </c>
      <c r="B420" s="5">
        <v>419</v>
      </c>
      <c r="C420" s="5">
        <v>0.30299999999999999</v>
      </c>
      <c r="D420" s="5">
        <v>0.87</v>
      </c>
      <c r="E420" s="5">
        <v>8.9599999999999999E-2</v>
      </c>
      <c r="F420" s="5">
        <v>5</v>
      </c>
      <c r="G420" s="5">
        <v>47</v>
      </c>
      <c r="H420" s="5">
        <v>52</v>
      </c>
    </row>
    <row r="421" spans="1:8" x14ac:dyDescent="0.3">
      <c r="A421" s="5">
        <v>419</v>
      </c>
      <c r="B421" s="5">
        <v>420</v>
      </c>
      <c r="C421" s="5">
        <v>0.31819999999999998</v>
      </c>
      <c r="D421" s="5">
        <v>0.81</v>
      </c>
      <c r="E421" s="5">
        <v>8.9599999999999999E-2</v>
      </c>
      <c r="F421" s="5">
        <v>5</v>
      </c>
      <c r="G421" s="5">
        <v>65</v>
      </c>
      <c r="H421" s="5">
        <v>70</v>
      </c>
    </row>
    <row r="422" spans="1:8" x14ac:dyDescent="0.3">
      <c r="A422" s="5">
        <v>420</v>
      </c>
      <c r="B422" s="5">
        <v>421</v>
      </c>
      <c r="C422" s="5">
        <v>0.40910000000000002</v>
      </c>
      <c r="D422" s="5">
        <v>0.62</v>
      </c>
      <c r="E422" s="5">
        <v>0.28360000000000002</v>
      </c>
      <c r="F422" s="5">
        <v>11</v>
      </c>
      <c r="G422" s="5">
        <v>67</v>
      </c>
      <c r="H422" s="5">
        <v>78</v>
      </c>
    </row>
    <row r="423" spans="1:8" x14ac:dyDescent="0.3">
      <c r="A423" s="5">
        <v>421</v>
      </c>
      <c r="B423" s="5">
        <v>422</v>
      </c>
      <c r="C423" s="5">
        <v>0.40910000000000002</v>
      </c>
      <c r="D423" s="5">
        <v>0.57999999999999996</v>
      </c>
      <c r="E423" s="5">
        <v>0.25369999999999998</v>
      </c>
      <c r="F423" s="5">
        <v>7</v>
      </c>
      <c r="G423" s="5">
        <v>68</v>
      </c>
      <c r="H423" s="5">
        <v>75</v>
      </c>
    </row>
    <row r="424" spans="1:8" x14ac:dyDescent="0.3">
      <c r="A424" s="5">
        <v>422</v>
      </c>
      <c r="B424" s="5">
        <v>423</v>
      </c>
      <c r="C424" s="5">
        <v>0.40910000000000002</v>
      </c>
      <c r="D424" s="5">
        <v>0.54</v>
      </c>
      <c r="E424" s="5">
        <v>0.28360000000000002</v>
      </c>
      <c r="F424" s="5">
        <v>4</v>
      </c>
      <c r="G424" s="5">
        <v>78</v>
      </c>
      <c r="H424" s="5">
        <v>82</v>
      </c>
    </row>
    <row r="425" spans="1:8" x14ac:dyDescent="0.3">
      <c r="A425" s="5">
        <v>423</v>
      </c>
      <c r="B425" s="5">
        <v>424</v>
      </c>
      <c r="C425" s="5">
        <v>0.39389999999999997</v>
      </c>
      <c r="D425" s="5">
        <v>0.57999999999999996</v>
      </c>
      <c r="E425" s="5">
        <v>0.3881</v>
      </c>
      <c r="F425" s="5">
        <v>10</v>
      </c>
      <c r="G425" s="5">
        <v>94</v>
      </c>
      <c r="H425" s="5">
        <v>104</v>
      </c>
    </row>
    <row r="426" spans="1:8" x14ac:dyDescent="0.3">
      <c r="A426" s="5">
        <v>424</v>
      </c>
      <c r="B426" s="5">
        <v>425</v>
      </c>
      <c r="C426" s="5">
        <v>0.33329999999999999</v>
      </c>
      <c r="D426" s="5">
        <v>0.56999999999999995</v>
      </c>
      <c r="E426" s="5">
        <v>0.32840000000000003</v>
      </c>
      <c r="F426" s="5">
        <v>7</v>
      </c>
      <c r="G426" s="5">
        <v>190</v>
      </c>
      <c r="H426" s="5">
        <v>197</v>
      </c>
    </row>
    <row r="427" spans="1:8" x14ac:dyDescent="0.3">
      <c r="A427" s="5">
        <v>425</v>
      </c>
      <c r="B427" s="5">
        <v>426</v>
      </c>
      <c r="C427" s="5">
        <v>0.31819999999999998</v>
      </c>
      <c r="D427" s="5">
        <v>0.61</v>
      </c>
      <c r="E427" s="5">
        <v>0.28360000000000002</v>
      </c>
      <c r="F427" s="5">
        <v>5</v>
      </c>
      <c r="G427" s="5">
        <v>156</v>
      </c>
      <c r="H427" s="5">
        <v>161</v>
      </c>
    </row>
    <row r="428" spans="1:8" x14ac:dyDescent="0.3">
      <c r="A428" s="5">
        <v>426</v>
      </c>
      <c r="B428" s="5">
        <v>427</v>
      </c>
      <c r="C428" s="5">
        <v>0.28789999999999999</v>
      </c>
      <c r="D428" s="5">
        <v>0.56999999999999995</v>
      </c>
      <c r="E428" s="5">
        <v>0.41789999999999999</v>
      </c>
      <c r="F428" s="5">
        <v>4</v>
      </c>
      <c r="G428" s="5">
        <v>108</v>
      </c>
      <c r="H428" s="5">
        <v>112</v>
      </c>
    </row>
    <row r="429" spans="1:8" x14ac:dyDescent="0.3">
      <c r="A429" s="5">
        <v>427</v>
      </c>
      <c r="B429" s="5">
        <v>428</v>
      </c>
      <c r="C429" s="5">
        <v>0.30299999999999999</v>
      </c>
      <c r="D429" s="5">
        <v>0.49</v>
      </c>
      <c r="E429" s="5">
        <v>0.29849999999999999</v>
      </c>
      <c r="F429" s="5">
        <v>2</v>
      </c>
      <c r="G429" s="5">
        <v>74</v>
      </c>
      <c r="H429" s="5">
        <v>76</v>
      </c>
    </row>
    <row r="430" spans="1:8" x14ac:dyDescent="0.3">
      <c r="A430" s="5">
        <v>428</v>
      </c>
      <c r="B430" s="5">
        <v>429</v>
      </c>
      <c r="C430" s="5">
        <v>0.28789999999999999</v>
      </c>
      <c r="D430" s="5">
        <v>0.49</v>
      </c>
      <c r="E430" s="5">
        <v>0.41789999999999999</v>
      </c>
      <c r="F430" s="5">
        <v>4</v>
      </c>
      <c r="G430" s="5">
        <v>55</v>
      </c>
      <c r="H430" s="5">
        <v>59</v>
      </c>
    </row>
    <row r="431" spans="1:8" x14ac:dyDescent="0.3">
      <c r="A431" s="5">
        <v>429</v>
      </c>
      <c r="B431" s="5">
        <v>430</v>
      </c>
      <c r="C431" s="5">
        <v>0.30299999999999999</v>
      </c>
      <c r="D431" s="5">
        <v>0.52</v>
      </c>
      <c r="E431" s="5">
        <v>0.16420000000000001</v>
      </c>
      <c r="F431" s="5">
        <v>6</v>
      </c>
      <c r="G431" s="5">
        <v>53</v>
      </c>
      <c r="H431" s="5">
        <v>59</v>
      </c>
    </row>
    <row r="432" spans="1:8" x14ac:dyDescent="0.3">
      <c r="A432" s="5">
        <v>430</v>
      </c>
      <c r="B432" s="5">
        <v>431</v>
      </c>
      <c r="C432" s="5">
        <v>0.2727</v>
      </c>
      <c r="D432" s="5">
        <v>0.52</v>
      </c>
      <c r="E432" s="5">
        <v>0.4627</v>
      </c>
      <c r="F432" s="5">
        <v>1</v>
      </c>
      <c r="G432" s="5">
        <v>27</v>
      </c>
      <c r="H432" s="5">
        <v>28</v>
      </c>
    </row>
    <row r="433" spans="1:8" x14ac:dyDescent="0.3">
      <c r="A433" s="5">
        <v>431</v>
      </c>
      <c r="B433" s="5">
        <v>432</v>
      </c>
      <c r="C433" s="5">
        <v>0.2273</v>
      </c>
      <c r="D433" s="5">
        <v>0.56000000000000005</v>
      </c>
      <c r="E433" s="5">
        <v>0.3881</v>
      </c>
      <c r="F433" s="5">
        <v>5</v>
      </c>
      <c r="G433" s="5">
        <v>8</v>
      </c>
      <c r="H433" s="5">
        <v>13</v>
      </c>
    </row>
    <row r="434" spans="1:8" x14ac:dyDescent="0.3">
      <c r="A434" s="5">
        <v>432</v>
      </c>
      <c r="B434" s="5">
        <v>433</v>
      </c>
      <c r="C434" s="5">
        <v>0.2727</v>
      </c>
      <c r="D434" s="5">
        <v>0.56000000000000005</v>
      </c>
      <c r="E434" s="5">
        <v>0</v>
      </c>
      <c r="F434" s="5">
        <v>2</v>
      </c>
      <c r="G434" s="5">
        <v>3</v>
      </c>
      <c r="H434" s="5">
        <v>5</v>
      </c>
    </row>
    <row r="435" spans="1:8" x14ac:dyDescent="0.3">
      <c r="A435" s="5">
        <v>433</v>
      </c>
      <c r="B435" s="5">
        <v>434</v>
      </c>
      <c r="C435" s="5">
        <v>0.2727</v>
      </c>
      <c r="D435" s="5">
        <v>0.56000000000000005</v>
      </c>
      <c r="E435" s="5">
        <v>0</v>
      </c>
      <c r="F435" s="5">
        <v>0</v>
      </c>
      <c r="G435" s="5">
        <v>2</v>
      </c>
      <c r="H435" s="5">
        <v>2</v>
      </c>
    </row>
    <row r="436" spans="1:8" x14ac:dyDescent="0.3">
      <c r="A436" s="5">
        <v>434</v>
      </c>
      <c r="B436" s="5">
        <v>435</v>
      </c>
      <c r="C436" s="5">
        <v>0.2576</v>
      </c>
      <c r="D436" s="5">
        <v>0.56000000000000005</v>
      </c>
      <c r="E436" s="5">
        <v>0.16420000000000001</v>
      </c>
      <c r="F436" s="5">
        <v>0</v>
      </c>
      <c r="G436" s="5">
        <v>1</v>
      </c>
      <c r="H436" s="5">
        <v>1</v>
      </c>
    </row>
    <row r="437" spans="1:8" x14ac:dyDescent="0.3">
      <c r="A437" s="5">
        <v>435</v>
      </c>
      <c r="B437" s="5">
        <v>436</v>
      </c>
      <c r="C437" s="5">
        <v>0.2576</v>
      </c>
      <c r="D437" s="5">
        <v>0.56000000000000005</v>
      </c>
      <c r="E437" s="5">
        <v>0.16420000000000001</v>
      </c>
      <c r="F437" s="5">
        <v>0</v>
      </c>
      <c r="G437" s="5">
        <v>1</v>
      </c>
      <c r="H437" s="5">
        <v>1</v>
      </c>
    </row>
    <row r="438" spans="1:8" x14ac:dyDescent="0.3">
      <c r="A438" s="5">
        <v>436</v>
      </c>
      <c r="B438" s="5">
        <v>437</v>
      </c>
      <c r="C438" s="5">
        <v>0.2273</v>
      </c>
      <c r="D438" s="5">
        <v>0.6</v>
      </c>
      <c r="E438" s="5">
        <v>0.22389999999999999</v>
      </c>
      <c r="F438" s="5">
        <v>0</v>
      </c>
      <c r="G438" s="5">
        <v>6</v>
      </c>
      <c r="H438" s="5">
        <v>6</v>
      </c>
    </row>
    <row r="439" spans="1:8" x14ac:dyDescent="0.3">
      <c r="A439" s="5">
        <v>437</v>
      </c>
      <c r="B439" s="5">
        <v>438</v>
      </c>
      <c r="C439" s="5">
        <v>0.21210000000000001</v>
      </c>
      <c r="D439" s="5">
        <v>0.6</v>
      </c>
      <c r="E439" s="5">
        <v>0.22389999999999999</v>
      </c>
      <c r="F439" s="5">
        <v>0</v>
      </c>
      <c r="G439" s="5">
        <v>35</v>
      </c>
      <c r="H439" s="5">
        <v>35</v>
      </c>
    </row>
    <row r="440" spans="1:8" x14ac:dyDescent="0.3">
      <c r="A440" s="5">
        <v>438</v>
      </c>
      <c r="B440" s="5">
        <v>439</v>
      </c>
      <c r="C440" s="5">
        <v>0.21210000000000001</v>
      </c>
      <c r="D440" s="5">
        <v>0.55000000000000004</v>
      </c>
      <c r="E440" s="5">
        <v>0.22389999999999999</v>
      </c>
      <c r="F440" s="5">
        <v>1</v>
      </c>
      <c r="G440" s="5">
        <v>100</v>
      </c>
      <c r="H440" s="5">
        <v>101</v>
      </c>
    </row>
    <row r="441" spans="1:8" x14ac:dyDescent="0.3">
      <c r="A441" s="5">
        <v>439</v>
      </c>
      <c r="B441" s="5">
        <v>440</v>
      </c>
      <c r="C441" s="5">
        <v>0.21210000000000001</v>
      </c>
      <c r="D441" s="5">
        <v>0.55000000000000004</v>
      </c>
      <c r="E441" s="5">
        <v>0.28360000000000002</v>
      </c>
      <c r="F441" s="5">
        <v>2</v>
      </c>
      <c r="G441" s="5">
        <v>247</v>
      </c>
      <c r="H441" s="5">
        <v>249</v>
      </c>
    </row>
    <row r="442" spans="1:8" x14ac:dyDescent="0.3">
      <c r="A442" s="5">
        <v>440</v>
      </c>
      <c r="B442" s="5">
        <v>441</v>
      </c>
      <c r="C442" s="5">
        <v>0.2273</v>
      </c>
      <c r="D442" s="5">
        <v>0.52</v>
      </c>
      <c r="E442" s="5">
        <v>0.22389999999999999</v>
      </c>
      <c r="F442" s="5">
        <v>3</v>
      </c>
      <c r="G442" s="5">
        <v>140</v>
      </c>
      <c r="H442" s="5">
        <v>143</v>
      </c>
    </row>
    <row r="443" spans="1:8" x14ac:dyDescent="0.3">
      <c r="A443" s="5">
        <v>441</v>
      </c>
      <c r="B443" s="5">
        <v>442</v>
      </c>
      <c r="C443" s="5">
        <v>0.2273</v>
      </c>
      <c r="D443" s="5">
        <v>0.48</v>
      </c>
      <c r="E443" s="5">
        <v>0.29849999999999999</v>
      </c>
      <c r="F443" s="5">
        <v>1</v>
      </c>
      <c r="G443" s="5">
        <v>56</v>
      </c>
      <c r="H443" s="5">
        <v>57</v>
      </c>
    </row>
    <row r="444" spans="1:8" x14ac:dyDescent="0.3">
      <c r="A444" s="5">
        <v>442</v>
      </c>
      <c r="B444" s="5">
        <v>443</v>
      </c>
      <c r="C444" s="5">
        <v>0.2727</v>
      </c>
      <c r="D444" s="5">
        <v>0.45</v>
      </c>
      <c r="E444" s="5">
        <v>0.16420000000000001</v>
      </c>
      <c r="F444" s="5">
        <v>5</v>
      </c>
      <c r="G444" s="5">
        <v>63</v>
      </c>
      <c r="H444" s="5">
        <v>68</v>
      </c>
    </row>
    <row r="445" spans="1:8" x14ac:dyDescent="0.3">
      <c r="A445" s="5">
        <v>443</v>
      </c>
      <c r="B445" s="5">
        <v>444</v>
      </c>
      <c r="C445" s="5">
        <v>0.33329999999999999</v>
      </c>
      <c r="D445" s="5">
        <v>0.42</v>
      </c>
      <c r="E445" s="5">
        <v>0</v>
      </c>
      <c r="F445" s="5">
        <v>7</v>
      </c>
      <c r="G445" s="5">
        <v>77</v>
      </c>
      <c r="H445" s="5">
        <v>84</v>
      </c>
    </row>
    <row r="446" spans="1:8" x14ac:dyDescent="0.3">
      <c r="A446" s="5">
        <v>444</v>
      </c>
      <c r="B446" s="5">
        <v>445</v>
      </c>
      <c r="C446" s="5">
        <v>0.28789999999999999</v>
      </c>
      <c r="D446" s="5">
        <v>0.45</v>
      </c>
      <c r="E446" s="5">
        <v>0.1045</v>
      </c>
      <c r="F446" s="5">
        <v>12</v>
      </c>
      <c r="G446" s="5">
        <v>86</v>
      </c>
      <c r="H446" s="5">
        <v>98</v>
      </c>
    </row>
    <row r="447" spans="1:8" x14ac:dyDescent="0.3">
      <c r="A447" s="5">
        <v>445</v>
      </c>
      <c r="B447" s="5">
        <v>446</v>
      </c>
      <c r="C447" s="5">
        <v>0.30299999999999999</v>
      </c>
      <c r="D447" s="5">
        <v>0.45</v>
      </c>
      <c r="E447" s="5">
        <v>0.1343</v>
      </c>
      <c r="F447" s="5">
        <v>6</v>
      </c>
      <c r="G447" s="5">
        <v>75</v>
      </c>
      <c r="H447" s="5">
        <v>81</v>
      </c>
    </row>
    <row r="448" spans="1:8" x14ac:dyDescent="0.3">
      <c r="A448" s="5">
        <v>446</v>
      </c>
      <c r="B448" s="5">
        <v>447</v>
      </c>
      <c r="C448" s="5">
        <v>0.31819999999999998</v>
      </c>
      <c r="D448" s="5">
        <v>0.45</v>
      </c>
      <c r="E448" s="5">
        <v>0.19400000000000001</v>
      </c>
      <c r="F448" s="5">
        <v>8</v>
      </c>
      <c r="G448" s="5">
        <v>62</v>
      </c>
      <c r="H448" s="5">
        <v>70</v>
      </c>
    </row>
    <row r="449" spans="1:8" x14ac:dyDescent="0.3">
      <c r="A449" s="5">
        <v>447</v>
      </c>
      <c r="B449" s="5">
        <v>448</v>
      </c>
      <c r="C449" s="5">
        <v>0.30299999999999999</v>
      </c>
      <c r="D449" s="5">
        <v>0.49</v>
      </c>
      <c r="E449" s="5">
        <v>0.1343</v>
      </c>
      <c r="F449" s="5">
        <v>8</v>
      </c>
      <c r="G449" s="5">
        <v>83</v>
      </c>
      <c r="H449" s="5">
        <v>91</v>
      </c>
    </row>
    <row r="450" spans="1:8" x14ac:dyDescent="0.3">
      <c r="A450" s="5">
        <v>448</v>
      </c>
      <c r="B450" s="5">
        <v>449</v>
      </c>
      <c r="C450" s="5">
        <v>0.31819999999999998</v>
      </c>
      <c r="D450" s="5">
        <v>0.49</v>
      </c>
      <c r="E450" s="5">
        <v>0.1045</v>
      </c>
      <c r="F450" s="5">
        <v>8</v>
      </c>
      <c r="G450" s="5">
        <v>207</v>
      </c>
      <c r="H450" s="5">
        <v>215</v>
      </c>
    </row>
    <row r="451" spans="1:8" x14ac:dyDescent="0.3">
      <c r="A451" s="5">
        <v>449</v>
      </c>
      <c r="B451" s="5">
        <v>450</v>
      </c>
      <c r="C451" s="5">
        <v>0.2576</v>
      </c>
      <c r="D451" s="5">
        <v>0.56000000000000005</v>
      </c>
      <c r="E451" s="5">
        <v>0.19400000000000001</v>
      </c>
      <c r="F451" s="5">
        <v>1</v>
      </c>
      <c r="G451" s="5">
        <v>184</v>
      </c>
      <c r="H451" s="5">
        <v>185</v>
      </c>
    </row>
    <row r="452" spans="1:8" x14ac:dyDescent="0.3">
      <c r="A452" s="5">
        <v>450</v>
      </c>
      <c r="B452" s="5">
        <v>451</v>
      </c>
      <c r="C452" s="5">
        <v>0.2273</v>
      </c>
      <c r="D452" s="5">
        <v>0.56000000000000005</v>
      </c>
      <c r="E452" s="5">
        <v>0.32840000000000003</v>
      </c>
      <c r="F452" s="5">
        <v>6</v>
      </c>
      <c r="G452" s="5">
        <v>146</v>
      </c>
      <c r="H452" s="5">
        <v>152</v>
      </c>
    </row>
    <row r="453" spans="1:8" x14ac:dyDescent="0.3">
      <c r="A453" s="5">
        <v>451</v>
      </c>
      <c r="B453" s="5">
        <v>452</v>
      </c>
      <c r="C453" s="5">
        <v>0.2424</v>
      </c>
      <c r="D453" s="5">
        <v>0.6</v>
      </c>
      <c r="E453" s="5">
        <v>0.28360000000000002</v>
      </c>
      <c r="F453" s="5">
        <v>2</v>
      </c>
      <c r="G453" s="5">
        <v>124</v>
      </c>
      <c r="H453" s="5">
        <v>126</v>
      </c>
    </row>
    <row r="454" spans="1:8" x14ac:dyDescent="0.3">
      <c r="A454" s="5">
        <v>452</v>
      </c>
      <c r="B454" s="5">
        <v>453</v>
      </c>
      <c r="C454" s="5">
        <v>0.2273</v>
      </c>
      <c r="D454" s="5">
        <v>0.6</v>
      </c>
      <c r="E454" s="5">
        <v>0.25369999999999998</v>
      </c>
      <c r="F454" s="5">
        <v>3</v>
      </c>
      <c r="G454" s="5">
        <v>54</v>
      </c>
      <c r="H454" s="5">
        <v>57</v>
      </c>
    </row>
    <row r="455" spans="1:8" x14ac:dyDescent="0.3">
      <c r="A455" s="5">
        <v>453</v>
      </c>
      <c r="B455" s="5">
        <v>454</v>
      </c>
      <c r="C455" s="5">
        <v>0.21210000000000001</v>
      </c>
      <c r="D455" s="5">
        <v>0.65</v>
      </c>
      <c r="E455" s="5">
        <v>0.28360000000000002</v>
      </c>
      <c r="F455" s="5">
        <v>0</v>
      </c>
      <c r="G455" s="5">
        <v>56</v>
      </c>
      <c r="H455" s="5">
        <v>56</v>
      </c>
    </row>
    <row r="456" spans="1:8" x14ac:dyDescent="0.3">
      <c r="A456" s="5">
        <v>454</v>
      </c>
      <c r="B456" s="5">
        <v>455</v>
      </c>
      <c r="C456" s="5">
        <v>0.21210000000000001</v>
      </c>
      <c r="D456" s="5">
        <v>0.65</v>
      </c>
      <c r="E456" s="5">
        <v>0.32840000000000003</v>
      </c>
      <c r="F456" s="5">
        <v>3</v>
      </c>
      <c r="G456" s="5">
        <v>28</v>
      </c>
      <c r="H456" s="5">
        <v>31</v>
      </c>
    </row>
    <row r="457" spans="1:8" x14ac:dyDescent="0.3">
      <c r="A457" s="5">
        <v>455</v>
      </c>
      <c r="B457" s="5">
        <v>456</v>
      </c>
      <c r="C457" s="5">
        <v>0.2273</v>
      </c>
      <c r="D457" s="5">
        <v>0.7</v>
      </c>
      <c r="E457" s="5">
        <v>0.25369999999999998</v>
      </c>
      <c r="F457" s="5">
        <v>1</v>
      </c>
      <c r="G457" s="5">
        <v>20</v>
      </c>
      <c r="H457" s="5">
        <v>21</v>
      </c>
    </row>
    <row r="458" spans="1:8" x14ac:dyDescent="0.3">
      <c r="A458" s="5">
        <v>456</v>
      </c>
      <c r="B458" s="5">
        <v>457</v>
      </c>
      <c r="C458" s="5">
        <v>0.2273</v>
      </c>
      <c r="D458" s="5">
        <v>0.7</v>
      </c>
      <c r="E458" s="5">
        <v>0.25369999999999998</v>
      </c>
      <c r="F458" s="5">
        <v>0</v>
      </c>
      <c r="G458" s="5">
        <v>6</v>
      </c>
      <c r="H458" s="5">
        <v>6</v>
      </c>
    </row>
    <row r="459" spans="1:8" x14ac:dyDescent="0.3">
      <c r="A459" s="5">
        <v>457</v>
      </c>
      <c r="B459" s="5">
        <v>458</v>
      </c>
      <c r="C459" s="5">
        <v>0.2424</v>
      </c>
      <c r="D459" s="5">
        <v>0.75</v>
      </c>
      <c r="E459" s="5">
        <v>0.16420000000000001</v>
      </c>
      <c r="F459" s="5">
        <v>0</v>
      </c>
      <c r="G459" s="5">
        <v>2</v>
      </c>
      <c r="H459" s="5">
        <v>2</v>
      </c>
    </row>
    <row r="460" spans="1:8" x14ac:dyDescent="0.3">
      <c r="A460" s="5">
        <v>458</v>
      </c>
      <c r="B460" s="5">
        <v>459</v>
      </c>
      <c r="C460" s="5">
        <v>0.21210000000000001</v>
      </c>
      <c r="D460" s="5">
        <v>0.8</v>
      </c>
      <c r="E460" s="5">
        <v>0.29849999999999999</v>
      </c>
      <c r="F460" s="5">
        <v>0</v>
      </c>
      <c r="G460" s="5">
        <v>1</v>
      </c>
      <c r="H460" s="5">
        <v>1</v>
      </c>
    </row>
    <row r="461" spans="1:8" x14ac:dyDescent="0.3">
      <c r="A461" s="5">
        <v>459</v>
      </c>
      <c r="B461" s="5">
        <v>460</v>
      </c>
      <c r="C461" s="5">
        <v>0.2576</v>
      </c>
      <c r="D461" s="5">
        <v>0.87</v>
      </c>
      <c r="E461" s="5">
        <v>8.9599999999999999E-2</v>
      </c>
      <c r="F461" s="5">
        <v>0</v>
      </c>
      <c r="G461" s="5">
        <v>1</v>
      </c>
      <c r="H461" s="5">
        <v>1</v>
      </c>
    </row>
    <row r="462" spans="1:8" x14ac:dyDescent="0.3">
      <c r="A462" s="5">
        <v>460</v>
      </c>
      <c r="B462" s="5">
        <v>461</v>
      </c>
      <c r="C462" s="5">
        <v>0.19700000000000001</v>
      </c>
      <c r="D462" s="5">
        <v>0.6</v>
      </c>
      <c r="E462" s="5">
        <v>0.41789999999999999</v>
      </c>
      <c r="F462" s="5">
        <v>1</v>
      </c>
      <c r="G462" s="5">
        <v>4</v>
      </c>
      <c r="H462" s="5">
        <v>5</v>
      </c>
    </row>
    <row r="463" spans="1:8" x14ac:dyDescent="0.3">
      <c r="A463" s="5">
        <v>461</v>
      </c>
      <c r="B463" s="5">
        <v>462</v>
      </c>
      <c r="C463" s="5">
        <v>0.21210000000000001</v>
      </c>
      <c r="D463" s="5">
        <v>0.55000000000000004</v>
      </c>
      <c r="E463" s="5">
        <v>0.25369999999999998</v>
      </c>
      <c r="F463" s="5">
        <v>0</v>
      </c>
      <c r="G463" s="5">
        <v>27</v>
      </c>
      <c r="H463" s="5">
        <v>27</v>
      </c>
    </row>
    <row r="464" spans="1:8" x14ac:dyDescent="0.3">
      <c r="A464" s="5">
        <v>462</v>
      </c>
      <c r="B464" s="5">
        <v>463</v>
      </c>
      <c r="C464" s="5">
        <v>0.18179999999999999</v>
      </c>
      <c r="D464" s="5">
        <v>0.51</v>
      </c>
      <c r="E464" s="5">
        <v>0.28360000000000002</v>
      </c>
      <c r="F464" s="5">
        <v>2</v>
      </c>
      <c r="G464" s="5">
        <v>66</v>
      </c>
      <c r="H464" s="5">
        <v>68</v>
      </c>
    </row>
    <row r="465" spans="1:8" x14ac:dyDescent="0.3">
      <c r="A465" s="5">
        <v>463</v>
      </c>
      <c r="B465" s="5">
        <v>464</v>
      </c>
      <c r="C465" s="5">
        <v>0.18179999999999999</v>
      </c>
      <c r="D465" s="5">
        <v>0.47</v>
      </c>
      <c r="E465" s="5">
        <v>0.32840000000000003</v>
      </c>
      <c r="F465" s="5">
        <v>7</v>
      </c>
      <c r="G465" s="5">
        <v>210</v>
      </c>
      <c r="H465" s="5">
        <v>217</v>
      </c>
    </row>
    <row r="466" spans="1:8" x14ac:dyDescent="0.3">
      <c r="A466" s="5">
        <v>464</v>
      </c>
      <c r="B466" s="5">
        <v>465</v>
      </c>
      <c r="C466" s="5">
        <v>0.18179999999999999</v>
      </c>
      <c r="D466" s="5">
        <v>0.51</v>
      </c>
      <c r="E466" s="5">
        <v>0.35820000000000002</v>
      </c>
      <c r="F466" s="5">
        <v>7</v>
      </c>
      <c r="G466" s="5">
        <v>159</v>
      </c>
      <c r="H466" s="5">
        <v>166</v>
      </c>
    </row>
    <row r="467" spans="1:8" x14ac:dyDescent="0.3">
      <c r="A467" s="5">
        <v>465</v>
      </c>
      <c r="B467" s="5">
        <v>466</v>
      </c>
      <c r="C467" s="5">
        <v>0.16669999999999999</v>
      </c>
      <c r="D467" s="5">
        <v>0.47</v>
      </c>
      <c r="E467" s="5">
        <v>0.4627</v>
      </c>
      <c r="F467" s="5">
        <v>6</v>
      </c>
      <c r="G467" s="5">
        <v>57</v>
      </c>
      <c r="H467" s="5">
        <v>63</v>
      </c>
    </row>
    <row r="468" spans="1:8" x14ac:dyDescent="0.3">
      <c r="A468" s="5">
        <v>466</v>
      </c>
      <c r="B468" s="5">
        <v>467</v>
      </c>
      <c r="C468" s="5">
        <v>0.18179999999999999</v>
      </c>
      <c r="D468" s="5">
        <v>0.41</v>
      </c>
      <c r="E468" s="5">
        <v>0.4627</v>
      </c>
      <c r="F468" s="5">
        <v>6</v>
      </c>
      <c r="G468" s="5">
        <v>53</v>
      </c>
      <c r="H468" s="5">
        <v>59</v>
      </c>
    </row>
    <row r="469" spans="1:8" x14ac:dyDescent="0.3">
      <c r="A469" s="5">
        <v>467</v>
      </c>
      <c r="B469" s="5">
        <v>468</v>
      </c>
      <c r="C469" s="5">
        <v>0.18179999999999999</v>
      </c>
      <c r="D469" s="5">
        <v>0.27</v>
      </c>
      <c r="E469" s="5">
        <v>0.58209999999999995</v>
      </c>
      <c r="F469" s="5">
        <v>11</v>
      </c>
      <c r="G469" s="5">
        <v>67</v>
      </c>
      <c r="H469" s="5">
        <v>78</v>
      </c>
    </row>
    <row r="470" spans="1:8" x14ac:dyDescent="0.3">
      <c r="A470" s="5">
        <v>468</v>
      </c>
      <c r="B470" s="5">
        <v>469</v>
      </c>
      <c r="C470" s="5">
        <v>0.1515</v>
      </c>
      <c r="D470" s="5">
        <v>0.21</v>
      </c>
      <c r="E470" s="5">
        <v>0.58209999999999995</v>
      </c>
      <c r="F470" s="5">
        <v>8</v>
      </c>
      <c r="G470" s="5">
        <v>65</v>
      </c>
      <c r="H470" s="5">
        <v>73</v>
      </c>
    </row>
    <row r="471" spans="1:8" x14ac:dyDescent="0.3">
      <c r="A471" s="5">
        <v>469</v>
      </c>
      <c r="B471" s="5">
        <v>470</v>
      </c>
      <c r="C471" s="5">
        <v>0.1515</v>
      </c>
      <c r="D471" s="5">
        <v>0.25</v>
      </c>
      <c r="E471" s="5">
        <v>0.52239999999999998</v>
      </c>
      <c r="F471" s="5">
        <v>6</v>
      </c>
      <c r="G471" s="5">
        <v>56</v>
      </c>
      <c r="H471" s="5">
        <v>62</v>
      </c>
    </row>
    <row r="472" spans="1:8" x14ac:dyDescent="0.3">
      <c r="A472" s="5">
        <v>470</v>
      </c>
      <c r="B472" s="5">
        <v>471</v>
      </c>
      <c r="C472" s="5">
        <v>0.1212</v>
      </c>
      <c r="D472" s="5">
        <v>0.26</v>
      </c>
      <c r="E472" s="5">
        <v>0.44779999999999998</v>
      </c>
      <c r="F472" s="5">
        <v>4</v>
      </c>
      <c r="G472" s="5">
        <v>61</v>
      </c>
      <c r="H472" s="5">
        <v>65</v>
      </c>
    </row>
    <row r="473" spans="1:8" x14ac:dyDescent="0.3">
      <c r="A473" s="5">
        <v>471</v>
      </c>
      <c r="B473" s="5">
        <v>472</v>
      </c>
      <c r="C473" s="5">
        <v>0.13639999999999999</v>
      </c>
      <c r="D473" s="5">
        <v>0.26</v>
      </c>
      <c r="E473" s="5">
        <v>0.35820000000000002</v>
      </c>
      <c r="F473" s="5">
        <v>0</v>
      </c>
      <c r="G473" s="5">
        <v>97</v>
      </c>
      <c r="H473" s="5">
        <v>97</v>
      </c>
    </row>
    <row r="474" spans="1:8" x14ac:dyDescent="0.3">
      <c r="A474" s="5">
        <v>472</v>
      </c>
      <c r="B474" s="5">
        <v>473</v>
      </c>
      <c r="C474" s="5">
        <v>0.1212</v>
      </c>
      <c r="D474" s="5">
        <v>0.28000000000000003</v>
      </c>
      <c r="E474" s="5">
        <v>0.35820000000000002</v>
      </c>
      <c r="F474" s="5">
        <v>10</v>
      </c>
      <c r="G474" s="5">
        <v>151</v>
      </c>
      <c r="H474" s="5">
        <v>161</v>
      </c>
    </row>
    <row r="475" spans="1:8" x14ac:dyDescent="0.3">
      <c r="A475" s="5">
        <v>473</v>
      </c>
      <c r="B475" s="5">
        <v>474</v>
      </c>
      <c r="C475" s="5">
        <v>0.1212</v>
      </c>
      <c r="D475" s="5">
        <v>0.3</v>
      </c>
      <c r="E475" s="5">
        <v>0.25369999999999998</v>
      </c>
      <c r="F475" s="5">
        <v>1</v>
      </c>
      <c r="G475" s="5">
        <v>119</v>
      </c>
      <c r="H475" s="5">
        <v>120</v>
      </c>
    </row>
    <row r="476" spans="1:8" x14ac:dyDescent="0.3">
      <c r="A476" s="5">
        <v>474</v>
      </c>
      <c r="B476" s="5">
        <v>475</v>
      </c>
      <c r="C476" s="5">
        <v>0.1061</v>
      </c>
      <c r="D476" s="5">
        <v>0.3</v>
      </c>
      <c r="E476" s="5">
        <v>0.32840000000000003</v>
      </c>
      <c r="F476" s="5">
        <v>3</v>
      </c>
      <c r="G476" s="5">
        <v>93</v>
      </c>
      <c r="H476" s="5">
        <v>96</v>
      </c>
    </row>
    <row r="477" spans="1:8" x14ac:dyDescent="0.3">
      <c r="A477" s="5">
        <v>475</v>
      </c>
      <c r="B477" s="5">
        <v>476</v>
      </c>
      <c r="C477" s="5">
        <v>7.5800000000000006E-2</v>
      </c>
      <c r="D477" s="5">
        <v>0.33</v>
      </c>
      <c r="E477" s="5">
        <v>0.41789999999999999</v>
      </c>
      <c r="F477" s="5">
        <v>1</v>
      </c>
      <c r="G477" s="5">
        <v>52</v>
      </c>
      <c r="H477" s="5">
        <v>53</v>
      </c>
    </row>
    <row r="478" spans="1:8" x14ac:dyDescent="0.3">
      <c r="A478" s="5">
        <v>476</v>
      </c>
      <c r="B478" s="5">
        <v>477</v>
      </c>
      <c r="C478" s="5">
        <v>7.5800000000000006E-2</v>
      </c>
      <c r="D478" s="5">
        <v>0.38</v>
      </c>
      <c r="E478" s="5">
        <v>0.28360000000000002</v>
      </c>
      <c r="F478" s="5">
        <v>0</v>
      </c>
      <c r="G478" s="5">
        <v>41</v>
      </c>
      <c r="H478" s="5">
        <v>41</v>
      </c>
    </row>
    <row r="479" spans="1:8" x14ac:dyDescent="0.3">
      <c r="A479" s="5">
        <v>477</v>
      </c>
      <c r="B479" s="5">
        <v>478</v>
      </c>
      <c r="C479" s="5">
        <v>3.0300000000000001E-2</v>
      </c>
      <c r="D479" s="5">
        <v>0.41</v>
      </c>
      <c r="E479" s="5">
        <v>0.3881</v>
      </c>
      <c r="F479" s="5">
        <v>1</v>
      </c>
      <c r="G479" s="5">
        <v>33</v>
      </c>
      <c r="H479" s="5">
        <v>34</v>
      </c>
    </row>
    <row r="480" spans="1:8" x14ac:dyDescent="0.3">
      <c r="A480" s="5">
        <v>478</v>
      </c>
      <c r="B480" s="5">
        <v>479</v>
      </c>
      <c r="C480" s="5">
        <v>4.5499999999999999E-2</v>
      </c>
      <c r="D480" s="5">
        <v>0.38</v>
      </c>
      <c r="E480" s="5">
        <v>0.32840000000000003</v>
      </c>
      <c r="F480" s="5">
        <v>0</v>
      </c>
      <c r="G480" s="5">
        <v>27</v>
      </c>
      <c r="H480" s="5">
        <v>27</v>
      </c>
    </row>
    <row r="481" spans="1:8" x14ac:dyDescent="0.3">
      <c r="A481" s="5">
        <v>479</v>
      </c>
      <c r="B481" s="5">
        <v>480</v>
      </c>
      <c r="C481" s="5">
        <v>3.0300000000000001E-2</v>
      </c>
      <c r="D481" s="5">
        <v>0.45</v>
      </c>
      <c r="E481" s="5">
        <v>0.25369999999999998</v>
      </c>
      <c r="F481" s="5">
        <v>0</v>
      </c>
      <c r="G481" s="5">
        <v>13</v>
      </c>
      <c r="H481" s="5">
        <v>13</v>
      </c>
    </row>
    <row r="482" spans="1:8" x14ac:dyDescent="0.3">
      <c r="A482" s="5">
        <v>480</v>
      </c>
      <c r="B482" s="5">
        <v>481</v>
      </c>
      <c r="C482" s="5">
        <v>0</v>
      </c>
      <c r="D482" s="5">
        <v>0.41</v>
      </c>
      <c r="E482" s="5">
        <v>0.3881</v>
      </c>
      <c r="F482" s="5">
        <v>3</v>
      </c>
      <c r="G482" s="5">
        <v>9</v>
      </c>
      <c r="H482" s="5">
        <v>12</v>
      </c>
    </row>
    <row r="483" spans="1:8" x14ac:dyDescent="0.3">
      <c r="A483" s="5">
        <v>481</v>
      </c>
      <c r="B483" s="5">
        <v>482</v>
      </c>
      <c r="C483" s="5">
        <v>3.0300000000000001E-2</v>
      </c>
      <c r="D483" s="5">
        <v>0.41</v>
      </c>
      <c r="E483" s="5">
        <v>0.25369999999999998</v>
      </c>
      <c r="F483" s="5">
        <v>0</v>
      </c>
      <c r="G483" s="5">
        <v>11</v>
      </c>
      <c r="H483" s="5">
        <v>11</v>
      </c>
    </row>
    <row r="484" spans="1:8" x14ac:dyDescent="0.3">
      <c r="A484" s="5">
        <v>482</v>
      </c>
      <c r="B484" s="5">
        <v>483</v>
      </c>
      <c r="C484" s="5">
        <v>3.0300000000000001E-2</v>
      </c>
      <c r="D484" s="5">
        <v>0.41</v>
      </c>
      <c r="E484" s="5">
        <v>0.28360000000000002</v>
      </c>
      <c r="F484" s="5">
        <v>1</v>
      </c>
      <c r="G484" s="5">
        <v>6</v>
      </c>
      <c r="H484" s="5">
        <v>7</v>
      </c>
    </row>
    <row r="485" spans="1:8" x14ac:dyDescent="0.3">
      <c r="A485" s="5">
        <v>483</v>
      </c>
      <c r="B485" s="5">
        <v>484</v>
      </c>
      <c r="C485" s="5">
        <v>1.52E-2</v>
      </c>
      <c r="D485" s="5">
        <v>0.48</v>
      </c>
      <c r="E485" s="5">
        <v>0.29849999999999999</v>
      </c>
      <c r="F485" s="5">
        <v>0</v>
      </c>
      <c r="G485" s="5">
        <v>3</v>
      </c>
      <c r="H485" s="5">
        <v>3</v>
      </c>
    </row>
    <row r="486" spans="1:8" x14ac:dyDescent="0.3">
      <c r="A486" s="5">
        <v>484</v>
      </c>
      <c r="B486" s="5">
        <v>485</v>
      </c>
      <c r="C486" s="5">
        <v>3.0300000000000001E-2</v>
      </c>
      <c r="D486" s="5">
        <v>0.44</v>
      </c>
      <c r="E486" s="5">
        <v>0.22389999999999999</v>
      </c>
      <c r="F486" s="5">
        <v>0</v>
      </c>
      <c r="G486" s="5">
        <v>2</v>
      </c>
      <c r="H486" s="5">
        <v>2</v>
      </c>
    </row>
    <row r="487" spans="1:8" x14ac:dyDescent="0.3">
      <c r="A487" s="5">
        <v>485</v>
      </c>
      <c r="B487" s="5">
        <v>486</v>
      </c>
      <c r="C487" s="5">
        <v>1.52E-2</v>
      </c>
      <c r="D487" s="5">
        <v>0.44</v>
      </c>
      <c r="E487" s="5">
        <v>0.28360000000000002</v>
      </c>
      <c r="F487" s="5">
        <v>0</v>
      </c>
      <c r="G487" s="5">
        <v>8</v>
      </c>
      <c r="H487" s="5">
        <v>8</v>
      </c>
    </row>
    <row r="488" spans="1:8" x14ac:dyDescent="0.3">
      <c r="A488" s="5">
        <v>486</v>
      </c>
      <c r="B488" s="5">
        <v>487</v>
      </c>
      <c r="C488" s="5">
        <v>0</v>
      </c>
      <c r="D488" s="5">
        <v>0.44</v>
      </c>
      <c r="E488" s="5">
        <v>0.32840000000000003</v>
      </c>
      <c r="F488" s="5">
        <v>1</v>
      </c>
      <c r="G488" s="5">
        <v>26</v>
      </c>
      <c r="H488" s="5">
        <v>27</v>
      </c>
    </row>
    <row r="489" spans="1:8" x14ac:dyDescent="0.3">
      <c r="A489" s="5">
        <v>487</v>
      </c>
      <c r="B489" s="5">
        <v>488</v>
      </c>
      <c r="C489" s="5">
        <v>3.0300000000000001E-2</v>
      </c>
      <c r="D489" s="5">
        <v>0.41</v>
      </c>
      <c r="E489" s="5">
        <v>0.25369999999999998</v>
      </c>
      <c r="F489" s="5">
        <v>3</v>
      </c>
      <c r="G489" s="5">
        <v>37</v>
      </c>
      <c r="H489" s="5">
        <v>40</v>
      </c>
    </row>
    <row r="490" spans="1:8" x14ac:dyDescent="0.3">
      <c r="A490" s="5">
        <v>488</v>
      </c>
      <c r="B490" s="5">
        <v>489</v>
      </c>
      <c r="C490" s="5">
        <v>6.0600000000000001E-2</v>
      </c>
      <c r="D490" s="5">
        <v>0.41</v>
      </c>
      <c r="E490" s="5">
        <v>0.16420000000000001</v>
      </c>
      <c r="F490" s="5">
        <v>3</v>
      </c>
      <c r="G490" s="5">
        <v>50</v>
      </c>
      <c r="H490" s="5">
        <v>53</v>
      </c>
    </row>
    <row r="491" spans="1:8" x14ac:dyDescent="0.3">
      <c r="A491" s="5">
        <v>489</v>
      </c>
      <c r="B491" s="5">
        <v>490</v>
      </c>
      <c r="C491" s="5">
        <v>7.5800000000000006E-2</v>
      </c>
      <c r="D491" s="5">
        <v>0.38</v>
      </c>
      <c r="E491" s="5">
        <v>0.1343</v>
      </c>
      <c r="F491" s="5">
        <v>4</v>
      </c>
      <c r="G491" s="5">
        <v>59</v>
      </c>
      <c r="H491" s="5">
        <v>63</v>
      </c>
    </row>
    <row r="492" spans="1:8" x14ac:dyDescent="0.3">
      <c r="A492" s="5">
        <v>490</v>
      </c>
      <c r="B492" s="5">
        <v>491</v>
      </c>
      <c r="C492" s="5">
        <v>0.1061</v>
      </c>
      <c r="D492" s="5">
        <v>0.38</v>
      </c>
      <c r="E492" s="5">
        <v>0.1045</v>
      </c>
      <c r="F492" s="5">
        <v>10</v>
      </c>
      <c r="G492" s="5">
        <v>60</v>
      </c>
      <c r="H492" s="5">
        <v>70</v>
      </c>
    </row>
    <row r="493" spans="1:8" x14ac:dyDescent="0.3">
      <c r="A493" s="5">
        <v>491</v>
      </c>
      <c r="B493" s="5">
        <v>492</v>
      </c>
      <c r="C493" s="5">
        <v>0.16669999999999999</v>
      </c>
      <c r="D493" s="5">
        <v>0.35</v>
      </c>
      <c r="E493" s="5">
        <v>0</v>
      </c>
      <c r="F493" s="5">
        <v>12</v>
      </c>
      <c r="G493" s="5">
        <v>72</v>
      </c>
      <c r="H493" s="5">
        <v>84</v>
      </c>
    </row>
    <row r="494" spans="1:8" x14ac:dyDescent="0.3">
      <c r="A494" s="5">
        <v>492</v>
      </c>
      <c r="B494" s="5">
        <v>493</v>
      </c>
      <c r="C494" s="5">
        <v>0.13639999999999999</v>
      </c>
      <c r="D494" s="5">
        <v>0.33</v>
      </c>
      <c r="E494" s="5">
        <v>0.1045</v>
      </c>
      <c r="F494" s="5">
        <v>11</v>
      </c>
      <c r="G494" s="5">
        <v>64</v>
      </c>
      <c r="H494" s="5">
        <v>75</v>
      </c>
    </row>
    <row r="495" spans="1:8" x14ac:dyDescent="0.3">
      <c r="A495" s="5">
        <v>493</v>
      </c>
      <c r="B495" s="5">
        <v>494</v>
      </c>
      <c r="C495" s="5">
        <v>0.1515</v>
      </c>
      <c r="D495" s="5">
        <v>0.28000000000000003</v>
      </c>
      <c r="E495" s="5">
        <v>0</v>
      </c>
      <c r="F495" s="5">
        <v>10</v>
      </c>
      <c r="G495" s="5">
        <v>93</v>
      </c>
      <c r="H495" s="5">
        <v>103</v>
      </c>
    </row>
    <row r="496" spans="1:8" x14ac:dyDescent="0.3">
      <c r="A496" s="5">
        <v>494</v>
      </c>
      <c r="B496" s="5">
        <v>495</v>
      </c>
      <c r="C496" s="5">
        <v>0.13639999999999999</v>
      </c>
      <c r="D496" s="5">
        <v>0.28000000000000003</v>
      </c>
      <c r="E496" s="5">
        <v>0.19400000000000001</v>
      </c>
      <c r="F496" s="5">
        <v>11</v>
      </c>
      <c r="G496" s="5">
        <v>72</v>
      </c>
      <c r="H496" s="5">
        <v>83</v>
      </c>
    </row>
    <row r="497" spans="1:8" x14ac:dyDescent="0.3">
      <c r="A497" s="5">
        <v>495</v>
      </c>
      <c r="B497" s="5">
        <v>496</v>
      </c>
      <c r="C497" s="5">
        <v>0.19700000000000001</v>
      </c>
      <c r="D497" s="5">
        <v>0.28000000000000003</v>
      </c>
      <c r="E497" s="5">
        <v>0</v>
      </c>
      <c r="F497" s="5">
        <v>8</v>
      </c>
      <c r="G497" s="5">
        <v>59</v>
      </c>
      <c r="H497" s="5">
        <v>67</v>
      </c>
    </row>
    <row r="498" spans="1:8" x14ac:dyDescent="0.3">
      <c r="A498" s="5">
        <v>496</v>
      </c>
      <c r="B498" s="5">
        <v>497</v>
      </c>
      <c r="C498" s="5">
        <v>9.0899999999999995E-2</v>
      </c>
      <c r="D498" s="5">
        <v>0.35</v>
      </c>
      <c r="E498" s="5">
        <v>0.19400000000000001</v>
      </c>
      <c r="F498" s="5">
        <v>0</v>
      </c>
      <c r="G498" s="5">
        <v>54</v>
      </c>
      <c r="H498" s="5">
        <v>54</v>
      </c>
    </row>
    <row r="499" spans="1:8" x14ac:dyDescent="0.3">
      <c r="A499" s="5">
        <v>497</v>
      </c>
      <c r="B499" s="5">
        <v>498</v>
      </c>
      <c r="C499" s="5">
        <v>0.1061</v>
      </c>
      <c r="D499" s="5">
        <v>0.35</v>
      </c>
      <c r="E499" s="5">
        <v>0.1343</v>
      </c>
      <c r="F499" s="5">
        <v>6</v>
      </c>
      <c r="G499" s="5">
        <v>53</v>
      </c>
      <c r="H499" s="5">
        <v>59</v>
      </c>
    </row>
    <row r="500" spans="1:8" x14ac:dyDescent="0.3">
      <c r="A500" s="5">
        <v>498</v>
      </c>
      <c r="B500" s="5">
        <v>499</v>
      </c>
      <c r="C500" s="5">
        <v>7.5800000000000006E-2</v>
      </c>
      <c r="D500" s="5">
        <v>0.45</v>
      </c>
      <c r="E500" s="5">
        <v>0.16420000000000001</v>
      </c>
      <c r="F500" s="5">
        <v>1</v>
      </c>
      <c r="G500" s="5">
        <v>44</v>
      </c>
      <c r="H500" s="5">
        <v>45</v>
      </c>
    </row>
    <row r="501" spans="1:8" x14ac:dyDescent="0.3">
      <c r="A501" s="5">
        <v>499</v>
      </c>
      <c r="B501" s="5">
        <v>500</v>
      </c>
      <c r="C501" s="5">
        <v>0.1061</v>
      </c>
      <c r="D501" s="5">
        <v>0.41</v>
      </c>
      <c r="E501" s="5">
        <v>8.9599999999999999E-2</v>
      </c>
      <c r="F501" s="5">
        <v>0</v>
      </c>
      <c r="G501" s="5">
        <v>39</v>
      </c>
      <c r="H501" s="5">
        <v>39</v>
      </c>
    </row>
    <row r="502" spans="1:8" x14ac:dyDescent="0.3">
      <c r="A502" s="5">
        <v>500</v>
      </c>
      <c r="B502" s="5">
        <v>501</v>
      </c>
      <c r="C502" s="5">
        <v>0.1515</v>
      </c>
      <c r="D502" s="5">
        <v>0.49</v>
      </c>
      <c r="E502" s="5">
        <v>0</v>
      </c>
      <c r="F502" s="5">
        <v>7</v>
      </c>
      <c r="G502" s="5">
        <v>23</v>
      </c>
      <c r="H502" s="5">
        <v>30</v>
      </c>
    </row>
    <row r="503" spans="1:8" x14ac:dyDescent="0.3">
      <c r="A503" s="5">
        <v>501</v>
      </c>
      <c r="B503" s="5">
        <v>502</v>
      </c>
      <c r="C503" s="5">
        <v>7.5800000000000006E-2</v>
      </c>
      <c r="D503" s="5">
        <v>0.56999999999999995</v>
      </c>
      <c r="E503" s="5">
        <v>0.1045</v>
      </c>
      <c r="F503" s="5">
        <v>2</v>
      </c>
      <c r="G503" s="5">
        <v>31</v>
      </c>
      <c r="H503" s="5">
        <v>33</v>
      </c>
    </row>
    <row r="504" spans="1:8" x14ac:dyDescent="0.3">
      <c r="A504" s="5">
        <v>502</v>
      </c>
      <c r="B504" s="5">
        <v>503</v>
      </c>
      <c r="C504" s="5">
        <v>7.5800000000000006E-2</v>
      </c>
      <c r="D504" s="5">
        <v>0.56999999999999995</v>
      </c>
      <c r="E504" s="5">
        <v>0.1045</v>
      </c>
      <c r="F504" s="5">
        <v>2</v>
      </c>
      <c r="G504" s="5">
        <v>20</v>
      </c>
      <c r="H504" s="5">
        <v>22</v>
      </c>
    </row>
    <row r="505" spans="1:8" x14ac:dyDescent="0.3">
      <c r="A505" s="5">
        <v>503</v>
      </c>
      <c r="B505" s="5">
        <v>504</v>
      </c>
      <c r="C505" s="5">
        <v>7.5800000000000006E-2</v>
      </c>
      <c r="D505" s="5">
        <v>0.56999999999999995</v>
      </c>
      <c r="E505" s="5">
        <v>0.1045</v>
      </c>
      <c r="F505" s="5">
        <v>1</v>
      </c>
      <c r="G505" s="5">
        <v>12</v>
      </c>
      <c r="H505" s="5">
        <v>13</v>
      </c>
    </row>
    <row r="506" spans="1:8" x14ac:dyDescent="0.3">
      <c r="A506" s="5">
        <v>504</v>
      </c>
      <c r="B506" s="5">
        <v>505</v>
      </c>
      <c r="C506" s="5">
        <v>6.0600000000000001E-2</v>
      </c>
      <c r="D506" s="5">
        <v>0.62</v>
      </c>
      <c r="E506" s="5">
        <v>0.1343</v>
      </c>
      <c r="F506" s="5">
        <v>3</v>
      </c>
      <c r="G506" s="5">
        <v>15</v>
      </c>
      <c r="H506" s="5">
        <v>18</v>
      </c>
    </row>
    <row r="507" spans="1:8" x14ac:dyDescent="0.3">
      <c r="A507" s="5">
        <v>505</v>
      </c>
      <c r="B507" s="5">
        <v>506</v>
      </c>
      <c r="C507" s="5">
        <v>6.0600000000000001E-2</v>
      </c>
      <c r="D507" s="5">
        <v>0.62</v>
      </c>
      <c r="E507" s="5">
        <v>0.1343</v>
      </c>
      <c r="F507" s="5">
        <v>1</v>
      </c>
      <c r="G507" s="5">
        <v>4</v>
      </c>
      <c r="H507" s="5">
        <v>5</v>
      </c>
    </row>
    <row r="508" spans="1:8" x14ac:dyDescent="0.3">
      <c r="A508" s="5">
        <v>506</v>
      </c>
      <c r="B508" s="5">
        <v>507</v>
      </c>
      <c r="C508" s="5">
        <v>7.5800000000000006E-2</v>
      </c>
      <c r="D508" s="5">
        <v>0.56999999999999995</v>
      </c>
      <c r="E508" s="5">
        <v>0.1045</v>
      </c>
      <c r="F508" s="5">
        <v>0</v>
      </c>
      <c r="G508" s="5">
        <v>3</v>
      </c>
      <c r="H508" s="5">
        <v>3</v>
      </c>
    </row>
    <row r="509" spans="1:8" x14ac:dyDescent="0.3">
      <c r="A509" s="5">
        <v>507</v>
      </c>
      <c r="B509" s="5">
        <v>508</v>
      </c>
      <c r="C509" s="5">
        <v>7.5800000000000006E-2</v>
      </c>
      <c r="D509" s="5">
        <v>0.56999999999999995</v>
      </c>
      <c r="E509" s="5">
        <v>0.1045</v>
      </c>
      <c r="F509" s="5">
        <v>0</v>
      </c>
      <c r="G509" s="5">
        <v>1</v>
      </c>
      <c r="H509" s="5">
        <v>1</v>
      </c>
    </row>
    <row r="510" spans="1:8" x14ac:dyDescent="0.3">
      <c r="A510" s="5">
        <v>508</v>
      </c>
      <c r="B510" s="5">
        <v>509</v>
      </c>
      <c r="C510" s="5">
        <v>0.1061</v>
      </c>
      <c r="D510" s="5">
        <v>0.57999999999999996</v>
      </c>
      <c r="E510" s="5">
        <v>0.16420000000000001</v>
      </c>
      <c r="F510" s="5">
        <v>1</v>
      </c>
      <c r="G510" s="5">
        <v>1</v>
      </c>
      <c r="H510" s="5">
        <v>2</v>
      </c>
    </row>
    <row r="511" spans="1:8" x14ac:dyDescent="0.3">
      <c r="A511" s="5">
        <v>509</v>
      </c>
      <c r="B511" s="5">
        <v>510</v>
      </c>
      <c r="C511" s="5">
        <v>7.5800000000000006E-2</v>
      </c>
      <c r="D511" s="5">
        <v>0.62</v>
      </c>
      <c r="E511" s="5">
        <v>0.16420000000000001</v>
      </c>
      <c r="F511" s="5">
        <v>2</v>
      </c>
      <c r="G511" s="5">
        <v>17</v>
      </c>
      <c r="H511" s="5">
        <v>19</v>
      </c>
    </row>
    <row r="512" spans="1:8" x14ac:dyDescent="0.3">
      <c r="A512" s="5">
        <v>510</v>
      </c>
      <c r="B512" s="5">
        <v>511</v>
      </c>
      <c r="C512" s="5">
        <v>7.5800000000000006E-2</v>
      </c>
      <c r="D512" s="5">
        <v>0.54</v>
      </c>
      <c r="E512" s="5">
        <v>0.35820000000000002</v>
      </c>
      <c r="F512" s="5">
        <v>3</v>
      </c>
      <c r="G512" s="5">
        <v>25</v>
      </c>
      <c r="H512" s="5">
        <v>28</v>
      </c>
    </row>
    <row r="513" spans="1:8" x14ac:dyDescent="0.3">
      <c r="A513" s="5">
        <v>511</v>
      </c>
      <c r="B513" s="5">
        <v>512</v>
      </c>
      <c r="C513" s="5">
        <v>0.1061</v>
      </c>
      <c r="D513" s="5">
        <v>0.46</v>
      </c>
      <c r="E513" s="5">
        <v>0.3881</v>
      </c>
      <c r="F513" s="5">
        <v>7</v>
      </c>
      <c r="G513" s="5">
        <v>51</v>
      </c>
      <c r="H513" s="5">
        <v>58</v>
      </c>
    </row>
    <row r="514" spans="1:8" x14ac:dyDescent="0.3">
      <c r="A514" s="5">
        <v>512</v>
      </c>
      <c r="B514" s="5">
        <v>513</v>
      </c>
      <c r="C514" s="5">
        <v>0.13639999999999999</v>
      </c>
      <c r="D514" s="5">
        <v>0.43</v>
      </c>
      <c r="E514" s="5">
        <v>0.22389999999999999</v>
      </c>
      <c r="F514" s="5">
        <v>22</v>
      </c>
      <c r="G514" s="5">
        <v>77</v>
      </c>
      <c r="H514" s="5">
        <v>99</v>
      </c>
    </row>
    <row r="515" spans="1:8" x14ac:dyDescent="0.3">
      <c r="A515" s="5">
        <v>513</v>
      </c>
      <c r="B515" s="5">
        <v>514</v>
      </c>
      <c r="C515" s="5">
        <v>0.1212</v>
      </c>
      <c r="D515" s="5">
        <v>0.37</v>
      </c>
      <c r="E515" s="5">
        <v>0.4627</v>
      </c>
      <c r="F515" s="5">
        <v>24</v>
      </c>
      <c r="G515" s="5">
        <v>92</v>
      </c>
      <c r="H515" s="5">
        <v>116</v>
      </c>
    </row>
    <row r="516" spans="1:8" x14ac:dyDescent="0.3">
      <c r="A516" s="5">
        <v>514</v>
      </c>
      <c r="B516" s="5">
        <v>515</v>
      </c>
      <c r="C516" s="5">
        <v>0.1061</v>
      </c>
      <c r="D516" s="5">
        <v>0.33</v>
      </c>
      <c r="E516" s="5">
        <v>0.3881</v>
      </c>
      <c r="F516" s="5">
        <v>12</v>
      </c>
      <c r="G516" s="5">
        <v>75</v>
      </c>
      <c r="H516" s="5">
        <v>87</v>
      </c>
    </row>
    <row r="517" spans="1:8" x14ac:dyDescent="0.3">
      <c r="A517" s="5">
        <v>515</v>
      </c>
      <c r="B517" s="5">
        <v>516</v>
      </c>
      <c r="C517" s="5">
        <v>0.13639999999999999</v>
      </c>
      <c r="D517" s="5">
        <v>0.28000000000000003</v>
      </c>
      <c r="E517" s="5">
        <v>0.35820000000000002</v>
      </c>
      <c r="F517" s="5">
        <v>17</v>
      </c>
      <c r="G517" s="5">
        <v>93</v>
      </c>
      <c r="H517" s="5">
        <v>110</v>
      </c>
    </row>
    <row r="518" spans="1:8" x14ac:dyDescent="0.3">
      <c r="A518" s="5">
        <v>516</v>
      </c>
      <c r="B518" s="5">
        <v>517</v>
      </c>
      <c r="C518" s="5">
        <v>0.13639999999999999</v>
      </c>
      <c r="D518" s="5">
        <v>0.28000000000000003</v>
      </c>
      <c r="E518" s="5">
        <v>0.35820000000000002</v>
      </c>
      <c r="F518" s="5">
        <v>13</v>
      </c>
      <c r="G518" s="5">
        <v>64</v>
      </c>
      <c r="H518" s="5">
        <v>77</v>
      </c>
    </row>
    <row r="519" spans="1:8" x14ac:dyDescent="0.3">
      <c r="A519" s="5">
        <v>517</v>
      </c>
      <c r="B519" s="5">
        <v>518</v>
      </c>
      <c r="C519" s="5">
        <v>0.13639999999999999</v>
      </c>
      <c r="D519" s="5">
        <v>0.26</v>
      </c>
      <c r="E519" s="5">
        <v>0.32840000000000003</v>
      </c>
      <c r="F519" s="5">
        <v>9</v>
      </c>
      <c r="G519" s="5">
        <v>56</v>
      </c>
      <c r="H519" s="5">
        <v>65</v>
      </c>
    </row>
    <row r="520" spans="1:8" x14ac:dyDescent="0.3">
      <c r="A520" s="5">
        <v>518</v>
      </c>
      <c r="B520" s="5">
        <v>519</v>
      </c>
      <c r="C520" s="5">
        <v>0.1061</v>
      </c>
      <c r="D520" s="5">
        <v>0.26</v>
      </c>
      <c r="E520" s="5">
        <v>0.3881</v>
      </c>
      <c r="F520" s="5">
        <v>5</v>
      </c>
      <c r="G520" s="5">
        <v>50</v>
      </c>
      <c r="H520" s="5">
        <v>55</v>
      </c>
    </row>
    <row r="521" spans="1:8" x14ac:dyDescent="0.3">
      <c r="A521" s="5">
        <v>519</v>
      </c>
      <c r="B521" s="5">
        <v>520</v>
      </c>
      <c r="C521" s="5">
        <v>0.1212</v>
      </c>
      <c r="D521" s="5">
        <v>0.3</v>
      </c>
      <c r="E521" s="5">
        <v>0.25369999999999998</v>
      </c>
      <c r="F521" s="5">
        <v>5</v>
      </c>
      <c r="G521" s="5">
        <v>44</v>
      </c>
      <c r="H521" s="5">
        <v>49</v>
      </c>
    </row>
    <row r="522" spans="1:8" x14ac:dyDescent="0.3">
      <c r="A522" s="5">
        <v>520</v>
      </c>
      <c r="B522" s="5">
        <v>521</v>
      </c>
      <c r="C522" s="5">
        <v>0.1212</v>
      </c>
      <c r="D522" s="5">
        <v>0.3</v>
      </c>
      <c r="E522" s="5">
        <v>0.28360000000000002</v>
      </c>
      <c r="F522" s="5">
        <v>5</v>
      </c>
      <c r="G522" s="5">
        <v>45</v>
      </c>
      <c r="H522" s="5">
        <v>50</v>
      </c>
    </row>
    <row r="523" spans="1:8" x14ac:dyDescent="0.3">
      <c r="A523" s="5">
        <v>521</v>
      </c>
      <c r="B523" s="5">
        <v>522</v>
      </c>
      <c r="C523" s="5">
        <v>0.1061</v>
      </c>
      <c r="D523" s="5">
        <v>0.36</v>
      </c>
      <c r="E523" s="5">
        <v>0.25369999999999998</v>
      </c>
      <c r="F523" s="5">
        <v>4</v>
      </c>
      <c r="G523" s="5">
        <v>31</v>
      </c>
      <c r="H523" s="5">
        <v>35</v>
      </c>
    </row>
    <row r="524" spans="1:8" x14ac:dyDescent="0.3">
      <c r="A524" s="5">
        <v>522</v>
      </c>
      <c r="B524" s="5">
        <v>523</v>
      </c>
      <c r="C524" s="5">
        <v>0.1061</v>
      </c>
      <c r="D524" s="5">
        <v>0.36</v>
      </c>
      <c r="E524" s="5">
        <v>0.19400000000000001</v>
      </c>
      <c r="F524" s="5">
        <v>5</v>
      </c>
      <c r="G524" s="5">
        <v>20</v>
      </c>
      <c r="H524" s="5">
        <v>25</v>
      </c>
    </row>
    <row r="525" spans="1:8" x14ac:dyDescent="0.3">
      <c r="A525" s="5">
        <v>523</v>
      </c>
      <c r="B525" s="5">
        <v>524</v>
      </c>
      <c r="C525" s="5">
        <v>9.0899999999999995E-2</v>
      </c>
      <c r="D525" s="5">
        <v>0.38</v>
      </c>
      <c r="E525" s="5">
        <v>0.19400000000000001</v>
      </c>
      <c r="F525" s="5">
        <v>5</v>
      </c>
      <c r="G525" s="5">
        <v>23</v>
      </c>
      <c r="H525" s="5">
        <v>28</v>
      </c>
    </row>
    <row r="526" spans="1:8" x14ac:dyDescent="0.3">
      <c r="A526" s="5">
        <v>524</v>
      </c>
      <c r="B526" s="5">
        <v>525</v>
      </c>
      <c r="C526" s="5">
        <v>6.0600000000000001E-2</v>
      </c>
      <c r="D526" s="5">
        <v>0.41</v>
      </c>
      <c r="E526" s="5">
        <v>0.22389999999999999</v>
      </c>
      <c r="F526" s="5">
        <v>4</v>
      </c>
      <c r="G526" s="5">
        <v>17</v>
      </c>
      <c r="H526" s="5">
        <v>21</v>
      </c>
    </row>
    <row r="527" spans="1:8" x14ac:dyDescent="0.3">
      <c r="A527" s="5">
        <v>525</v>
      </c>
      <c r="B527" s="5">
        <v>526</v>
      </c>
      <c r="C527" s="5">
        <v>6.0600000000000001E-2</v>
      </c>
      <c r="D527" s="5">
        <v>0.41</v>
      </c>
      <c r="E527" s="5">
        <v>0.19400000000000001</v>
      </c>
      <c r="F527" s="5">
        <v>0</v>
      </c>
      <c r="G527" s="5">
        <v>7</v>
      </c>
      <c r="H527" s="5">
        <v>7</v>
      </c>
    </row>
    <row r="528" spans="1:8" x14ac:dyDescent="0.3">
      <c r="A528" s="5">
        <v>526</v>
      </c>
      <c r="B528" s="5">
        <v>527</v>
      </c>
      <c r="C528" s="5">
        <v>4.5499999999999999E-2</v>
      </c>
      <c r="D528" s="5">
        <v>0.45</v>
      </c>
      <c r="E528" s="5">
        <v>0.19400000000000001</v>
      </c>
      <c r="F528" s="5">
        <v>0</v>
      </c>
      <c r="G528" s="5">
        <v>1</v>
      </c>
      <c r="H528" s="5">
        <v>1</v>
      </c>
    </row>
    <row r="529" spans="1:8" x14ac:dyDescent="0.3">
      <c r="A529" s="5">
        <v>527</v>
      </c>
      <c r="B529" s="5">
        <v>528</v>
      </c>
      <c r="C529" s="5">
        <v>3.0300000000000001E-2</v>
      </c>
      <c r="D529" s="5">
        <v>0.45</v>
      </c>
      <c r="E529" s="5">
        <v>0.25369999999999998</v>
      </c>
      <c r="F529" s="5">
        <v>0</v>
      </c>
      <c r="G529" s="5">
        <v>1</v>
      </c>
      <c r="H529" s="5">
        <v>1</v>
      </c>
    </row>
    <row r="530" spans="1:8" x14ac:dyDescent="0.3">
      <c r="A530" s="5">
        <v>528</v>
      </c>
      <c r="B530" s="5">
        <v>529</v>
      </c>
      <c r="C530" s="5">
        <v>6.0600000000000001E-2</v>
      </c>
      <c r="D530" s="5">
        <v>0.48</v>
      </c>
      <c r="E530" s="5">
        <v>0.1343</v>
      </c>
      <c r="F530" s="5">
        <v>0</v>
      </c>
      <c r="G530" s="5">
        <v>1</v>
      </c>
      <c r="H530" s="5">
        <v>1</v>
      </c>
    </row>
    <row r="531" spans="1:8" x14ac:dyDescent="0.3">
      <c r="A531" s="5">
        <v>529</v>
      </c>
      <c r="B531" s="5">
        <v>530</v>
      </c>
      <c r="C531" s="5">
        <v>6.0600000000000001E-2</v>
      </c>
      <c r="D531" s="5">
        <v>0.48</v>
      </c>
      <c r="E531" s="5">
        <v>0.1343</v>
      </c>
      <c r="F531" s="5">
        <v>0</v>
      </c>
      <c r="G531" s="5">
        <v>5</v>
      </c>
      <c r="H531" s="5">
        <v>5</v>
      </c>
    </row>
    <row r="532" spans="1:8" x14ac:dyDescent="0.3">
      <c r="A532" s="5">
        <v>530</v>
      </c>
      <c r="B532" s="5">
        <v>531</v>
      </c>
      <c r="C532" s="5">
        <v>7.5800000000000006E-2</v>
      </c>
      <c r="D532" s="5">
        <v>0.48</v>
      </c>
      <c r="E532" s="5">
        <v>8.9599999999999999E-2</v>
      </c>
      <c r="F532" s="5">
        <v>0</v>
      </c>
      <c r="G532" s="5">
        <v>15</v>
      </c>
      <c r="H532" s="5">
        <v>15</v>
      </c>
    </row>
    <row r="533" spans="1:8" x14ac:dyDescent="0.3">
      <c r="A533" s="5">
        <v>531</v>
      </c>
      <c r="B533" s="5">
        <v>532</v>
      </c>
      <c r="C533" s="5">
        <v>0.1212</v>
      </c>
      <c r="D533" s="5">
        <v>0.48</v>
      </c>
      <c r="E533" s="5">
        <v>0</v>
      </c>
      <c r="F533" s="5">
        <v>5</v>
      </c>
      <c r="G533" s="5">
        <v>79</v>
      </c>
      <c r="H533" s="5">
        <v>84</v>
      </c>
    </row>
    <row r="534" spans="1:8" x14ac:dyDescent="0.3">
      <c r="A534" s="5">
        <v>532</v>
      </c>
      <c r="B534" s="5">
        <v>533</v>
      </c>
      <c r="C534" s="5">
        <v>0.13639999999999999</v>
      </c>
      <c r="D534" s="5">
        <v>0.49</v>
      </c>
      <c r="E534" s="5">
        <v>0</v>
      </c>
      <c r="F534" s="5">
        <v>6</v>
      </c>
      <c r="G534" s="5">
        <v>171</v>
      </c>
      <c r="H534" s="5">
        <v>177</v>
      </c>
    </row>
    <row r="535" spans="1:8" x14ac:dyDescent="0.3">
      <c r="A535" s="5">
        <v>533</v>
      </c>
      <c r="B535" s="5">
        <v>534</v>
      </c>
      <c r="C535" s="5">
        <v>0.1515</v>
      </c>
      <c r="D535" s="5">
        <v>0.41</v>
      </c>
      <c r="E535" s="5">
        <v>0</v>
      </c>
      <c r="F535" s="5">
        <v>4</v>
      </c>
      <c r="G535" s="5">
        <v>98</v>
      </c>
      <c r="H535" s="5">
        <v>102</v>
      </c>
    </row>
    <row r="536" spans="1:8" x14ac:dyDescent="0.3">
      <c r="A536" s="5">
        <v>534</v>
      </c>
      <c r="B536" s="5">
        <v>535</v>
      </c>
      <c r="C536" s="5">
        <v>0.13639999999999999</v>
      </c>
      <c r="D536" s="5">
        <v>0.42</v>
      </c>
      <c r="E536" s="5">
        <v>0</v>
      </c>
      <c r="F536" s="5">
        <v>6</v>
      </c>
      <c r="G536" s="5">
        <v>34</v>
      </c>
      <c r="H536" s="5">
        <v>40</v>
      </c>
    </row>
    <row r="537" spans="1:8" x14ac:dyDescent="0.3">
      <c r="A537" s="5">
        <v>535</v>
      </c>
      <c r="B537" s="5">
        <v>536</v>
      </c>
      <c r="C537" s="5">
        <v>0.1212</v>
      </c>
      <c r="D537" s="5">
        <v>0.46</v>
      </c>
      <c r="E537" s="5">
        <v>0.1343</v>
      </c>
      <c r="F537" s="5">
        <v>3</v>
      </c>
      <c r="G537" s="5">
        <v>43</v>
      </c>
      <c r="H537" s="5">
        <v>46</v>
      </c>
    </row>
    <row r="538" spans="1:8" x14ac:dyDescent="0.3">
      <c r="A538" s="5">
        <v>536</v>
      </c>
      <c r="B538" s="5">
        <v>537</v>
      </c>
      <c r="C538" s="5">
        <v>0.13639999999999999</v>
      </c>
      <c r="D538" s="5">
        <v>0.42</v>
      </c>
      <c r="E538" s="5">
        <v>0.19400000000000001</v>
      </c>
      <c r="F538" s="5">
        <v>11</v>
      </c>
      <c r="G538" s="5">
        <v>52</v>
      </c>
      <c r="H538" s="5">
        <v>63</v>
      </c>
    </row>
    <row r="539" spans="1:8" x14ac:dyDescent="0.3">
      <c r="A539" s="5">
        <v>537</v>
      </c>
      <c r="B539" s="5">
        <v>538</v>
      </c>
      <c r="C539" s="5">
        <v>0.13639999999999999</v>
      </c>
      <c r="D539" s="5">
        <v>0.43</v>
      </c>
      <c r="E539" s="5">
        <v>0.22389999999999999</v>
      </c>
      <c r="F539" s="5">
        <v>6</v>
      </c>
      <c r="G539" s="5">
        <v>54</v>
      </c>
      <c r="H539" s="5">
        <v>60</v>
      </c>
    </row>
    <row r="540" spans="1:8" x14ac:dyDescent="0.3">
      <c r="A540" s="5">
        <v>538</v>
      </c>
      <c r="B540" s="5">
        <v>539</v>
      </c>
      <c r="C540" s="5">
        <v>0.13639999999999999</v>
      </c>
      <c r="D540" s="5">
        <v>0.46</v>
      </c>
      <c r="E540" s="5">
        <v>0.22389999999999999</v>
      </c>
      <c r="F540" s="5">
        <v>2</v>
      </c>
      <c r="G540" s="5">
        <v>43</v>
      </c>
      <c r="H540" s="5">
        <v>45</v>
      </c>
    </row>
    <row r="541" spans="1:8" x14ac:dyDescent="0.3">
      <c r="A541" s="5">
        <v>539</v>
      </c>
      <c r="B541" s="5">
        <v>540</v>
      </c>
      <c r="C541" s="5">
        <v>0.16669999999999999</v>
      </c>
      <c r="D541" s="5">
        <v>0.4</v>
      </c>
      <c r="E541" s="5">
        <v>0.16420000000000001</v>
      </c>
      <c r="F541" s="5">
        <v>7</v>
      </c>
      <c r="G541" s="5">
        <v>50</v>
      </c>
      <c r="H541" s="5">
        <v>57</v>
      </c>
    </row>
    <row r="542" spans="1:8" x14ac:dyDescent="0.3">
      <c r="A542" s="5">
        <v>540</v>
      </c>
      <c r="B542" s="5">
        <v>541</v>
      </c>
      <c r="C542" s="5">
        <v>0.1515</v>
      </c>
      <c r="D542" s="5">
        <v>0.47</v>
      </c>
      <c r="E542" s="5">
        <v>0.25369999999999998</v>
      </c>
      <c r="F542" s="5">
        <v>4</v>
      </c>
      <c r="G542" s="5">
        <v>66</v>
      </c>
      <c r="H542" s="5">
        <v>70</v>
      </c>
    </row>
    <row r="543" spans="1:8" x14ac:dyDescent="0.3">
      <c r="A543" s="5">
        <v>541</v>
      </c>
      <c r="B543" s="5">
        <v>542</v>
      </c>
      <c r="C543" s="5">
        <v>0.1212</v>
      </c>
      <c r="D543" s="5">
        <v>0.5</v>
      </c>
      <c r="E543" s="5">
        <v>0.25369999999999998</v>
      </c>
      <c r="F543" s="5">
        <v>6</v>
      </c>
      <c r="G543" s="5">
        <v>178</v>
      </c>
      <c r="H543" s="5">
        <v>184</v>
      </c>
    </row>
    <row r="544" spans="1:8" x14ac:dyDescent="0.3">
      <c r="A544" s="5">
        <v>542</v>
      </c>
      <c r="B544" s="5">
        <v>543</v>
      </c>
      <c r="C544" s="5">
        <v>0.13639999999999999</v>
      </c>
      <c r="D544" s="5">
        <v>0.59</v>
      </c>
      <c r="E544" s="5">
        <v>0.19400000000000001</v>
      </c>
      <c r="F544" s="5">
        <v>8</v>
      </c>
      <c r="G544" s="5">
        <v>145</v>
      </c>
      <c r="H544" s="5">
        <v>153</v>
      </c>
    </row>
    <row r="545" spans="1:8" x14ac:dyDescent="0.3">
      <c r="A545" s="5">
        <v>543</v>
      </c>
      <c r="B545" s="5">
        <v>544</v>
      </c>
      <c r="C545" s="5">
        <v>0.1515</v>
      </c>
      <c r="D545" s="5">
        <v>0.54</v>
      </c>
      <c r="E545" s="5">
        <v>0.16420000000000001</v>
      </c>
      <c r="F545" s="5">
        <v>5</v>
      </c>
      <c r="G545" s="5">
        <v>101</v>
      </c>
      <c r="H545" s="5">
        <v>106</v>
      </c>
    </row>
    <row r="546" spans="1:8" x14ac:dyDescent="0.3">
      <c r="A546" s="5">
        <v>544</v>
      </c>
      <c r="B546" s="5">
        <v>545</v>
      </c>
      <c r="C546" s="5">
        <v>0.13639999999999999</v>
      </c>
      <c r="D546" s="5">
        <v>0.59</v>
      </c>
      <c r="E546" s="5">
        <v>0.19400000000000001</v>
      </c>
      <c r="F546" s="5">
        <v>1</v>
      </c>
      <c r="G546" s="5">
        <v>80</v>
      </c>
      <c r="H546" s="5">
        <v>81</v>
      </c>
    </row>
    <row r="547" spans="1:8" x14ac:dyDescent="0.3">
      <c r="A547" s="5">
        <v>545</v>
      </c>
      <c r="B547" s="5">
        <v>546</v>
      </c>
      <c r="C547" s="5">
        <v>0.1515</v>
      </c>
      <c r="D547" s="5">
        <v>0.63</v>
      </c>
      <c r="E547" s="5">
        <v>0.16420000000000001</v>
      </c>
      <c r="F547" s="5">
        <v>6</v>
      </c>
      <c r="G547" s="5">
        <v>53</v>
      </c>
      <c r="H547" s="5">
        <v>59</v>
      </c>
    </row>
    <row r="548" spans="1:8" x14ac:dyDescent="0.3">
      <c r="A548" s="5">
        <v>546</v>
      </c>
      <c r="B548" s="5">
        <v>547</v>
      </c>
      <c r="C548" s="5">
        <v>0.13639999999999999</v>
      </c>
      <c r="D548" s="5">
        <v>0.63</v>
      </c>
      <c r="E548" s="5">
        <v>0.22389999999999999</v>
      </c>
      <c r="F548" s="5">
        <v>3</v>
      </c>
      <c r="G548" s="5">
        <v>32</v>
      </c>
      <c r="H548" s="5">
        <v>35</v>
      </c>
    </row>
    <row r="549" spans="1:8" x14ac:dyDescent="0.3">
      <c r="A549" s="5">
        <v>547</v>
      </c>
      <c r="B549" s="5">
        <v>548</v>
      </c>
      <c r="C549" s="5">
        <v>0.1515</v>
      </c>
      <c r="D549" s="5">
        <v>0.64</v>
      </c>
      <c r="E549" s="5">
        <v>0.25369999999999998</v>
      </c>
      <c r="F549" s="5">
        <v>3</v>
      </c>
      <c r="G549" s="5">
        <v>21</v>
      </c>
      <c r="H549" s="5">
        <v>24</v>
      </c>
    </row>
    <row r="550" spans="1:8" x14ac:dyDescent="0.3">
      <c r="A550" s="5">
        <v>548</v>
      </c>
      <c r="B550" s="5">
        <v>549</v>
      </c>
      <c r="C550" s="5">
        <v>0.13639999999999999</v>
      </c>
      <c r="D550" s="5">
        <v>0.69</v>
      </c>
      <c r="E550" s="5">
        <v>0.28360000000000002</v>
      </c>
      <c r="F550" s="5">
        <v>3</v>
      </c>
      <c r="G550" s="5">
        <v>6</v>
      </c>
      <c r="H550" s="5">
        <v>9</v>
      </c>
    </row>
    <row r="551" spans="1:8" x14ac:dyDescent="0.3">
      <c r="A551" s="5">
        <v>549</v>
      </c>
      <c r="B551" s="5">
        <v>550</v>
      </c>
      <c r="C551" s="5">
        <v>0.16669999999999999</v>
      </c>
      <c r="D551" s="5">
        <v>0.69</v>
      </c>
      <c r="E551" s="5">
        <v>0.16420000000000001</v>
      </c>
      <c r="F551" s="5">
        <v>0</v>
      </c>
      <c r="G551" s="5">
        <v>5</v>
      </c>
      <c r="H551" s="5">
        <v>5</v>
      </c>
    </row>
    <row r="552" spans="1:8" x14ac:dyDescent="0.3">
      <c r="A552" s="5">
        <v>550</v>
      </c>
      <c r="B552" s="5">
        <v>551</v>
      </c>
      <c r="C552" s="5">
        <v>0.1515</v>
      </c>
      <c r="D552" s="5">
        <v>0.69</v>
      </c>
      <c r="E552" s="5">
        <v>0.22389999999999999</v>
      </c>
      <c r="F552" s="5">
        <v>0</v>
      </c>
      <c r="G552" s="5">
        <v>2</v>
      </c>
      <c r="H552" s="5">
        <v>2</v>
      </c>
    </row>
    <row r="553" spans="1:8" x14ac:dyDescent="0.3">
      <c r="A553" s="5">
        <v>551</v>
      </c>
      <c r="B553" s="5">
        <v>552</v>
      </c>
      <c r="C553" s="5">
        <v>0.16669999999999999</v>
      </c>
      <c r="D553" s="5">
        <v>0.74</v>
      </c>
      <c r="E553" s="5">
        <v>0.1045</v>
      </c>
      <c r="F553" s="5">
        <v>0</v>
      </c>
      <c r="G553" s="5">
        <v>1</v>
      </c>
      <c r="H553" s="5">
        <v>1</v>
      </c>
    </row>
    <row r="554" spans="1:8" x14ac:dyDescent="0.3">
      <c r="A554" s="5">
        <v>552</v>
      </c>
      <c r="B554" s="5">
        <v>553</v>
      </c>
      <c r="C554" s="5">
        <v>0.13639999999999999</v>
      </c>
      <c r="D554" s="5">
        <v>0.74</v>
      </c>
      <c r="E554" s="5">
        <v>0.22389999999999999</v>
      </c>
      <c r="F554" s="5">
        <v>0</v>
      </c>
      <c r="G554" s="5">
        <v>9</v>
      </c>
      <c r="H554" s="5">
        <v>9</v>
      </c>
    </row>
    <row r="555" spans="1:8" x14ac:dyDescent="0.3">
      <c r="A555" s="5">
        <v>553</v>
      </c>
      <c r="B555" s="5">
        <v>554</v>
      </c>
      <c r="C555" s="5">
        <v>0.18179999999999999</v>
      </c>
      <c r="D555" s="5">
        <v>0.74</v>
      </c>
      <c r="E555" s="5">
        <v>0.1045</v>
      </c>
      <c r="F555" s="5">
        <v>1</v>
      </c>
      <c r="G555" s="5">
        <v>35</v>
      </c>
      <c r="H555" s="5">
        <v>36</v>
      </c>
    </row>
    <row r="556" spans="1:8" x14ac:dyDescent="0.3">
      <c r="A556" s="5">
        <v>554</v>
      </c>
      <c r="B556" s="5">
        <v>555</v>
      </c>
      <c r="C556" s="5">
        <v>0.1515</v>
      </c>
      <c r="D556" s="5">
        <v>0.74</v>
      </c>
      <c r="E556" s="5">
        <v>0.22389999999999999</v>
      </c>
      <c r="F556" s="5">
        <v>5</v>
      </c>
      <c r="G556" s="5">
        <v>103</v>
      </c>
      <c r="H556" s="5">
        <v>108</v>
      </c>
    </row>
    <row r="557" spans="1:8" x14ac:dyDescent="0.3">
      <c r="A557" s="5">
        <v>555</v>
      </c>
      <c r="B557" s="5">
        <v>556</v>
      </c>
      <c r="C557" s="5">
        <v>0.18179999999999999</v>
      </c>
      <c r="D557" s="5">
        <v>0.74</v>
      </c>
      <c r="E557" s="5">
        <v>0.1343</v>
      </c>
      <c r="F557" s="5">
        <v>5</v>
      </c>
      <c r="G557" s="5">
        <v>233</v>
      </c>
      <c r="H557" s="5">
        <v>238</v>
      </c>
    </row>
    <row r="558" spans="1:8" x14ac:dyDescent="0.3">
      <c r="A558" s="5">
        <v>556</v>
      </c>
      <c r="B558" s="5">
        <v>557</v>
      </c>
      <c r="C558" s="5">
        <v>0.2273</v>
      </c>
      <c r="D558" s="5">
        <v>0.64</v>
      </c>
      <c r="E558" s="5">
        <v>8.9599999999999999E-2</v>
      </c>
      <c r="F558" s="5">
        <v>10</v>
      </c>
      <c r="G558" s="5">
        <v>134</v>
      </c>
      <c r="H558" s="5">
        <v>144</v>
      </c>
    </row>
    <row r="559" spans="1:8" x14ac:dyDescent="0.3">
      <c r="A559" s="5">
        <v>557</v>
      </c>
      <c r="B559" s="5">
        <v>558</v>
      </c>
      <c r="C559" s="5">
        <v>0.2424</v>
      </c>
      <c r="D559" s="5">
        <v>0.6</v>
      </c>
      <c r="E559" s="5">
        <v>0.1045</v>
      </c>
      <c r="F559" s="5">
        <v>6</v>
      </c>
      <c r="G559" s="5">
        <v>49</v>
      </c>
      <c r="H559" s="5">
        <v>55</v>
      </c>
    </row>
    <row r="560" spans="1:8" x14ac:dyDescent="0.3">
      <c r="A560" s="5">
        <v>558</v>
      </c>
      <c r="B560" s="5">
        <v>559</v>
      </c>
      <c r="C560" s="5">
        <v>0.2424</v>
      </c>
      <c r="D560" s="5">
        <v>0.6</v>
      </c>
      <c r="E560" s="5">
        <v>0.1343</v>
      </c>
      <c r="F560" s="5">
        <v>6</v>
      </c>
      <c r="G560" s="5">
        <v>55</v>
      </c>
      <c r="H560" s="5">
        <v>61</v>
      </c>
    </row>
    <row r="561" spans="1:8" x14ac:dyDescent="0.3">
      <c r="A561" s="5">
        <v>559</v>
      </c>
      <c r="B561" s="5">
        <v>560</v>
      </c>
      <c r="C561" s="5">
        <v>0.28789999999999999</v>
      </c>
      <c r="D561" s="5">
        <v>0.56000000000000005</v>
      </c>
      <c r="E561" s="5">
        <v>8.9599999999999999E-2</v>
      </c>
      <c r="F561" s="5">
        <v>21</v>
      </c>
      <c r="G561" s="5">
        <v>85</v>
      </c>
      <c r="H561" s="5">
        <v>106</v>
      </c>
    </row>
    <row r="562" spans="1:8" x14ac:dyDescent="0.3">
      <c r="A562" s="5">
        <v>560</v>
      </c>
      <c r="B562" s="5">
        <v>561</v>
      </c>
      <c r="C562" s="5">
        <v>0.2727</v>
      </c>
      <c r="D562" s="5">
        <v>0.56000000000000005</v>
      </c>
      <c r="E562" s="5">
        <v>0.1343</v>
      </c>
      <c r="F562" s="5">
        <v>21</v>
      </c>
      <c r="G562" s="5">
        <v>72</v>
      </c>
      <c r="H562" s="5">
        <v>93</v>
      </c>
    </row>
    <row r="563" spans="1:8" x14ac:dyDescent="0.3">
      <c r="A563" s="5">
        <v>561</v>
      </c>
      <c r="B563" s="5">
        <v>562</v>
      </c>
      <c r="C563" s="5">
        <v>0.33329999999999999</v>
      </c>
      <c r="D563" s="5">
        <v>0.45</v>
      </c>
      <c r="E563" s="5">
        <v>0</v>
      </c>
      <c r="F563" s="5">
        <v>11</v>
      </c>
      <c r="G563" s="5">
        <v>57</v>
      </c>
      <c r="H563" s="5">
        <v>68</v>
      </c>
    </row>
    <row r="564" spans="1:8" x14ac:dyDescent="0.3">
      <c r="A564" s="5">
        <v>562</v>
      </c>
      <c r="B564" s="5">
        <v>563</v>
      </c>
      <c r="C564" s="5">
        <v>0.34849999999999998</v>
      </c>
      <c r="D564" s="5">
        <v>0.42</v>
      </c>
      <c r="E564" s="5">
        <v>0</v>
      </c>
      <c r="F564" s="5">
        <v>21</v>
      </c>
      <c r="G564" s="5">
        <v>63</v>
      </c>
      <c r="H564" s="5">
        <v>84</v>
      </c>
    </row>
    <row r="565" spans="1:8" x14ac:dyDescent="0.3">
      <c r="A565" s="5">
        <v>563</v>
      </c>
      <c r="B565" s="5">
        <v>564</v>
      </c>
      <c r="C565" s="5">
        <v>0.34849999999999998</v>
      </c>
      <c r="D565" s="5">
        <v>0.42</v>
      </c>
      <c r="E565" s="5">
        <v>0</v>
      </c>
      <c r="F565" s="5">
        <v>14</v>
      </c>
      <c r="G565" s="5">
        <v>102</v>
      </c>
      <c r="H565" s="5">
        <v>116</v>
      </c>
    </row>
    <row r="566" spans="1:8" x14ac:dyDescent="0.3">
      <c r="A566" s="5">
        <v>564</v>
      </c>
      <c r="B566" s="5">
        <v>565</v>
      </c>
      <c r="C566" s="5">
        <v>0.33329999999999999</v>
      </c>
      <c r="D566" s="5">
        <v>0.45</v>
      </c>
      <c r="E566" s="5">
        <v>0</v>
      </c>
      <c r="F566" s="5">
        <v>14</v>
      </c>
      <c r="G566" s="5">
        <v>208</v>
      </c>
      <c r="H566" s="5">
        <v>222</v>
      </c>
    </row>
    <row r="567" spans="1:8" x14ac:dyDescent="0.3">
      <c r="A567" s="5">
        <v>565</v>
      </c>
      <c r="B567" s="5">
        <v>566</v>
      </c>
      <c r="C567" s="5">
        <v>0.31819999999999998</v>
      </c>
      <c r="D567" s="5">
        <v>0.49</v>
      </c>
      <c r="E567" s="5">
        <v>8.9599999999999999E-2</v>
      </c>
      <c r="F567" s="5">
        <v>7</v>
      </c>
      <c r="G567" s="5">
        <v>218</v>
      </c>
      <c r="H567" s="5">
        <v>225</v>
      </c>
    </row>
    <row r="568" spans="1:8" x14ac:dyDescent="0.3">
      <c r="A568" s="5">
        <v>566</v>
      </c>
      <c r="B568" s="5">
        <v>567</v>
      </c>
      <c r="C568" s="5">
        <v>0.2576</v>
      </c>
      <c r="D568" s="5">
        <v>0.65</v>
      </c>
      <c r="E568" s="5">
        <v>0.16420000000000001</v>
      </c>
      <c r="F568" s="5">
        <v>13</v>
      </c>
      <c r="G568" s="5">
        <v>133</v>
      </c>
      <c r="H568" s="5">
        <v>146</v>
      </c>
    </row>
    <row r="569" spans="1:8" x14ac:dyDescent="0.3">
      <c r="A569" s="5">
        <v>567</v>
      </c>
      <c r="B569" s="5">
        <v>568</v>
      </c>
      <c r="C569" s="5">
        <v>0.2273</v>
      </c>
      <c r="D569" s="5">
        <v>0.65</v>
      </c>
      <c r="E569" s="5">
        <v>0.19400000000000001</v>
      </c>
      <c r="F569" s="5">
        <v>16</v>
      </c>
      <c r="G569" s="5">
        <v>103</v>
      </c>
      <c r="H569" s="5">
        <v>119</v>
      </c>
    </row>
    <row r="570" spans="1:8" x14ac:dyDescent="0.3">
      <c r="A570" s="5">
        <v>568</v>
      </c>
      <c r="B570" s="5">
        <v>569</v>
      </c>
      <c r="C570" s="5">
        <v>0.2273</v>
      </c>
      <c r="D570" s="5">
        <v>0.65</v>
      </c>
      <c r="E570" s="5">
        <v>0.19400000000000001</v>
      </c>
      <c r="F570" s="5">
        <v>5</v>
      </c>
      <c r="G570" s="5">
        <v>40</v>
      </c>
      <c r="H570" s="5">
        <v>45</v>
      </c>
    </row>
    <row r="571" spans="1:8" x14ac:dyDescent="0.3">
      <c r="A571" s="5">
        <v>569</v>
      </c>
      <c r="B571" s="5">
        <v>570</v>
      </c>
      <c r="C571" s="5">
        <v>0.2273</v>
      </c>
      <c r="D571" s="5">
        <v>0.64</v>
      </c>
      <c r="E571" s="5">
        <v>0.16420000000000001</v>
      </c>
      <c r="F571" s="5">
        <v>4</v>
      </c>
      <c r="G571" s="5">
        <v>49</v>
      </c>
      <c r="H571" s="5">
        <v>53</v>
      </c>
    </row>
    <row r="572" spans="1:8" x14ac:dyDescent="0.3">
      <c r="A572" s="5">
        <v>570</v>
      </c>
      <c r="B572" s="5">
        <v>571</v>
      </c>
      <c r="C572" s="5">
        <v>0.2273</v>
      </c>
      <c r="D572" s="5">
        <v>0.64</v>
      </c>
      <c r="E572" s="5">
        <v>0.16420000000000001</v>
      </c>
      <c r="F572" s="5">
        <v>3</v>
      </c>
      <c r="G572" s="5">
        <v>37</v>
      </c>
      <c r="H572" s="5">
        <v>40</v>
      </c>
    </row>
    <row r="573" spans="1:8" x14ac:dyDescent="0.3">
      <c r="A573" s="5">
        <v>571</v>
      </c>
      <c r="B573" s="5">
        <v>572</v>
      </c>
      <c r="C573" s="5">
        <v>0.2273</v>
      </c>
      <c r="D573" s="5">
        <v>0.69</v>
      </c>
      <c r="E573" s="5">
        <v>0.1343</v>
      </c>
      <c r="F573" s="5">
        <v>3</v>
      </c>
      <c r="G573" s="5">
        <v>14</v>
      </c>
      <c r="H573" s="5">
        <v>17</v>
      </c>
    </row>
    <row r="574" spans="1:8" x14ac:dyDescent="0.3">
      <c r="A574" s="5">
        <v>572</v>
      </c>
      <c r="B574" s="5">
        <v>573</v>
      </c>
      <c r="C574" s="5">
        <v>0.2424</v>
      </c>
      <c r="D574" s="5">
        <v>0.65</v>
      </c>
      <c r="E574" s="5">
        <v>0.1343</v>
      </c>
      <c r="F574" s="5">
        <v>0</v>
      </c>
      <c r="G574" s="5">
        <v>5</v>
      </c>
      <c r="H574" s="5">
        <v>5</v>
      </c>
    </row>
    <row r="575" spans="1:8" x14ac:dyDescent="0.3">
      <c r="A575" s="5">
        <v>573</v>
      </c>
      <c r="B575" s="5">
        <v>574</v>
      </c>
      <c r="C575" s="5">
        <v>0.2273</v>
      </c>
      <c r="D575" s="5">
        <v>0.69</v>
      </c>
      <c r="E575" s="5">
        <v>0.19400000000000001</v>
      </c>
      <c r="F575" s="5">
        <v>3</v>
      </c>
      <c r="G575" s="5">
        <v>7</v>
      </c>
      <c r="H575" s="5">
        <v>10</v>
      </c>
    </row>
    <row r="576" spans="1:8" x14ac:dyDescent="0.3">
      <c r="A576" s="5">
        <v>574</v>
      </c>
      <c r="B576" s="5">
        <v>575</v>
      </c>
      <c r="C576" s="5">
        <v>0.18179999999999999</v>
      </c>
      <c r="D576" s="5">
        <v>0.86</v>
      </c>
      <c r="E576" s="5">
        <v>0.28360000000000002</v>
      </c>
      <c r="F576" s="5">
        <v>0</v>
      </c>
      <c r="G576" s="5">
        <v>1</v>
      </c>
      <c r="H576" s="5">
        <v>1</v>
      </c>
    </row>
    <row r="577" spans="1:8" x14ac:dyDescent="0.3">
      <c r="A577" s="5">
        <v>575</v>
      </c>
      <c r="B577" s="5">
        <v>576</v>
      </c>
      <c r="C577" s="5">
        <v>0.18179999999999999</v>
      </c>
      <c r="D577" s="5">
        <v>0.86</v>
      </c>
      <c r="E577" s="5">
        <v>0.28360000000000002</v>
      </c>
      <c r="F577" s="5">
        <v>0</v>
      </c>
      <c r="G577" s="5">
        <v>8</v>
      </c>
      <c r="H577" s="5">
        <v>8</v>
      </c>
    </row>
    <row r="578" spans="1:8" x14ac:dyDescent="0.3">
      <c r="A578" s="5">
        <v>576</v>
      </c>
      <c r="B578" s="5">
        <v>577</v>
      </c>
      <c r="C578" s="5">
        <v>0.21210000000000001</v>
      </c>
      <c r="D578" s="5">
        <v>0.87</v>
      </c>
      <c r="E578" s="5">
        <v>0.29849999999999999</v>
      </c>
      <c r="F578" s="5">
        <v>1</v>
      </c>
      <c r="G578" s="5">
        <v>29</v>
      </c>
      <c r="H578" s="5">
        <v>30</v>
      </c>
    </row>
    <row r="579" spans="1:8" x14ac:dyDescent="0.3">
      <c r="A579" s="5">
        <v>577</v>
      </c>
      <c r="B579" s="5">
        <v>578</v>
      </c>
      <c r="C579" s="5">
        <v>0.21210000000000001</v>
      </c>
      <c r="D579" s="5">
        <v>0.87</v>
      </c>
      <c r="E579" s="5">
        <v>0.29849999999999999</v>
      </c>
      <c r="F579" s="5">
        <v>3</v>
      </c>
      <c r="G579" s="5">
        <v>69</v>
      </c>
      <c r="H579" s="5">
        <v>72</v>
      </c>
    </row>
    <row r="580" spans="1:8" x14ac:dyDescent="0.3">
      <c r="A580" s="5">
        <v>578</v>
      </c>
      <c r="B580" s="5">
        <v>579</v>
      </c>
      <c r="C580" s="5">
        <v>0.21210000000000001</v>
      </c>
      <c r="D580" s="5">
        <v>0.87</v>
      </c>
      <c r="E580" s="5">
        <v>0.29849999999999999</v>
      </c>
      <c r="F580" s="5">
        <v>3</v>
      </c>
      <c r="G580" s="5">
        <v>55</v>
      </c>
      <c r="H580" s="5">
        <v>58</v>
      </c>
    </row>
    <row r="581" spans="1:8" x14ac:dyDescent="0.3">
      <c r="A581" s="5">
        <v>579</v>
      </c>
      <c r="B581" s="5">
        <v>580</v>
      </c>
      <c r="C581" s="5">
        <v>0.21210000000000001</v>
      </c>
      <c r="D581" s="5">
        <v>0.93</v>
      </c>
      <c r="E581" s="5">
        <v>0.28360000000000002</v>
      </c>
      <c r="F581" s="5">
        <v>2</v>
      </c>
      <c r="G581" s="5">
        <v>26</v>
      </c>
      <c r="H581" s="5">
        <v>28</v>
      </c>
    </row>
    <row r="582" spans="1:8" x14ac:dyDescent="0.3">
      <c r="A582" s="5">
        <v>580</v>
      </c>
      <c r="B582" s="5">
        <v>581</v>
      </c>
      <c r="C582" s="5">
        <v>0.19700000000000001</v>
      </c>
      <c r="D582" s="5">
        <v>0.93</v>
      </c>
      <c r="E582" s="5">
        <v>0.32840000000000003</v>
      </c>
      <c r="F582" s="5">
        <v>6</v>
      </c>
      <c r="G582" s="5">
        <v>35</v>
      </c>
      <c r="H582" s="5">
        <v>41</v>
      </c>
    </row>
    <row r="583" spans="1:8" x14ac:dyDescent="0.3">
      <c r="A583" s="5">
        <v>581</v>
      </c>
      <c r="B583" s="5">
        <v>582</v>
      </c>
      <c r="C583" s="5">
        <v>0.19700000000000001</v>
      </c>
      <c r="D583" s="5">
        <v>0.93</v>
      </c>
      <c r="E583" s="5">
        <v>0.32840000000000003</v>
      </c>
      <c r="F583" s="5">
        <v>7</v>
      </c>
      <c r="G583" s="5">
        <v>41</v>
      </c>
      <c r="H583" s="5">
        <v>48</v>
      </c>
    </row>
    <row r="584" spans="1:8" x14ac:dyDescent="0.3">
      <c r="A584" s="5">
        <v>582</v>
      </c>
      <c r="B584" s="5">
        <v>583</v>
      </c>
      <c r="C584" s="5">
        <v>0.19700000000000001</v>
      </c>
      <c r="D584" s="5">
        <v>0.93</v>
      </c>
      <c r="E584" s="5">
        <v>0.32840000000000003</v>
      </c>
      <c r="F584" s="5">
        <v>4</v>
      </c>
      <c r="G584" s="5">
        <v>43</v>
      </c>
      <c r="H584" s="5">
        <v>47</v>
      </c>
    </row>
    <row r="585" spans="1:8" x14ac:dyDescent="0.3">
      <c r="A585" s="5">
        <v>583</v>
      </c>
      <c r="B585" s="5">
        <v>584</v>
      </c>
      <c r="C585" s="5">
        <v>0.19700000000000001</v>
      </c>
      <c r="D585" s="5">
        <v>0.93</v>
      </c>
      <c r="E585" s="5">
        <v>0.35820000000000002</v>
      </c>
      <c r="F585" s="5">
        <v>0</v>
      </c>
      <c r="G585" s="5">
        <v>36</v>
      </c>
      <c r="H585" s="5">
        <v>36</v>
      </c>
    </row>
    <row r="586" spans="1:8" x14ac:dyDescent="0.3">
      <c r="A586" s="5">
        <v>584</v>
      </c>
      <c r="B586" s="5">
        <v>585</v>
      </c>
      <c r="C586" s="5">
        <v>0.18179999999999999</v>
      </c>
      <c r="D586" s="5">
        <v>0.93</v>
      </c>
      <c r="E586" s="5">
        <v>0.4627</v>
      </c>
      <c r="F586" s="5">
        <v>1</v>
      </c>
      <c r="G586" s="5">
        <v>42</v>
      </c>
      <c r="H586" s="5">
        <v>43</v>
      </c>
    </row>
    <row r="587" spans="1:8" x14ac:dyDescent="0.3">
      <c r="A587" s="5">
        <v>585</v>
      </c>
      <c r="B587" s="5">
        <v>586</v>
      </c>
      <c r="C587" s="5">
        <v>0.19700000000000001</v>
      </c>
      <c r="D587" s="5">
        <v>0.93</v>
      </c>
      <c r="E587" s="5">
        <v>0.32840000000000003</v>
      </c>
      <c r="F587" s="5">
        <v>1</v>
      </c>
      <c r="G587" s="5">
        <v>35</v>
      </c>
      <c r="H587" s="5">
        <v>36</v>
      </c>
    </row>
    <row r="588" spans="1:8" x14ac:dyDescent="0.3">
      <c r="A588" s="5">
        <v>586</v>
      </c>
      <c r="B588" s="5">
        <v>587</v>
      </c>
      <c r="C588" s="5">
        <v>0.18179999999999999</v>
      </c>
      <c r="D588" s="5">
        <v>0.93</v>
      </c>
      <c r="E588" s="5">
        <v>0.35820000000000002</v>
      </c>
      <c r="F588" s="5">
        <v>0</v>
      </c>
      <c r="G588" s="5">
        <v>26</v>
      </c>
      <c r="H588" s="5">
        <v>26</v>
      </c>
    </row>
    <row r="589" spans="1:8" x14ac:dyDescent="0.3">
      <c r="A589" s="5">
        <v>587</v>
      </c>
      <c r="B589" s="5">
        <v>588</v>
      </c>
      <c r="C589" s="5">
        <v>0.2273</v>
      </c>
      <c r="D589" s="5">
        <v>0.55000000000000004</v>
      </c>
      <c r="E589" s="5">
        <v>0.19400000000000001</v>
      </c>
      <c r="F589" s="5">
        <v>1</v>
      </c>
      <c r="G589" s="5">
        <v>23</v>
      </c>
      <c r="H589" s="5">
        <v>24</v>
      </c>
    </row>
    <row r="590" spans="1:8" x14ac:dyDescent="0.3">
      <c r="A590" s="5">
        <v>588</v>
      </c>
      <c r="B590" s="5">
        <v>589</v>
      </c>
      <c r="C590" s="5">
        <v>0.2424</v>
      </c>
      <c r="D590" s="5">
        <v>0.55000000000000004</v>
      </c>
      <c r="E590" s="5">
        <v>0.1045</v>
      </c>
      <c r="F590" s="5">
        <v>2</v>
      </c>
      <c r="G590" s="5">
        <v>82</v>
      </c>
      <c r="H590" s="5">
        <v>84</v>
      </c>
    </row>
    <row r="591" spans="1:8" x14ac:dyDescent="0.3">
      <c r="A591" s="5">
        <v>589</v>
      </c>
      <c r="B591" s="5">
        <v>590</v>
      </c>
      <c r="C591" s="5">
        <v>0.2273</v>
      </c>
      <c r="D591" s="5">
        <v>0.69</v>
      </c>
      <c r="E591" s="5">
        <v>8.9599999999999999E-2</v>
      </c>
      <c r="F591" s="5">
        <v>3</v>
      </c>
      <c r="G591" s="5">
        <v>101</v>
      </c>
      <c r="H591" s="5">
        <v>104</v>
      </c>
    </row>
    <row r="592" spans="1:8" x14ac:dyDescent="0.3">
      <c r="A592" s="5">
        <v>590</v>
      </c>
      <c r="B592" s="5">
        <v>591</v>
      </c>
      <c r="C592" s="5">
        <v>0.2273</v>
      </c>
      <c r="D592" s="5">
        <v>0.69</v>
      </c>
      <c r="E592" s="5">
        <v>8.9599999999999999E-2</v>
      </c>
      <c r="F592" s="5">
        <v>3</v>
      </c>
      <c r="G592" s="5">
        <v>76</v>
      </c>
      <c r="H592" s="5">
        <v>79</v>
      </c>
    </row>
    <row r="593" spans="1:8" x14ac:dyDescent="0.3">
      <c r="A593" s="5">
        <v>591</v>
      </c>
      <c r="B593" s="5">
        <v>592</v>
      </c>
      <c r="C593" s="5">
        <v>0.21210000000000001</v>
      </c>
      <c r="D593" s="5">
        <v>0.74</v>
      </c>
      <c r="E593" s="5">
        <v>8.9599999999999999E-2</v>
      </c>
      <c r="F593" s="5">
        <v>4</v>
      </c>
      <c r="G593" s="5">
        <v>55</v>
      </c>
      <c r="H593" s="5">
        <v>59</v>
      </c>
    </row>
    <row r="594" spans="1:8" x14ac:dyDescent="0.3">
      <c r="A594" s="5">
        <v>592</v>
      </c>
      <c r="B594" s="5">
        <v>593</v>
      </c>
      <c r="C594" s="5">
        <v>0.21210000000000001</v>
      </c>
      <c r="D594" s="5">
        <v>0.74</v>
      </c>
      <c r="E594" s="5">
        <v>8.9599999999999999E-2</v>
      </c>
      <c r="F594" s="5">
        <v>2</v>
      </c>
      <c r="G594" s="5">
        <v>36</v>
      </c>
      <c r="H594" s="5">
        <v>38</v>
      </c>
    </row>
    <row r="595" spans="1:8" x14ac:dyDescent="0.3">
      <c r="A595" s="5">
        <v>593</v>
      </c>
      <c r="B595" s="5">
        <v>594</v>
      </c>
      <c r="C595" s="5">
        <v>0.21210000000000001</v>
      </c>
      <c r="D595" s="5">
        <v>0.74</v>
      </c>
      <c r="E595" s="5">
        <v>8.9599999999999999E-2</v>
      </c>
      <c r="F595" s="5">
        <v>0</v>
      </c>
      <c r="G595" s="5">
        <v>27</v>
      </c>
      <c r="H595" s="5">
        <v>27</v>
      </c>
    </row>
    <row r="596" spans="1:8" x14ac:dyDescent="0.3">
      <c r="A596" s="5">
        <v>594</v>
      </c>
      <c r="B596" s="5">
        <v>595</v>
      </c>
      <c r="C596" s="5">
        <v>0.19700000000000001</v>
      </c>
      <c r="D596" s="5">
        <v>0.8</v>
      </c>
      <c r="E596" s="5">
        <v>0.16420000000000001</v>
      </c>
      <c r="F596" s="5">
        <v>0</v>
      </c>
      <c r="G596" s="5">
        <v>16</v>
      </c>
      <c r="H596" s="5">
        <v>16</v>
      </c>
    </row>
    <row r="597" spans="1:8" x14ac:dyDescent="0.3">
      <c r="A597" s="5">
        <v>595</v>
      </c>
      <c r="B597" s="5">
        <v>596</v>
      </c>
      <c r="C597" s="5">
        <v>0.21210000000000001</v>
      </c>
      <c r="D597" s="5">
        <v>0.75</v>
      </c>
      <c r="E597" s="5">
        <v>0.1343</v>
      </c>
      <c r="F597" s="5">
        <v>0</v>
      </c>
      <c r="G597" s="5">
        <v>9</v>
      </c>
      <c r="H597" s="5">
        <v>9</v>
      </c>
    </row>
    <row r="598" spans="1:8" x14ac:dyDescent="0.3">
      <c r="A598" s="5">
        <v>596</v>
      </c>
      <c r="B598" s="5">
        <v>597</v>
      </c>
      <c r="C598" s="5">
        <v>0.21210000000000001</v>
      </c>
      <c r="D598" s="5">
        <v>0.75</v>
      </c>
      <c r="E598" s="5">
        <v>0.1343</v>
      </c>
      <c r="F598" s="5">
        <v>1</v>
      </c>
      <c r="G598" s="5">
        <v>2</v>
      </c>
      <c r="H598" s="5">
        <v>3</v>
      </c>
    </row>
    <row r="599" spans="1:8" x14ac:dyDescent="0.3">
      <c r="A599" s="5">
        <v>597</v>
      </c>
      <c r="B599" s="5">
        <v>598</v>
      </c>
      <c r="C599" s="5">
        <v>0.21210000000000001</v>
      </c>
      <c r="D599" s="5">
        <v>0.75</v>
      </c>
      <c r="E599" s="5">
        <v>0.16420000000000001</v>
      </c>
      <c r="F599" s="5">
        <v>0</v>
      </c>
      <c r="G599" s="5">
        <v>2</v>
      </c>
      <c r="H599" s="5">
        <v>2</v>
      </c>
    </row>
    <row r="600" spans="1:8" x14ac:dyDescent="0.3">
      <c r="A600" s="5">
        <v>598</v>
      </c>
      <c r="B600" s="5">
        <v>599</v>
      </c>
      <c r="C600" s="5">
        <v>0.2273</v>
      </c>
      <c r="D600" s="5">
        <v>0.75</v>
      </c>
      <c r="E600" s="5">
        <v>0.1045</v>
      </c>
      <c r="F600" s="5">
        <v>1</v>
      </c>
      <c r="G600" s="5">
        <v>0</v>
      </c>
      <c r="H600" s="5">
        <v>1</v>
      </c>
    </row>
    <row r="601" spans="1:8" x14ac:dyDescent="0.3">
      <c r="A601" s="5">
        <v>599</v>
      </c>
      <c r="B601" s="5">
        <v>600</v>
      </c>
      <c r="C601" s="5">
        <v>0.21210000000000001</v>
      </c>
      <c r="D601" s="5">
        <v>0.8</v>
      </c>
      <c r="E601" s="5">
        <v>0.1045</v>
      </c>
      <c r="F601" s="5">
        <v>0</v>
      </c>
      <c r="G601" s="5">
        <v>4</v>
      </c>
      <c r="H601" s="5">
        <v>4</v>
      </c>
    </row>
    <row r="602" spans="1:8" x14ac:dyDescent="0.3">
      <c r="A602" s="5">
        <v>600</v>
      </c>
      <c r="B602" s="5">
        <v>601</v>
      </c>
      <c r="C602" s="5">
        <v>0.19700000000000001</v>
      </c>
      <c r="D602" s="5">
        <v>0.8</v>
      </c>
      <c r="E602" s="5">
        <v>0.1343</v>
      </c>
      <c r="F602" s="5">
        <v>0</v>
      </c>
      <c r="G602" s="5">
        <v>16</v>
      </c>
      <c r="H602" s="5">
        <v>16</v>
      </c>
    </row>
    <row r="603" spans="1:8" x14ac:dyDescent="0.3">
      <c r="A603" s="5">
        <v>601</v>
      </c>
      <c r="B603" s="5">
        <v>602</v>
      </c>
      <c r="C603" s="5">
        <v>0.19700000000000001</v>
      </c>
      <c r="D603" s="5">
        <v>0.86</v>
      </c>
      <c r="E603" s="5">
        <v>8.9599999999999999E-2</v>
      </c>
      <c r="F603" s="5">
        <v>2</v>
      </c>
      <c r="G603" s="5">
        <v>58</v>
      </c>
      <c r="H603" s="5">
        <v>60</v>
      </c>
    </row>
    <row r="604" spans="1:8" x14ac:dyDescent="0.3">
      <c r="A604" s="5">
        <v>602</v>
      </c>
      <c r="B604" s="5">
        <v>603</v>
      </c>
      <c r="C604" s="5">
        <v>0.19700000000000001</v>
      </c>
      <c r="D604" s="5">
        <v>0.86</v>
      </c>
      <c r="E604" s="5">
        <v>8.9599999999999999E-2</v>
      </c>
      <c r="F604" s="5">
        <v>2</v>
      </c>
      <c r="G604" s="5">
        <v>155</v>
      </c>
      <c r="H604" s="5">
        <v>157</v>
      </c>
    </row>
    <row r="605" spans="1:8" x14ac:dyDescent="0.3">
      <c r="A605" s="5">
        <v>603</v>
      </c>
      <c r="B605" s="5">
        <v>604</v>
      </c>
      <c r="C605" s="5">
        <v>0.21210000000000001</v>
      </c>
      <c r="D605" s="5">
        <v>0.86</v>
      </c>
      <c r="E605" s="5">
        <v>8.9599999999999999E-2</v>
      </c>
      <c r="F605" s="5">
        <v>6</v>
      </c>
      <c r="G605" s="5">
        <v>95</v>
      </c>
      <c r="H605" s="5">
        <v>101</v>
      </c>
    </row>
    <row r="606" spans="1:8" x14ac:dyDescent="0.3">
      <c r="A606" s="5">
        <v>604</v>
      </c>
      <c r="B606" s="5">
        <v>605</v>
      </c>
      <c r="C606" s="5">
        <v>0.21210000000000001</v>
      </c>
      <c r="D606" s="5">
        <v>0.86</v>
      </c>
      <c r="E606" s="5">
        <v>0.1045</v>
      </c>
      <c r="F606" s="5">
        <v>0</v>
      </c>
      <c r="G606" s="5">
        <v>49</v>
      </c>
      <c r="H606" s="5">
        <v>49</v>
      </c>
    </row>
    <row r="607" spans="1:8" x14ac:dyDescent="0.3">
      <c r="A607" s="5">
        <v>605</v>
      </c>
      <c r="B607" s="5">
        <v>606</v>
      </c>
      <c r="C607" s="5">
        <v>0.21210000000000001</v>
      </c>
      <c r="D607" s="5">
        <v>0.93</v>
      </c>
      <c r="E607" s="5">
        <v>0.1045</v>
      </c>
      <c r="F607" s="5">
        <v>0</v>
      </c>
      <c r="G607" s="5">
        <v>30</v>
      </c>
      <c r="H607" s="5">
        <v>30</v>
      </c>
    </row>
    <row r="608" spans="1:8" x14ac:dyDescent="0.3">
      <c r="A608" s="5">
        <v>606</v>
      </c>
      <c r="B608" s="5">
        <v>607</v>
      </c>
      <c r="C608" s="5">
        <v>0.21210000000000001</v>
      </c>
      <c r="D608" s="5">
        <v>0.93</v>
      </c>
      <c r="E608" s="5">
        <v>0.1045</v>
      </c>
      <c r="F608" s="5">
        <v>1</v>
      </c>
      <c r="G608" s="5">
        <v>28</v>
      </c>
      <c r="H608" s="5">
        <v>29</v>
      </c>
    </row>
    <row r="609" spans="1:8" x14ac:dyDescent="0.3">
      <c r="A609" s="5">
        <v>607</v>
      </c>
      <c r="B609" s="5">
        <v>608</v>
      </c>
      <c r="C609" s="5">
        <v>0.21210000000000001</v>
      </c>
      <c r="D609" s="5">
        <v>0.93</v>
      </c>
      <c r="E609" s="5">
        <v>0.1045</v>
      </c>
      <c r="F609" s="5">
        <v>0</v>
      </c>
      <c r="G609" s="5">
        <v>31</v>
      </c>
      <c r="H609" s="5">
        <v>31</v>
      </c>
    </row>
    <row r="610" spans="1:8" x14ac:dyDescent="0.3">
      <c r="A610" s="5">
        <v>608</v>
      </c>
      <c r="B610" s="5">
        <v>609</v>
      </c>
      <c r="C610" s="5">
        <v>0.2727</v>
      </c>
      <c r="D610" s="5">
        <v>0.8</v>
      </c>
      <c r="E610" s="5">
        <v>0</v>
      </c>
      <c r="F610" s="5">
        <v>2</v>
      </c>
      <c r="G610" s="5">
        <v>36</v>
      </c>
      <c r="H610" s="5">
        <v>38</v>
      </c>
    </row>
    <row r="611" spans="1:8" x14ac:dyDescent="0.3">
      <c r="A611" s="5">
        <v>609</v>
      </c>
      <c r="B611" s="5">
        <v>610</v>
      </c>
      <c r="C611" s="5">
        <v>0.2576</v>
      </c>
      <c r="D611" s="5">
        <v>0.86</v>
      </c>
      <c r="E611" s="5">
        <v>0</v>
      </c>
      <c r="F611" s="5">
        <v>1</v>
      </c>
      <c r="G611" s="5">
        <v>40</v>
      </c>
      <c r="H611" s="5">
        <v>41</v>
      </c>
    </row>
    <row r="612" spans="1:8" x14ac:dyDescent="0.3">
      <c r="A612" s="5"/>
      <c r="B612" s="5"/>
      <c r="C612" s="5">
        <f ca="1">SUBTOTAL(101,Table2[atemp])</f>
        <v>0.19993489148580987</v>
      </c>
      <c r="D612" s="5"/>
      <c r="E612" s="5"/>
      <c r="F612" s="5"/>
      <c r="G612" s="5"/>
      <c r="H612" s="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4CAB-D41B-41A3-B4A5-2B753FC3D782}">
  <dimension ref="A1:P391"/>
  <sheetViews>
    <sheetView workbookViewId="0">
      <selection activeCell="S20" sqref="S20"/>
    </sheetView>
  </sheetViews>
  <sheetFormatPr defaultRowHeight="14.4" x14ac:dyDescent="0.3"/>
  <cols>
    <col min="2" max="2" width="12.109375" customWidth="1"/>
  </cols>
  <sheetData>
    <row r="1" spans="1:1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
      <c r="A2" s="3">
        <v>620</v>
      </c>
      <c r="B2" s="4">
        <v>40572</v>
      </c>
      <c r="C2" s="3">
        <v>1</v>
      </c>
      <c r="D2" s="3">
        <v>0</v>
      </c>
      <c r="E2" s="3">
        <v>1</v>
      </c>
      <c r="F2" s="3">
        <v>1</v>
      </c>
      <c r="G2" s="3" t="b">
        <v>0</v>
      </c>
      <c r="H2" s="3">
        <v>6</v>
      </c>
      <c r="I2" s="3">
        <v>1</v>
      </c>
      <c r="J2" s="3">
        <v>0.22</v>
      </c>
      <c r="K2" s="3">
        <v>0.2273</v>
      </c>
      <c r="L2" s="3">
        <v>0.64</v>
      </c>
      <c r="M2" s="3">
        <v>0.19400000000000001</v>
      </c>
      <c r="N2" s="3">
        <v>0</v>
      </c>
      <c r="O2" s="3">
        <v>20</v>
      </c>
      <c r="P2" s="3">
        <v>20</v>
      </c>
    </row>
    <row r="3" spans="1:16" x14ac:dyDescent="0.3">
      <c r="A3" s="3">
        <v>621</v>
      </c>
      <c r="B3" s="4">
        <v>40572</v>
      </c>
      <c r="C3" s="3">
        <v>1</v>
      </c>
      <c r="D3" s="3">
        <v>0</v>
      </c>
      <c r="E3" s="3">
        <v>1</v>
      </c>
      <c r="F3" s="3">
        <v>2</v>
      </c>
      <c r="G3" s="3" t="b">
        <v>0</v>
      </c>
      <c r="H3" s="3">
        <v>6</v>
      </c>
      <c r="I3" s="3">
        <v>1</v>
      </c>
      <c r="J3" s="3">
        <v>0.22</v>
      </c>
      <c r="K3" s="3">
        <v>0.2273</v>
      </c>
      <c r="L3" s="3">
        <v>0.64</v>
      </c>
      <c r="M3" s="3">
        <v>0.16420000000000001</v>
      </c>
      <c r="N3" s="3">
        <v>0</v>
      </c>
      <c r="O3" s="3">
        <v>15</v>
      </c>
      <c r="P3" s="3">
        <v>15</v>
      </c>
    </row>
    <row r="4" spans="1:16" x14ac:dyDescent="0.3">
      <c r="A4" s="3">
        <v>622</v>
      </c>
      <c r="B4" s="4">
        <v>40572</v>
      </c>
      <c r="C4" s="3">
        <v>1</v>
      </c>
      <c r="D4" s="3">
        <v>0</v>
      </c>
      <c r="E4" s="3">
        <v>1</v>
      </c>
      <c r="F4" s="3">
        <v>3</v>
      </c>
      <c r="G4" s="3" t="b">
        <v>0</v>
      </c>
      <c r="H4" s="3">
        <v>6</v>
      </c>
      <c r="I4" s="3">
        <v>1</v>
      </c>
      <c r="J4" s="3">
        <v>0.2</v>
      </c>
      <c r="K4" s="3">
        <v>0.21210000000000001</v>
      </c>
      <c r="L4" s="3">
        <v>0.64</v>
      </c>
      <c r="M4" s="3">
        <v>0.1343</v>
      </c>
      <c r="N4" s="3">
        <v>3</v>
      </c>
      <c r="O4" s="3">
        <v>5</v>
      </c>
      <c r="P4" s="3">
        <v>8</v>
      </c>
    </row>
    <row r="5" spans="1:16" x14ac:dyDescent="0.3">
      <c r="A5" s="3">
        <v>623</v>
      </c>
      <c r="B5" s="4">
        <v>40572</v>
      </c>
      <c r="C5" s="3">
        <v>1</v>
      </c>
      <c r="D5" s="3">
        <v>0</v>
      </c>
      <c r="E5" s="3">
        <v>1</v>
      </c>
      <c r="F5" s="3">
        <v>4</v>
      </c>
      <c r="G5" s="3" t="b">
        <v>0</v>
      </c>
      <c r="H5" s="3">
        <v>6</v>
      </c>
      <c r="I5" s="3">
        <v>1</v>
      </c>
      <c r="J5" s="3">
        <v>0.16</v>
      </c>
      <c r="K5" s="3">
        <v>0.18179999999999999</v>
      </c>
      <c r="L5" s="3">
        <v>0.69</v>
      </c>
      <c r="M5" s="3">
        <v>0.1045</v>
      </c>
      <c r="N5" s="3">
        <v>1</v>
      </c>
      <c r="O5" s="3">
        <v>2</v>
      </c>
      <c r="P5" s="3">
        <v>3</v>
      </c>
    </row>
    <row r="6" spans="1:16" x14ac:dyDescent="0.3">
      <c r="A6" s="3">
        <v>624</v>
      </c>
      <c r="B6" s="4">
        <v>40572</v>
      </c>
      <c r="C6" s="3">
        <v>1</v>
      </c>
      <c r="D6" s="3">
        <v>0</v>
      </c>
      <c r="E6" s="3">
        <v>1</v>
      </c>
      <c r="F6" s="3">
        <v>6</v>
      </c>
      <c r="G6" s="3" t="b">
        <v>0</v>
      </c>
      <c r="H6" s="3">
        <v>6</v>
      </c>
      <c r="I6" s="3">
        <v>1</v>
      </c>
      <c r="J6" s="3">
        <v>0.16</v>
      </c>
      <c r="K6" s="3">
        <v>0.18179999999999999</v>
      </c>
      <c r="L6" s="3">
        <v>0.64</v>
      </c>
      <c r="M6" s="3">
        <v>0.1343</v>
      </c>
      <c r="N6" s="3">
        <v>0</v>
      </c>
      <c r="O6" s="3">
        <v>2</v>
      </c>
      <c r="P6" s="3">
        <v>2</v>
      </c>
    </row>
    <row r="7" spans="1:16" x14ac:dyDescent="0.3">
      <c r="A7" s="3">
        <v>625</v>
      </c>
      <c r="B7" s="4">
        <v>40572</v>
      </c>
      <c r="C7" s="3">
        <v>1</v>
      </c>
      <c r="D7" s="3">
        <v>0</v>
      </c>
      <c r="E7" s="3">
        <v>1</v>
      </c>
      <c r="F7" s="3">
        <v>7</v>
      </c>
      <c r="G7" s="3" t="b">
        <v>0</v>
      </c>
      <c r="H7" s="3">
        <v>6</v>
      </c>
      <c r="I7" s="3">
        <v>1</v>
      </c>
      <c r="J7" s="3">
        <v>0.16</v>
      </c>
      <c r="K7" s="3">
        <v>0.18179999999999999</v>
      </c>
      <c r="L7" s="3">
        <v>0.59</v>
      </c>
      <c r="M7" s="3">
        <v>0.1045</v>
      </c>
      <c r="N7" s="3">
        <v>1</v>
      </c>
      <c r="O7" s="3">
        <v>4</v>
      </c>
      <c r="P7" s="3">
        <v>5</v>
      </c>
    </row>
    <row r="8" spans="1:16" x14ac:dyDescent="0.3">
      <c r="A8" s="3">
        <v>626</v>
      </c>
      <c r="B8" s="4">
        <v>40572</v>
      </c>
      <c r="C8" s="3">
        <v>1</v>
      </c>
      <c r="D8" s="3">
        <v>0</v>
      </c>
      <c r="E8" s="3">
        <v>1</v>
      </c>
      <c r="F8" s="3">
        <v>8</v>
      </c>
      <c r="G8" s="3" t="b">
        <v>0</v>
      </c>
      <c r="H8" s="3">
        <v>6</v>
      </c>
      <c r="I8" s="3">
        <v>1</v>
      </c>
      <c r="J8" s="3">
        <v>0.18</v>
      </c>
      <c r="K8" s="3">
        <v>0.19700000000000001</v>
      </c>
      <c r="L8" s="3">
        <v>0.55000000000000004</v>
      </c>
      <c r="M8" s="3">
        <v>0.16420000000000001</v>
      </c>
      <c r="N8" s="3">
        <v>3</v>
      </c>
      <c r="O8" s="3">
        <v>31</v>
      </c>
      <c r="P8" s="3">
        <v>34</v>
      </c>
    </row>
    <row r="9" spans="1:16" x14ac:dyDescent="0.3">
      <c r="A9" s="3">
        <v>627</v>
      </c>
      <c r="B9" s="4">
        <v>40572</v>
      </c>
      <c r="C9" s="3">
        <v>1</v>
      </c>
      <c r="D9" s="3">
        <v>0</v>
      </c>
      <c r="E9" s="3">
        <v>1</v>
      </c>
      <c r="F9" s="3">
        <v>9</v>
      </c>
      <c r="G9" s="3" t="b">
        <v>0</v>
      </c>
      <c r="H9" s="3">
        <v>6</v>
      </c>
      <c r="I9" s="3">
        <v>1</v>
      </c>
      <c r="J9" s="3">
        <v>0.18</v>
      </c>
      <c r="K9" s="3">
        <v>0.21210000000000001</v>
      </c>
      <c r="L9" s="3">
        <v>0.59</v>
      </c>
      <c r="M9" s="3">
        <v>8.9599999999999999E-2</v>
      </c>
      <c r="N9" s="3">
        <v>0</v>
      </c>
      <c r="O9" s="3">
        <v>34</v>
      </c>
      <c r="P9" s="3">
        <v>34</v>
      </c>
    </row>
    <row r="10" spans="1:16" x14ac:dyDescent="0.3">
      <c r="A10" s="3">
        <v>628</v>
      </c>
      <c r="B10" s="4">
        <v>40572</v>
      </c>
      <c r="C10" s="3">
        <v>1</v>
      </c>
      <c r="D10" s="3">
        <v>0</v>
      </c>
      <c r="E10" s="3">
        <v>1</v>
      </c>
      <c r="F10" s="3">
        <v>10</v>
      </c>
      <c r="G10" s="3" t="b">
        <v>0</v>
      </c>
      <c r="H10" s="3">
        <v>6</v>
      </c>
      <c r="I10" s="3">
        <v>2</v>
      </c>
      <c r="J10" s="3">
        <v>0.18</v>
      </c>
      <c r="K10" s="3">
        <v>0.21210000000000001</v>
      </c>
      <c r="L10" s="3">
        <v>0.64</v>
      </c>
      <c r="M10" s="3">
        <v>0.1045</v>
      </c>
      <c r="N10" s="3">
        <v>4</v>
      </c>
      <c r="O10" s="3">
        <v>51</v>
      </c>
      <c r="P10" s="3">
        <v>55</v>
      </c>
    </row>
    <row r="11" spans="1:16" x14ac:dyDescent="0.3">
      <c r="A11" s="3">
        <v>629</v>
      </c>
      <c r="B11" s="4">
        <v>40572</v>
      </c>
      <c r="C11" s="3">
        <v>1</v>
      </c>
      <c r="D11" s="3">
        <v>0</v>
      </c>
      <c r="E11" s="3">
        <v>1</v>
      </c>
      <c r="F11" s="3">
        <v>11</v>
      </c>
      <c r="G11" s="3" t="b">
        <v>0</v>
      </c>
      <c r="H11" s="3">
        <v>6</v>
      </c>
      <c r="I11" s="3">
        <v>2</v>
      </c>
      <c r="J11" s="3">
        <v>0.18</v>
      </c>
      <c r="K11" s="3">
        <v>0.19700000000000001</v>
      </c>
      <c r="L11" s="3">
        <v>0.64</v>
      </c>
      <c r="M11" s="3">
        <v>0.1343</v>
      </c>
      <c r="N11" s="3">
        <v>4</v>
      </c>
      <c r="O11" s="3">
        <v>60</v>
      </c>
      <c r="P11" s="3">
        <v>64</v>
      </c>
    </row>
    <row r="12" spans="1:16" x14ac:dyDescent="0.3">
      <c r="A12" s="3">
        <v>630</v>
      </c>
      <c r="B12" s="4">
        <v>40572</v>
      </c>
      <c r="C12" s="3">
        <v>1</v>
      </c>
      <c r="D12" s="3">
        <v>0</v>
      </c>
      <c r="E12" s="3">
        <v>1</v>
      </c>
      <c r="F12" s="3">
        <v>12</v>
      </c>
      <c r="G12" s="3" t="b">
        <v>0</v>
      </c>
      <c r="H12" s="3">
        <v>6</v>
      </c>
      <c r="I12" s="3">
        <v>2</v>
      </c>
      <c r="J12" s="3">
        <v>0.2</v>
      </c>
      <c r="K12" s="3">
        <v>0.19700000000000001</v>
      </c>
      <c r="L12" s="3">
        <v>0.59</v>
      </c>
      <c r="M12" s="3">
        <v>0.19400000000000001</v>
      </c>
      <c r="N12" s="3">
        <v>12</v>
      </c>
      <c r="O12" s="3">
        <v>66</v>
      </c>
      <c r="P12" s="3">
        <v>78</v>
      </c>
    </row>
    <row r="13" spans="1:16" x14ac:dyDescent="0.3">
      <c r="A13" s="3">
        <v>631</v>
      </c>
      <c r="B13" s="4">
        <v>40572</v>
      </c>
      <c r="C13" s="3">
        <v>1</v>
      </c>
      <c r="D13" s="3">
        <v>0</v>
      </c>
      <c r="E13" s="3">
        <v>1</v>
      </c>
      <c r="F13" s="3">
        <v>13</v>
      </c>
      <c r="G13" s="3" t="b">
        <v>0</v>
      </c>
      <c r="H13" s="3">
        <v>6</v>
      </c>
      <c r="I13" s="3">
        <v>2</v>
      </c>
      <c r="J13" s="3">
        <v>0.22</v>
      </c>
      <c r="K13" s="3">
        <v>0.2273</v>
      </c>
      <c r="L13" s="3">
        <v>0.55000000000000004</v>
      </c>
      <c r="M13" s="3">
        <v>0.16420000000000001</v>
      </c>
      <c r="N13" s="3">
        <v>9</v>
      </c>
      <c r="O13" s="3">
        <v>56</v>
      </c>
      <c r="P13" s="3">
        <v>65</v>
      </c>
    </row>
    <row r="14" spans="1:16" x14ac:dyDescent="0.3">
      <c r="A14" s="3">
        <v>632</v>
      </c>
      <c r="B14" s="4">
        <v>40572</v>
      </c>
      <c r="C14" s="3">
        <v>1</v>
      </c>
      <c r="D14" s="3">
        <v>0</v>
      </c>
      <c r="E14" s="3">
        <v>1</v>
      </c>
      <c r="F14" s="3">
        <v>14</v>
      </c>
      <c r="G14" s="3" t="b">
        <v>0</v>
      </c>
      <c r="H14" s="3">
        <v>6</v>
      </c>
      <c r="I14" s="3">
        <v>2</v>
      </c>
      <c r="J14" s="3">
        <v>0.22</v>
      </c>
      <c r="K14" s="3">
        <v>0.2273</v>
      </c>
      <c r="L14" s="3">
        <v>0.6</v>
      </c>
      <c r="M14" s="3">
        <v>0.1343</v>
      </c>
      <c r="N14" s="3">
        <v>10</v>
      </c>
      <c r="O14" s="3">
        <v>89</v>
      </c>
      <c r="P14" s="3">
        <v>99</v>
      </c>
    </row>
    <row r="15" spans="1:16" x14ac:dyDescent="0.3">
      <c r="A15" s="3">
        <v>633</v>
      </c>
      <c r="B15" s="4">
        <v>40572</v>
      </c>
      <c r="C15" s="3">
        <v>1</v>
      </c>
      <c r="D15" s="3">
        <v>0</v>
      </c>
      <c r="E15" s="3">
        <v>1</v>
      </c>
      <c r="F15" s="3">
        <v>15</v>
      </c>
      <c r="G15" s="3" t="b">
        <v>0</v>
      </c>
      <c r="H15" s="3">
        <v>6</v>
      </c>
      <c r="I15" s="3">
        <v>1</v>
      </c>
      <c r="J15" s="3">
        <v>0.22</v>
      </c>
      <c r="K15" s="3">
        <v>0.21210000000000001</v>
      </c>
      <c r="L15" s="3">
        <v>0.69</v>
      </c>
      <c r="M15" s="3">
        <v>0.25369999999999998</v>
      </c>
      <c r="N15" s="3">
        <v>22</v>
      </c>
      <c r="O15" s="3">
        <v>98</v>
      </c>
      <c r="P15" s="3">
        <v>120</v>
      </c>
    </row>
    <row r="16" spans="1:16" x14ac:dyDescent="0.3">
      <c r="A16" s="3">
        <v>634</v>
      </c>
      <c r="B16" s="4">
        <v>40572</v>
      </c>
      <c r="C16" s="3">
        <v>1</v>
      </c>
      <c r="D16" s="3">
        <v>0</v>
      </c>
      <c r="E16" s="3">
        <v>1</v>
      </c>
      <c r="F16" s="3">
        <v>16</v>
      </c>
      <c r="G16" s="3" t="b">
        <v>0</v>
      </c>
      <c r="H16" s="3">
        <v>6</v>
      </c>
      <c r="I16" s="3">
        <v>1</v>
      </c>
      <c r="J16" s="3">
        <v>0.24</v>
      </c>
      <c r="K16" s="3">
        <v>0.2424</v>
      </c>
      <c r="L16" s="3">
        <v>0.6</v>
      </c>
      <c r="M16" s="3">
        <v>0.16420000000000001</v>
      </c>
      <c r="N16" s="3">
        <v>19</v>
      </c>
      <c r="O16" s="3">
        <v>88</v>
      </c>
      <c r="P16" s="3">
        <v>107</v>
      </c>
    </row>
    <row r="17" spans="1:16" x14ac:dyDescent="0.3">
      <c r="A17" s="3">
        <v>635</v>
      </c>
      <c r="B17" s="4">
        <v>40572</v>
      </c>
      <c r="C17" s="3">
        <v>1</v>
      </c>
      <c r="D17" s="3">
        <v>0</v>
      </c>
      <c r="E17" s="3">
        <v>1</v>
      </c>
      <c r="F17" s="3">
        <v>17</v>
      </c>
      <c r="G17" s="3" t="b">
        <v>0</v>
      </c>
      <c r="H17" s="3">
        <v>6</v>
      </c>
      <c r="I17" s="3">
        <v>1</v>
      </c>
      <c r="J17" s="3">
        <v>0.24</v>
      </c>
      <c r="K17" s="3">
        <v>0.28789999999999999</v>
      </c>
      <c r="L17" s="3">
        <v>0.6</v>
      </c>
      <c r="M17" s="3">
        <v>0</v>
      </c>
      <c r="N17" s="3">
        <v>9</v>
      </c>
      <c r="O17" s="3">
        <v>82</v>
      </c>
      <c r="P17" s="3">
        <v>91</v>
      </c>
    </row>
    <row r="18" spans="1:16" x14ac:dyDescent="0.3">
      <c r="A18" s="3">
        <v>636</v>
      </c>
      <c r="B18" s="4">
        <v>40572</v>
      </c>
      <c r="C18" s="3">
        <v>1</v>
      </c>
      <c r="D18" s="3">
        <v>0</v>
      </c>
      <c r="E18" s="3">
        <v>1</v>
      </c>
      <c r="F18" s="3">
        <v>18</v>
      </c>
      <c r="G18" s="3" t="b">
        <v>0</v>
      </c>
      <c r="H18" s="3">
        <v>6</v>
      </c>
      <c r="I18" s="3">
        <v>1</v>
      </c>
      <c r="J18" s="3">
        <v>0.22</v>
      </c>
      <c r="K18" s="3">
        <v>0.2273</v>
      </c>
      <c r="L18" s="3">
        <v>0.69</v>
      </c>
      <c r="M18" s="3">
        <v>0.1343</v>
      </c>
      <c r="N18" s="3">
        <v>9</v>
      </c>
      <c r="O18" s="3">
        <v>59</v>
      </c>
      <c r="P18" s="3">
        <v>68</v>
      </c>
    </row>
    <row r="19" spans="1:16" x14ac:dyDescent="0.3">
      <c r="A19" s="3">
        <v>637</v>
      </c>
      <c r="B19" s="4">
        <v>40572</v>
      </c>
      <c r="C19" s="3">
        <v>1</v>
      </c>
      <c r="D19" s="3">
        <v>0</v>
      </c>
      <c r="E19" s="3">
        <v>1</v>
      </c>
      <c r="F19" s="3">
        <v>19</v>
      </c>
      <c r="G19" s="3" t="b">
        <v>0</v>
      </c>
      <c r="H19" s="3">
        <v>6</v>
      </c>
      <c r="I19" s="3">
        <v>2</v>
      </c>
      <c r="J19" s="3">
        <v>0.22</v>
      </c>
      <c r="K19" s="3">
        <v>0.21210000000000001</v>
      </c>
      <c r="L19" s="3">
        <v>0.69</v>
      </c>
      <c r="M19" s="3">
        <v>0.25369999999999998</v>
      </c>
      <c r="N19" s="3">
        <v>6</v>
      </c>
      <c r="O19" s="3">
        <v>52</v>
      </c>
      <c r="P19" s="3">
        <v>58</v>
      </c>
    </row>
    <row r="20" spans="1:16" x14ac:dyDescent="0.3">
      <c r="A20" s="3">
        <v>638</v>
      </c>
      <c r="B20" s="4">
        <v>40572</v>
      </c>
      <c r="C20" s="3">
        <v>1</v>
      </c>
      <c r="D20" s="3">
        <v>0</v>
      </c>
      <c r="E20" s="3">
        <v>1</v>
      </c>
      <c r="F20" s="3">
        <v>20</v>
      </c>
      <c r="G20" s="3" t="b">
        <v>0</v>
      </c>
      <c r="H20" s="3">
        <v>6</v>
      </c>
      <c r="I20" s="3">
        <v>1</v>
      </c>
      <c r="J20" s="3">
        <v>0.18</v>
      </c>
      <c r="K20" s="3">
        <v>0.21210000000000001</v>
      </c>
      <c r="L20" s="3">
        <v>0.74</v>
      </c>
      <c r="M20" s="3">
        <v>8.9599999999999999E-2</v>
      </c>
      <c r="N20" s="3">
        <v>1</v>
      </c>
      <c r="O20" s="3">
        <v>42</v>
      </c>
      <c r="P20" s="3">
        <v>43</v>
      </c>
    </row>
    <row r="21" spans="1:16" x14ac:dyDescent="0.3">
      <c r="A21" s="3">
        <v>639</v>
      </c>
      <c r="B21" s="4">
        <v>40572</v>
      </c>
      <c r="C21" s="3">
        <v>1</v>
      </c>
      <c r="D21" s="3">
        <v>0</v>
      </c>
      <c r="E21" s="3">
        <v>1</v>
      </c>
      <c r="F21" s="3">
        <v>21</v>
      </c>
      <c r="G21" s="3" t="b">
        <v>0</v>
      </c>
      <c r="H21" s="3">
        <v>6</v>
      </c>
      <c r="I21" s="3">
        <v>1</v>
      </c>
      <c r="J21" s="3">
        <v>0.18</v>
      </c>
      <c r="K21" s="3">
        <v>0.21210000000000001</v>
      </c>
      <c r="L21" s="3">
        <v>0.74</v>
      </c>
      <c r="M21" s="3">
        <v>8.9599999999999999E-2</v>
      </c>
      <c r="N21" s="3">
        <v>1</v>
      </c>
      <c r="O21" s="3">
        <v>35</v>
      </c>
      <c r="P21" s="3">
        <v>36</v>
      </c>
    </row>
    <row r="22" spans="1:16" x14ac:dyDescent="0.3">
      <c r="A22" s="3">
        <v>640</v>
      </c>
      <c r="B22" s="4">
        <v>40572</v>
      </c>
      <c r="C22" s="3">
        <v>1</v>
      </c>
      <c r="D22" s="3">
        <v>0</v>
      </c>
      <c r="E22" s="3">
        <v>1</v>
      </c>
      <c r="F22" s="3">
        <v>22</v>
      </c>
      <c r="G22" s="3" t="b">
        <v>0</v>
      </c>
      <c r="H22" s="3">
        <v>6</v>
      </c>
      <c r="I22" s="3">
        <v>1</v>
      </c>
      <c r="J22" s="3">
        <v>0.16</v>
      </c>
      <c r="K22" s="3">
        <v>0.19700000000000001</v>
      </c>
      <c r="L22" s="3">
        <v>0.8</v>
      </c>
      <c r="M22" s="3">
        <v>8.9599999999999999E-2</v>
      </c>
      <c r="N22" s="3">
        <v>4</v>
      </c>
      <c r="O22" s="3">
        <v>28</v>
      </c>
      <c r="P22" s="3">
        <v>32</v>
      </c>
    </row>
    <row r="23" spans="1:16" x14ac:dyDescent="0.3">
      <c r="A23" s="3">
        <v>641</v>
      </c>
      <c r="B23" s="4">
        <v>40572</v>
      </c>
      <c r="C23" s="3">
        <v>1</v>
      </c>
      <c r="D23" s="3">
        <v>0</v>
      </c>
      <c r="E23" s="3">
        <v>1</v>
      </c>
      <c r="F23" s="3">
        <v>23</v>
      </c>
      <c r="G23" s="3" t="b">
        <v>0</v>
      </c>
      <c r="H23" s="3">
        <v>6</v>
      </c>
      <c r="I23" s="3">
        <v>1</v>
      </c>
      <c r="J23" s="3">
        <v>0.16</v>
      </c>
      <c r="K23" s="3">
        <v>0.19700000000000001</v>
      </c>
      <c r="L23" s="3">
        <v>0.8</v>
      </c>
      <c r="M23" s="3">
        <v>8.9599999999999999E-2</v>
      </c>
      <c r="N23" s="3">
        <v>3</v>
      </c>
      <c r="O23" s="3">
        <v>30</v>
      </c>
      <c r="P23" s="3">
        <v>33</v>
      </c>
    </row>
    <row r="24" spans="1:16" x14ac:dyDescent="0.3">
      <c r="A24" s="3">
        <v>642</v>
      </c>
      <c r="B24" s="4">
        <v>40573</v>
      </c>
      <c r="C24" s="3">
        <v>1</v>
      </c>
      <c r="D24" s="3">
        <v>0</v>
      </c>
      <c r="E24" s="3">
        <v>1</v>
      </c>
      <c r="F24" s="3">
        <v>0</v>
      </c>
      <c r="G24" s="3" t="b">
        <v>0</v>
      </c>
      <c r="H24" s="3">
        <v>0</v>
      </c>
      <c r="I24" s="3">
        <v>1</v>
      </c>
      <c r="J24" s="3">
        <v>0.16</v>
      </c>
      <c r="K24" s="3">
        <v>0.18179999999999999</v>
      </c>
      <c r="L24" s="3">
        <v>0.8</v>
      </c>
      <c r="M24" s="3">
        <v>0.1045</v>
      </c>
      <c r="N24" s="3">
        <v>0</v>
      </c>
      <c r="O24" s="3">
        <v>33</v>
      </c>
      <c r="P24" s="3">
        <v>33</v>
      </c>
    </row>
    <row r="25" spans="1:16" x14ac:dyDescent="0.3">
      <c r="A25" s="3">
        <v>643</v>
      </c>
      <c r="B25" s="4">
        <v>40573</v>
      </c>
      <c r="C25" s="3">
        <v>1</v>
      </c>
      <c r="D25" s="3">
        <v>0</v>
      </c>
      <c r="E25" s="3">
        <v>1</v>
      </c>
      <c r="F25" s="3">
        <v>1</v>
      </c>
      <c r="G25" s="3" t="b">
        <v>0</v>
      </c>
      <c r="H25" s="3">
        <v>0</v>
      </c>
      <c r="I25" s="3">
        <v>1</v>
      </c>
      <c r="J25" s="3">
        <v>0.14000000000000001</v>
      </c>
      <c r="K25" s="3">
        <v>0.21210000000000001</v>
      </c>
      <c r="L25" s="3">
        <v>0.8</v>
      </c>
      <c r="M25" s="3">
        <v>0</v>
      </c>
      <c r="N25" s="3">
        <v>7</v>
      </c>
      <c r="O25" s="3">
        <v>22</v>
      </c>
      <c r="P25" s="3">
        <v>29</v>
      </c>
    </row>
    <row r="26" spans="1:16" x14ac:dyDescent="0.3">
      <c r="A26" s="3">
        <v>644</v>
      </c>
      <c r="B26" s="4">
        <v>40573</v>
      </c>
      <c r="C26" s="3">
        <v>1</v>
      </c>
      <c r="D26" s="3">
        <v>0</v>
      </c>
      <c r="E26" s="3">
        <v>1</v>
      </c>
      <c r="F26" s="3">
        <v>2</v>
      </c>
      <c r="G26" s="3" t="b">
        <v>0</v>
      </c>
      <c r="H26" s="3">
        <v>0</v>
      </c>
      <c r="I26" s="3">
        <v>1</v>
      </c>
      <c r="J26" s="3">
        <v>0.16</v>
      </c>
      <c r="K26" s="3">
        <v>0.2273</v>
      </c>
      <c r="L26" s="3">
        <v>0.8</v>
      </c>
      <c r="M26" s="3">
        <v>0</v>
      </c>
      <c r="N26" s="3">
        <v>1</v>
      </c>
      <c r="O26" s="3">
        <v>10</v>
      </c>
      <c r="P26" s="3">
        <v>11</v>
      </c>
    </row>
    <row r="27" spans="1:16" x14ac:dyDescent="0.3">
      <c r="A27" s="3">
        <v>645</v>
      </c>
      <c r="B27" s="4">
        <v>40573</v>
      </c>
      <c r="C27" s="3">
        <v>1</v>
      </c>
      <c r="D27" s="3">
        <v>0</v>
      </c>
      <c r="E27" s="3">
        <v>1</v>
      </c>
      <c r="F27" s="3">
        <v>3</v>
      </c>
      <c r="G27" s="3" t="b">
        <v>0</v>
      </c>
      <c r="H27" s="3">
        <v>0</v>
      </c>
      <c r="I27" s="3">
        <v>1</v>
      </c>
      <c r="J27" s="3">
        <v>0.14000000000000001</v>
      </c>
      <c r="K27" s="3">
        <v>0.21210000000000001</v>
      </c>
      <c r="L27" s="3">
        <v>0.93</v>
      </c>
      <c r="M27" s="3">
        <v>0</v>
      </c>
      <c r="N27" s="3">
        <v>1</v>
      </c>
      <c r="O27" s="3">
        <v>7</v>
      </c>
      <c r="P27" s="3">
        <v>8</v>
      </c>
    </row>
    <row r="28" spans="1:16" x14ac:dyDescent="0.3">
      <c r="A28" s="3">
        <v>646</v>
      </c>
      <c r="B28" s="4">
        <v>40573</v>
      </c>
      <c r="C28" s="3">
        <v>1</v>
      </c>
      <c r="D28" s="3">
        <v>0</v>
      </c>
      <c r="E28" s="3">
        <v>1</v>
      </c>
      <c r="F28" s="3">
        <v>4</v>
      </c>
      <c r="G28" s="3" t="b">
        <v>0</v>
      </c>
      <c r="H28" s="3">
        <v>0</v>
      </c>
      <c r="I28" s="3">
        <v>1</v>
      </c>
      <c r="J28" s="3">
        <v>0.14000000000000001</v>
      </c>
      <c r="K28" s="3">
        <v>0.21210000000000001</v>
      </c>
      <c r="L28" s="3">
        <v>0.93</v>
      </c>
      <c r="M28" s="3">
        <v>0</v>
      </c>
      <c r="N28" s="3">
        <v>0</v>
      </c>
      <c r="O28" s="3">
        <v>1</v>
      </c>
      <c r="P28" s="3">
        <v>1</v>
      </c>
    </row>
    <row r="29" spans="1:16" x14ac:dyDescent="0.3">
      <c r="A29" s="3">
        <v>647</v>
      </c>
      <c r="B29" s="4">
        <v>40573</v>
      </c>
      <c r="C29" s="3">
        <v>1</v>
      </c>
      <c r="D29" s="3">
        <v>0</v>
      </c>
      <c r="E29" s="3">
        <v>1</v>
      </c>
      <c r="F29" s="3">
        <v>5</v>
      </c>
      <c r="G29" s="3" t="b">
        <v>0</v>
      </c>
      <c r="H29" s="3">
        <v>0</v>
      </c>
      <c r="I29" s="3">
        <v>1</v>
      </c>
      <c r="J29" s="3">
        <v>0.14000000000000001</v>
      </c>
      <c r="K29" s="3">
        <v>0.21210000000000001</v>
      </c>
      <c r="L29" s="3">
        <v>0.86</v>
      </c>
      <c r="M29" s="3">
        <v>0</v>
      </c>
      <c r="N29" s="3">
        <v>0</v>
      </c>
      <c r="O29" s="3">
        <v>3</v>
      </c>
      <c r="P29" s="3">
        <v>3</v>
      </c>
    </row>
    <row r="30" spans="1:16" x14ac:dyDescent="0.3">
      <c r="A30" s="3">
        <v>648</v>
      </c>
      <c r="B30" s="4">
        <v>40573</v>
      </c>
      <c r="C30" s="3">
        <v>1</v>
      </c>
      <c r="D30" s="3">
        <v>0</v>
      </c>
      <c r="E30" s="3">
        <v>1</v>
      </c>
      <c r="F30" s="3">
        <v>7</v>
      </c>
      <c r="G30" s="3" t="b">
        <v>0</v>
      </c>
      <c r="H30" s="3">
        <v>0</v>
      </c>
      <c r="I30" s="3">
        <v>1</v>
      </c>
      <c r="J30" s="3">
        <v>0.14000000000000001</v>
      </c>
      <c r="K30" s="3">
        <v>0.21210000000000001</v>
      </c>
      <c r="L30" s="3">
        <v>0.86</v>
      </c>
      <c r="M30" s="3">
        <v>0</v>
      </c>
      <c r="N30" s="3">
        <v>0</v>
      </c>
      <c r="O30" s="3">
        <v>3</v>
      </c>
      <c r="P30" s="3">
        <v>3</v>
      </c>
    </row>
    <row r="31" spans="1:16" x14ac:dyDescent="0.3">
      <c r="A31" s="3">
        <v>649</v>
      </c>
      <c r="B31" s="4">
        <v>40573</v>
      </c>
      <c r="C31" s="3">
        <v>1</v>
      </c>
      <c r="D31" s="3">
        <v>0</v>
      </c>
      <c r="E31" s="3">
        <v>1</v>
      </c>
      <c r="F31" s="3">
        <v>8</v>
      </c>
      <c r="G31" s="3" t="b">
        <v>0</v>
      </c>
      <c r="H31" s="3">
        <v>0</v>
      </c>
      <c r="I31" s="3">
        <v>2</v>
      </c>
      <c r="J31" s="3">
        <v>0.14000000000000001</v>
      </c>
      <c r="K31" s="3">
        <v>0.21210000000000001</v>
      </c>
      <c r="L31" s="3">
        <v>0.86</v>
      </c>
      <c r="M31" s="3">
        <v>0</v>
      </c>
      <c r="N31" s="3">
        <v>1</v>
      </c>
      <c r="O31" s="3">
        <v>11</v>
      </c>
      <c r="P31" s="3">
        <v>12</v>
      </c>
    </row>
    <row r="32" spans="1:16" x14ac:dyDescent="0.3">
      <c r="A32" s="3">
        <v>650</v>
      </c>
      <c r="B32" s="4">
        <v>40573</v>
      </c>
      <c r="C32" s="3">
        <v>1</v>
      </c>
      <c r="D32" s="3">
        <v>0</v>
      </c>
      <c r="E32" s="3">
        <v>1</v>
      </c>
      <c r="F32" s="3">
        <v>9</v>
      </c>
      <c r="G32" s="3" t="b">
        <v>0</v>
      </c>
      <c r="H32" s="3">
        <v>0</v>
      </c>
      <c r="I32" s="3">
        <v>2</v>
      </c>
      <c r="J32" s="3">
        <v>0.16</v>
      </c>
      <c r="K32" s="3">
        <v>0.2273</v>
      </c>
      <c r="L32" s="3">
        <v>0.8</v>
      </c>
      <c r="M32" s="3">
        <v>0</v>
      </c>
      <c r="N32" s="3">
        <v>4</v>
      </c>
      <c r="O32" s="3">
        <v>34</v>
      </c>
      <c r="P32" s="3">
        <v>38</v>
      </c>
    </row>
    <row r="33" spans="1:16" x14ac:dyDescent="0.3">
      <c r="A33" s="3">
        <v>651</v>
      </c>
      <c r="B33" s="4">
        <v>40573</v>
      </c>
      <c r="C33" s="3">
        <v>1</v>
      </c>
      <c r="D33" s="3">
        <v>0</v>
      </c>
      <c r="E33" s="3">
        <v>1</v>
      </c>
      <c r="F33" s="3">
        <v>10</v>
      </c>
      <c r="G33" s="3" t="b">
        <v>0</v>
      </c>
      <c r="H33" s="3">
        <v>0</v>
      </c>
      <c r="I33" s="3">
        <v>2</v>
      </c>
      <c r="J33" s="3">
        <v>0.18</v>
      </c>
      <c r="K33" s="3">
        <v>0.2424</v>
      </c>
      <c r="L33" s="3">
        <v>0.8</v>
      </c>
      <c r="M33" s="3">
        <v>0</v>
      </c>
      <c r="N33" s="3">
        <v>7</v>
      </c>
      <c r="O33" s="3">
        <v>57</v>
      </c>
      <c r="P33" s="3">
        <v>64</v>
      </c>
    </row>
    <row r="34" spans="1:16" x14ac:dyDescent="0.3">
      <c r="A34" s="3">
        <v>652</v>
      </c>
      <c r="B34" s="4">
        <v>40573</v>
      </c>
      <c r="C34" s="3">
        <v>1</v>
      </c>
      <c r="D34" s="3">
        <v>0</v>
      </c>
      <c r="E34" s="3">
        <v>1</v>
      </c>
      <c r="F34" s="3">
        <v>11</v>
      </c>
      <c r="G34" s="3" t="b">
        <v>0</v>
      </c>
      <c r="H34" s="3">
        <v>0</v>
      </c>
      <c r="I34" s="3">
        <v>1</v>
      </c>
      <c r="J34" s="3">
        <v>0.22</v>
      </c>
      <c r="K34" s="3">
        <v>0.2727</v>
      </c>
      <c r="L34" s="3">
        <v>0.75</v>
      </c>
      <c r="M34" s="3">
        <v>0</v>
      </c>
      <c r="N34" s="3">
        <v>9</v>
      </c>
      <c r="O34" s="3">
        <v>50</v>
      </c>
      <c r="P34" s="3">
        <v>59</v>
      </c>
    </row>
    <row r="35" spans="1:16" x14ac:dyDescent="0.3">
      <c r="A35" s="3">
        <v>653</v>
      </c>
      <c r="B35" s="4">
        <v>40573</v>
      </c>
      <c r="C35" s="3">
        <v>1</v>
      </c>
      <c r="D35" s="3">
        <v>0</v>
      </c>
      <c r="E35" s="3">
        <v>1</v>
      </c>
      <c r="F35" s="3">
        <v>12</v>
      </c>
      <c r="G35" s="3" t="b">
        <v>0</v>
      </c>
      <c r="H35" s="3">
        <v>0</v>
      </c>
      <c r="I35" s="3">
        <v>1</v>
      </c>
      <c r="J35" s="3">
        <v>0.3</v>
      </c>
      <c r="K35" s="3">
        <v>0.31819999999999998</v>
      </c>
      <c r="L35" s="3">
        <v>0.52</v>
      </c>
      <c r="M35" s="3">
        <v>0.1045</v>
      </c>
      <c r="N35" s="3">
        <v>10</v>
      </c>
      <c r="O35" s="3">
        <v>87</v>
      </c>
      <c r="P35" s="3">
        <v>97</v>
      </c>
    </row>
    <row r="36" spans="1:16" x14ac:dyDescent="0.3">
      <c r="A36" s="3">
        <v>654</v>
      </c>
      <c r="B36" s="4">
        <v>40573</v>
      </c>
      <c r="C36" s="3">
        <v>1</v>
      </c>
      <c r="D36" s="3">
        <v>0</v>
      </c>
      <c r="E36" s="3">
        <v>1</v>
      </c>
      <c r="F36" s="3">
        <v>13</v>
      </c>
      <c r="G36" s="3" t="b">
        <v>0</v>
      </c>
      <c r="H36" s="3">
        <v>0</v>
      </c>
      <c r="I36" s="3">
        <v>1</v>
      </c>
      <c r="J36" s="3">
        <v>0.28000000000000003</v>
      </c>
      <c r="K36" s="3">
        <v>0.28789999999999999</v>
      </c>
      <c r="L36" s="3">
        <v>0.61</v>
      </c>
      <c r="M36" s="3">
        <v>0.1045</v>
      </c>
      <c r="N36" s="3">
        <v>13</v>
      </c>
      <c r="O36" s="3">
        <v>71</v>
      </c>
      <c r="P36" s="3">
        <v>84</v>
      </c>
    </row>
    <row r="37" spans="1:16" x14ac:dyDescent="0.3">
      <c r="A37" s="3">
        <v>655</v>
      </c>
      <c r="B37" s="4">
        <v>40573</v>
      </c>
      <c r="C37" s="3">
        <v>1</v>
      </c>
      <c r="D37" s="3">
        <v>0</v>
      </c>
      <c r="E37" s="3">
        <v>1</v>
      </c>
      <c r="F37" s="3">
        <v>14</v>
      </c>
      <c r="G37" s="3" t="b">
        <v>0</v>
      </c>
      <c r="H37" s="3">
        <v>0</v>
      </c>
      <c r="I37" s="3">
        <v>1</v>
      </c>
      <c r="J37" s="3">
        <v>0.28000000000000003</v>
      </c>
      <c r="K37" s="3">
        <v>0.30299999999999999</v>
      </c>
      <c r="L37" s="3">
        <v>0.61</v>
      </c>
      <c r="M37" s="3">
        <v>8.9599999999999999E-2</v>
      </c>
      <c r="N37" s="3">
        <v>18</v>
      </c>
      <c r="O37" s="3">
        <v>104</v>
      </c>
      <c r="P37" s="3">
        <v>122</v>
      </c>
    </row>
    <row r="38" spans="1:16" x14ac:dyDescent="0.3">
      <c r="A38" s="3">
        <v>656</v>
      </c>
      <c r="B38" s="4">
        <v>40573</v>
      </c>
      <c r="C38" s="3">
        <v>1</v>
      </c>
      <c r="D38" s="3">
        <v>0</v>
      </c>
      <c r="E38" s="3">
        <v>1</v>
      </c>
      <c r="F38" s="3">
        <v>15</v>
      </c>
      <c r="G38" s="3" t="b">
        <v>0</v>
      </c>
      <c r="H38" s="3">
        <v>0</v>
      </c>
      <c r="I38" s="3">
        <v>1</v>
      </c>
      <c r="J38" s="3">
        <v>0.3</v>
      </c>
      <c r="K38" s="3">
        <v>0.33329999999999999</v>
      </c>
      <c r="L38" s="3">
        <v>0.56000000000000005</v>
      </c>
      <c r="M38" s="3">
        <v>0</v>
      </c>
      <c r="N38" s="3">
        <v>14</v>
      </c>
      <c r="O38" s="3">
        <v>95</v>
      </c>
      <c r="P38" s="3">
        <v>109</v>
      </c>
    </row>
    <row r="39" spans="1:16" x14ac:dyDescent="0.3">
      <c r="A39" s="3">
        <v>657</v>
      </c>
      <c r="B39" s="4">
        <v>40573</v>
      </c>
      <c r="C39" s="3">
        <v>1</v>
      </c>
      <c r="D39" s="3">
        <v>0</v>
      </c>
      <c r="E39" s="3">
        <v>1</v>
      </c>
      <c r="F39" s="3">
        <v>16</v>
      </c>
      <c r="G39" s="3" t="b">
        <v>0</v>
      </c>
      <c r="H39" s="3">
        <v>0</v>
      </c>
      <c r="I39" s="3">
        <v>1</v>
      </c>
      <c r="J39" s="3">
        <v>0.3</v>
      </c>
      <c r="K39" s="3">
        <v>0.33329999999999999</v>
      </c>
      <c r="L39" s="3">
        <v>0.56000000000000005</v>
      </c>
      <c r="M39" s="3">
        <v>0</v>
      </c>
      <c r="N39" s="3">
        <v>19</v>
      </c>
      <c r="O39" s="3">
        <v>104</v>
      </c>
      <c r="P39" s="3">
        <v>123</v>
      </c>
    </row>
    <row r="40" spans="1:16" x14ac:dyDescent="0.3">
      <c r="A40" s="3">
        <v>658</v>
      </c>
      <c r="B40" s="4">
        <v>40573</v>
      </c>
      <c r="C40" s="3">
        <v>1</v>
      </c>
      <c r="D40" s="3">
        <v>0</v>
      </c>
      <c r="E40" s="3">
        <v>1</v>
      </c>
      <c r="F40" s="3">
        <v>17</v>
      </c>
      <c r="G40" s="3" t="b">
        <v>0</v>
      </c>
      <c r="H40" s="3">
        <v>0</v>
      </c>
      <c r="I40" s="3">
        <v>1</v>
      </c>
      <c r="J40" s="3">
        <v>0.3</v>
      </c>
      <c r="K40" s="3">
        <v>0.28789999999999999</v>
      </c>
      <c r="L40" s="3">
        <v>0.56000000000000005</v>
      </c>
      <c r="M40" s="3">
        <v>0.19400000000000001</v>
      </c>
      <c r="N40" s="3">
        <v>6</v>
      </c>
      <c r="O40" s="3">
        <v>71</v>
      </c>
      <c r="P40" s="3">
        <v>77</v>
      </c>
    </row>
    <row r="41" spans="1:16" x14ac:dyDescent="0.3">
      <c r="A41" s="3">
        <v>659</v>
      </c>
      <c r="B41" s="4">
        <v>40573</v>
      </c>
      <c r="C41" s="3">
        <v>1</v>
      </c>
      <c r="D41" s="3">
        <v>0</v>
      </c>
      <c r="E41" s="3">
        <v>1</v>
      </c>
      <c r="F41" s="3">
        <v>18</v>
      </c>
      <c r="G41" s="3" t="b">
        <v>0</v>
      </c>
      <c r="H41" s="3">
        <v>0</v>
      </c>
      <c r="I41" s="3">
        <v>1</v>
      </c>
      <c r="J41" s="3">
        <v>0.26</v>
      </c>
      <c r="K41" s="3">
        <v>0.2576</v>
      </c>
      <c r="L41" s="3">
        <v>0.65</v>
      </c>
      <c r="M41" s="3">
        <v>0.16420000000000001</v>
      </c>
      <c r="N41" s="3">
        <v>8</v>
      </c>
      <c r="O41" s="3">
        <v>57</v>
      </c>
      <c r="P41" s="3">
        <v>65</v>
      </c>
    </row>
    <row r="42" spans="1:16" x14ac:dyDescent="0.3">
      <c r="A42" s="3">
        <v>660</v>
      </c>
      <c r="B42" s="4">
        <v>40573</v>
      </c>
      <c r="C42" s="3">
        <v>1</v>
      </c>
      <c r="D42" s="3">
        <v>0</v>
      </c>
      <c r="E42" s="3">
        <v>1</v>
      </c>
      <c r="F42" s="3">
        <v>19</v>
      </c>
      <c r="G42" s="3" t="b">
        <v>0</v>
      </c>
      <c r="H42" s="3">
        <v>0</v>
      </c>
      <c r="I42" s="3">
        <v>1</v>
      </c>
      <c r="J42" s="3">
        <v>0.26</v>
      </c>
      <c r="K42" s="3">
        <v>0.2576</v>
      </c>
      <c r="L42" s="3">
        <v>0.65</v>
      </c>
      <c r="M42" s="3">
        <v>0.19400000000000001</v>
      </c>
      <c r="N42" s="3">
        <v>9</v>
      </c>
      <c r="O42" s="3">
        <v>46</v>
      </c>
      <c r="P42" s="3">
        <v>55</v>
      </c>
    </row>
    <row r="43" spans="1:16" x14ac:dyDescent="0.3">
      <c r="A43" s="3">
        <v>661</v>
      </c>
      <c r="B43" s="4">
        <v>40573</v>
      </c>
      <c r="C43" s="3">
        <v>1</v>
      </c>
      <c r="D43" s="3">
        <v>0</v>
      </c>
      <c r="E43" s="3">
        <v>1</v>
      </c>
      <c r="F43" s="3">
        <v>20</v>
      </c>
      <c r="G43" s="3" t="b">
        <v>0</v>
      </c>
      <c r="H43" s="3">
        <v>0</v>
      </c>
      <c r="I43" s="3">
        <v>2</v>
      </c>
      <c r="J43" s="3">
        <v>0.26</v>
      </c>
      <c r="K43" s="3">
        <v>0.2727</v>
      </c>
      <c r="L43" s="3">
        <v>0.65</v>
      </c>
      <c r="M43" s="3">
        <v>0.1045</v>
      </c>
      <c r="N43" s="3">
        <v>3</v>
      </c>
      <c r="O43" s="3">
        <v>30</v>
      </c>
      <c r="P43" s="3">
        <v>33</v>
      </c>
    </row>
    <row r="44" spans="1:16" x14ac:dyDescent="0.3">
      <c r="A44" s="3">
        <v>662</v>
      </c>
      <c r="B44" s="4">
        <v>40573</v>
      </c>
      <c r="C44" s="3">
        <v>1</v>
      </c>
      <c r="D44" s="3">
        <v>0</v>
      </c>
      <c r="E44" s="3">
        <v>1</v>
      </c>
      <c r="F44" s="3">
        <v>21</v>
      </c>
      <c r="G44" s="3" t="b">
        <v>0</v>
      </c>
      <c r="H44" s="3">
        <v>0</v>
      </c>
      <c r="I44" s="3">
        <v>2</v>
      </c>
      <c r="J44" s="3">
        <v>0.24</v>
      </c>
      <c r="K44" s="3">
        <v>0.2424</v>
      </c>
      <c r="L44" s="3">
        <v>0.7</v>
      </c>
      <c r="M44" s="3">
        <v>0.16420000000000001</v>
      </c>
      <c r="N44" s="3">
        <v>3</v>
      </c>
      <c r="O44" s="3">
        <v>25</v>
      </c>
      <c r="P44" s="3">
        <v>28</v>
      </c>
    </row>
    <row r="45" spans="1:16" x14ac:dyDescent="0.3">
      <c r="A45" s="3">
        <v>663</v>
      </c>
      <c r="B45" s="4">
        <v>40573</v>
      </c>
      <c r="C45" s="3">
        <v>1</v>
      </c>
      <c r="D45" s="3">
        <v>0</v>
      </c>
      <c r="E45" s="3">
        <v>1</v>
      </c>
      <c r="F45" s="3">
        <v>22</v>
      </c>
      <c r="G45" s="3" t="b">
        <v>0</v>
      </c>
      <c r="H45" s="3">
        <v>0</v>
      </c>
      <c r="I45" s="3">
        <v>2</v>
      </c>
      <c r="J45" s="3">
        <v>0.24</v>
      </c>
      <c r="K45" s="3">
        <v>0.2273</v>
      </c>
      <c r="L45" s="3">
        <v>0.7</v>
      </c>
      <c r="M45" s="3">
        <v>0.19400000000000001</v>
      </c>
      <c r="N45" s="3">
        <v>2</v>
      </c>
      <c r="O45" s="3">
        <v>19</v>
      </c>
      <c r="P45" s="3">
        <v>21</v>
      </c>
    </row>
    <row r="46" spans="1:16" x14ac:dyDescent="0.3">
      <c r="A46" s="3">
        <v>664</v>
      </c>
      <c r="B46" s="4">
        <v>40573</v>
      </c>
      <c r="C46" s="3">
        <v>1</v>
      </c>
      <c r="D46" s="3">
        <v>0</v>
      </c>
      <c r="E46" s="3">
        <v>1</v>
      </c>
      <c r="F46" s="3">
        <v>23</v>
      </c>
      <c r="G46" s="3" t="b">
        <v>0</v>
      </c>
      <c r="H46" s="3">
        <v>0</v>
      </c>
      <c r="I46" s="3">
        <v>2</v>
      </c>
      <c r="J46" s="3">
        <v>0.24</v>
      </c>
      <c r="K46" s="3">
        <v>0.21210000000000001</v>
      </c>
      <c r="L46" s="3">
        <v>0.65</v>
      </c>
      <c r="M46" s="3">
        <v>0.28360000000000002</v>
      </c>
      <c r="N46" s="3">
        <v>5</v>
      </c>
      <c r="O46" s="3">
        <v>16</v>
      </c>
      <c r="P46" s="3">
        <v>21</v>
      </c>
    </row>
    <row r="47" spans="1:16" x14ac:dyDescent="0.3">
      <c r="A47" s="3">
        <v>665</v>
      </c>
      <c r="B47" s="4">
        <v>40574</v>
      </c>
      <c r="C47" s="3">
        <v>1</v>
      </c>
      <c r="D47" s="3">
        <v>0</v>
      </c>
      <c r="E47" s="3">
        <v>1</v>
      </c>
      <c r="F47" s="3">
        <v>0</v>
      </c>
      <c r="G47" s="3" t="b">
        <v>0</v>
      </c>
      <c r="H47" s="3">
        <v>1</v>
      </c>
      <c r="I47" s="3">
        <v>2</v>
      </c>
      <c r="J47" s="3">
        <v>0.24</v>
      </c>
      <c r="K47" s="3">
        <v>0.2273</v>
      </c>
      <c r="L47" s="3">
        <v>0.65</v>
      </c>
      <c r="M47" s="3">
        <v>0.22389999999999999</v>
      </c>
      <c r="N47" s="3">
        <v>1</v>
      </c>
      <c r="O47" s="3">
        <v>6</v>
      </c>
      <c r="P47" s="3">
        <v>7</v>
      </c>
    </row>
    <row r="48" spans="1:16" x14ac:dyDescent="0.3">
      <c r="A48" s="3">
        <v>666</v>
      </c>
      <c r="B48" s="4">
        <v>40574</v>
      </c>
      <c r="C48" s="3">
        <v>1</v>
      </c>
      <c r="D48" s="3">
        <v>0</v>
      </c>
      <c r="E48" s="3">
        <v>1</v>
      </c>
      <c r="F48" s="3">
        <v>1</v>
      </c>
      <c r="G48" s="3" t="b">
        <v>0</v>
      </c>
      <c r="H48" s="3">
        <v>1</v>
      </c>
      <c r="I48" s="3">
        <v>1</v>
      </c>
      <c r="J48" s="3">
        <v>0.22</v>
      </c>
      <c r="K48" s="3">
        <v>0.21210000000000001</v>
      </c>
      <c r="L48" s="3">
        <v>0.64</v>
      </c>
      <c r="M48" s="3">
        <v>0.25369999999999998</v>
      </c>
      <c r="N48" s="3">
        <v>2</v>
      </c>
      <c r="O48" s="3">
        <v>5</v>
      </c>
      <c r="P48" s="3">
        <v>7</v>
      </c>
    </row>
    <row r="49" spans="1:16" x14ac:dyDescent="0.3">
      <c r="A49" s="3">
        <v>667</v>
      </c>
      <c r="B49" s="4">
        <v>40574</v>
      </c>
      <c r="C49" s="3">
        <v>1</v>
      </c>
      <c r="D49" s="3">
        <v>0</v>
      </c>
      <c r="E49" s="3">
        <v>1</v>
      </c>
      <c r="F49" s="3">
        <v>2</v>
      </c>
      <c r="G49" s="3" t="b">
        <v>0</v>
      </c>
      <c r="H49" s="3">
        <v>1</v>
      </c>
      <c r="I49" s="3">
        <v>1</v>
      </c>
      <c r="J49" s="3">
        <v>0.22</v>
      </c>
      <c r="K49" s="3">
        <v>0.2273</v>
      </c>
      <c r="L49" s="3">
        <v>0.64</v>
      </c>
      <c r="M49" s="3">
        <v>0.19400000000000001</v>
      </c>
      <c r="N49" s="3">
        <v>0</v>
      </c>
      <c r="O49" s="3">
        <v>1</v>
      </c>
      <c r="P49" s="3">
        <v>1</v>
      </c>
    </row>
    <row r="50" spans="1:16" x14ac:dyDescent="0.3">
      <c r="A50" s="3">
        <v>668</v>
      </c>
      <c r="B50" s="4">
        <v>40574</v>
      </c>
      <c r="C50" s="3">
        <v>1</v>
      </c>
      <c r="D50" s="3">
        <v>0</v>
      </c>
      <c r="E50" s="3">
        <v>1</v>
      </c>
      <c r="F50" s="3">
        <v>3</v>
      </c>
      <c r="G50" s="3" t="b">
        <v>0</v>
      </c>
      <c r="H50" s="3">
        <v>1</v>
      </c>
      <c r="I50" s="3">
        <v>1</v>
      </c>
      <c r="J50" s="3">
        <v>0.22</v>
      </c>
      <c r="K50" s="3">
        <v>0.2273</v>
      </c>
      <c r="L50" s="3">
        <v>0.64</v>
      </c>
      <c r="M50" s="3">
        <v>0.19400000000000001</v>
      </c>
      <c r="N50" s="3">
        <v>0</v>
      </c>
      <c r="O50" s="3">
        <v>2</v>
      </c>
      <c r="P50" s="3">
        <v>2</v>
      </c>
    </row>
    <row r="51" spans="1:16" x14ac:dyDescent="0.3">
      <c r="A51" s="3">
        <v>669</v>
      </c>
      <c r="B51" s="4">
        <v>40574</v>
      </c>
      <c r="C51" s="3">
        <v>1</v>
      </c>
      <c r="D51" s="3">
        <v>0</v>
      </c>
      <c r="E51" s="3">
        <v>1</v>
      </c>
      <c r="F51" s="3">
        <v>4</v>
      </c>
      <c r="G51" s="3" t="b">
        <v>0</v>
      </c>
      <c r="H51" s="3">
        <v>1</v>
      </c>
      <c r="I51" s="3">
        <v>1</v>
      </c>
      <c r="J51" s="3">
        <v>0.2</v>
      </c>
      <c r="K51" s="3">
        <v>0.19700000000000001</v>
      </c>
      <c r="L51" s="3">
        <v>0.59</v>
      </c>
      <c r="M51" s="3">
        <v>0.22389999999999999</v>
      </c>
      <c r="N51" s="3">
        <v>0</v>
      </c>
      <c r="O51" s="3">
        <v>2</v>
      </c>
      <c r="P51" s="3">
        <v>2</v>
      </c>
    </row>
    <row r="52" spans="1:16" x14ac:dyDescent="0.3">
      <c r="A52" s="3">
        <v>670</v>
      </c>
      <c r="B52" s="4">
        <v>40574</v>
      </c>
      <c r="C52" s="3">
        <v>1</v>
      </c>
      <c r="D52" s="3">
        <v>0</v>
      </c>
      <c r="E52" s="3">
        <v>1</v>
      </c>
      <c r="F52" s="3">
        <v>5</v>
      </c>
      <c r="G52" s="3" t="b">
        <v>0</v>
      </c>
      <c r="H52" s="3">
        <v>1</v>
      </c>
      <c r="I52" s="3">
        <v>1</v>
      </c>
      <c r="J52" s="3">
        <v>0.18</v>
      </c>
      <c r="K52" s="3">
        <v>0.16669999999999999</v>
      </c>
      <c r="L52" s="3">
        <v>0.64</v>
      </c>
      <c r="M52" s="3">
        <v>0.28360000000000002</v>
      </c>
      <c r="N52" s="3">
        <v>0</v>
      </c>
      <c r="O52" s="3">
        <v>8</v>
      </c>
      <c r="P52" s="3">
        <v>8</v>
      </c>
    </row>
    <row r="53" spans="1:16" x14ac:dyDescent="0.3">
      <c r="A53" s="3">
        <v>671</v>
      </c>
      <c r="B53" s="4">
        <v>40574</v>
      </c>
      <c r="C53" s="3">
        <v>1</v>
      </c>
      <c r="D53" s="3">
        <v>0</v>
      </c>
      <c r="E53" s="3">
        <v>1</v>
      </c>
      <c r="F53" s="3">
        <v>6</v>
      </c>
      <c r="G53" s="3" t="b">
        <v>0</v>
      </c>
      <c r="H53" s="3">
        <v>1</v>
      </c>
      <c r="I53" s="3">
        <v>1</v>
      </c>
      <c r="J53" s="3">
        <v>0.16</v>
      </c>
      <c r="K53" s="3">
        <v>0.13639999999999999</v>
      </c>
      <c r="L53" s="3">
        <v>0.69</v>
      </c>
      <c r="M53" s="3">
        <v>0.32840000000000003</v>
      </c>
      <c r="N53" s="3">
        <v>0</v>
      </c>
      <c r="O53" s="3">
        <v>37</v>
      </c>
      <c r="P53" s="3">
        <v>37</v>
      </c>
    </row>
    <row r="54" spans="1:16" x14ac:dyDescent="0.3">
      <c r="A54" s="3">
        <v>672</v>
      </c>
      <c r="B54" s="4">
        <v>40574</v>
      </c>
      <c r="C54" s="3">
        <v>1</v>
      </c>
      <c r="D54" s="3">
        <v>0</v>
      </c>
      <c r="E54" s="3">
        <v>1</v>
      </c>
      <c r="F54" s="3">
        <v>7</v>
      </c>
      <c r="G54" s="3" t="b">
        <v>0</v>
      </c>
      <c r="H54" s="3">
        <v>1</v>
      </c>
      <c r="I54" s="3">
        <v>2</v>
      </c>
      <c r="J54" s="3">
        <v>0.16</v>
      </c>
      <c r="K54" s="3">
        <v>0.13639999999999999</v>
      </c>
      <c r="L54" s="3">
        <v>0.64</v>
      </c>
      <c r="M54" s="3">
        <v>0.28360000000000002</v>
      </c>
      <c r="N54" s="3">
        <v>1</v>
      </c>
      <c r="O54" s="3">
        <v>71</v>
      </c>
      <c r="P54" s="3">
        <v>72</v>
      </c>
    </row>
    <row r="55" spans="1:16" x14ac:dyDescent="0.3">
      <c r="A55" s="3">
        <v>673</v>
      </c>
      <c r="B55" s="4">
        <v>40574</v>
      </c>
      <c r="C55" s="3">
        <v>1</v>
      </c>
      <c r="D55" s="3">
        <v>0</v>
      </c>
      <c r="E55" s="3">
        <v>1</v>
      </c>
      <c r="F55" s="3">
        <v>8</v>
      </c>
      <c r="G55" s="3" t="b">
        <v>0</v>
      </c>
      <c r="H55" s="3">
        <v>1</v>
      </c>
      <c r="I55" s="3">
        <v>2</v>
      </c>
      <c r="J55" s="3">
        <v>0.16</v>
      </c>
      <c r="K55" s="3">
        <v>0.13639999999999999</v>
      </c>
      <c r="L55" s="3">
        <v>0.59</v>
      </c>
      <c r="M55" s="3">
        <v>0.28360000000000002</v>
      </c>
      <c r="N55" s="3">
        <v>3</v>
      </c>
      <c r="O55" s="3">
        <v>182</v>
      </c>
      <c r="P55" s="3">
        <v>185</v>
      </c>
    </row>
    <row r="56" spans="1:16" x14ac:dyDescent="0.3">
      <c r="A56" s="3">
        <v>674</v>
      </c>
      <c r="B56" s="4">
        <v>40574</v>
      </c>
      <c r="C56" s="3">
        <v>1</v>
      </c>
      <c r="D56" s="3">
        <v>0</v>
      </c>
      <c r="E56" s="3">
        <v>1</v>
      </c>
      <c r="F56" s="3">
        <v>9</v>
      </c>
      <c r="G56" s="3" t="b">
        <v>0</v>
      </c>
      <c r="H56" s="3">
        <v>1</v>
      </c>
      <c r="I56" s="3">
        <v>2</v>
      </c>
      <c r="J56" s="3">
        <v>0.16</v>
      </c>
      <c r="K56" s="3">
        <v>0.13639999999999999</v>
      </c>
      <c r="L56" s="3">
        <v>0.59</v>
      </c>
      <c r="M56" s="3">
        <v>0.29849999999999999</v>
      </c>
      <c r="N56" s="3">
        <v>0</v>
      </c>
      <c r="O56" s="3">
        <v>112</v>
      </c>
      <c r="P56" s="3">
        <v>112</v>
      </c>
    </row>
    <row r="57" spans="1:16" x14ac:dyDescent="0.3">
      <c r="A57" s="3">
        <v>675</v>
      </c>
      <c r="B57" s="4">
        <v>40574</v>
      </c>
      <c r="C57" s="3">
        <v>1</v>
      </c>
      <c r="D57" s="3">
        <v>0</v>
      </c>
      <c r="E57" s="3">
        <v>1</v>
      </c>
      <c r="F57" s="3">
        <v>10</v>
      </c>
      <c r="G57" s="3" t="b">
        <v>0</v>
      </c>
      <c r="H57" s="3">
        <v>1</v>
      </c>
      <c r="I57" s="3">
        <v>2</v>
      </c>
      <c r="J57" s="3">
        <v>0.16</v>
      </c>
      <c r="K57" s="3">
        <v>0.1515</v>
      </c>
      <c r="L57" s="3">
        <v>0.59</v>
      </c>
      <c r="M57" s="3">
        <v>0.19400000000000001</v>
      </c>
      <c r="N57" s="3">
        <v>1</v>
      </c>
      <c r="O57" s="3">
        <v>68</v>
      </c>
      <c r="P57" s="3">
        <v>69</v>
      </c>
    </row>
    <row r="58" spans="1:16" x14ac:dyDescent="0.3">
      <c r="A58" s="3">
        <v>676</v>
      </c>
      <c r="B58" s="4">
        <v>40574</v>
      </c>
      <c r="C58" s="3">
        <v>1</v>
      </c>
      <c r="D58" s="3">
        <v>0</v>
      </c>
      <c r="E58" s="3">
        <v>1</v>
      </c>
      <c r="F58" s="3">
        <v>11</v>
      </c>
      <c r="G58" s="3" t="b">
        <v>0</v>
      </c>
      <c r="H58" s="3">
        <v>1</v>
      </c>
      <c r="I58" s="3">
        <v>2</v>
      </c>
      <c r="J58" s="3">
        <v>0.16</v>
      </c>
      <c r="K58" s="3">
        <v>0.1515</v>
      </c>
      <c r="L58" s="3">
        <v>0.59</v>
      </c>
      <c r="M58" s="3">
        <v>0.19400000000000001</v>
      </c>
      <c r="N58" s="3">
        <v>2</v>
      </c>
      <c r="O58" s="3">
        <v>46</v>
      </c>
      <c r="P58" s="3">
        <v>48</v>
      </c>
    </row>
    <row r="59" spans="1:16" x14ac:dyDescent="0.3">
      <c r="A59" s="3">
        <v>677</v>
      </c>
      <c r="B59" s="4">
        <v>40574</v>
      </c>
      <c r="C59" s="3">
        <v>1</v>
      </c>
      <c r="D59" s="3">
        <v>0</v>
      </c>
      <c r="E59" s="3">
        <v>1</v>
      </c>
      <c r="F59" s="3">
        <v>12</v>
      </c>
      <c r="G59" s="3" t="b">
        <v>0</v>
      </c>
      <c r="H59" s="3">
        <v>1</v>
      </c>
      <c r="I59" s="3">
        <v>2</v>
      </c>
      <c r="J59" s="3">
        <v>0.18</v>
      </c>
      <c r="K59" s="3">
        <v>0.21210000000000001</v>
      </c>
      <c r="L59" s="3">
        <v>0.55000000000000004</v>
      </c>
      <c r="M59" s="3">
        <v>0.1045</v>
      </c>
      <c r="N59" s="3">
        <v>6</v>
      </c>
      <c r="O59" s="3">
        <v>62</v>
      </c>
      <c r="P59" s="3">
        <v>68</v>
      </c>
    </row>
    <row r="60" spans="1:16" x14ac:dyDescent="0.3">
      <c r="A60" s="3">
        <v>678</v>
      </c>
      <c r="B60" s="4">
        <v>40574</v>
      </c>
      <c r="C60" s="3">
        <v>1</v>
      </c>
      <c r="D60" s="3">
        <v>0</v>
      </c>
      <c r="E60" s="3">
        <v>1</v>
      </c>
      <c r="F60" s="3">
        <v>13</v>
      </c>
      <c r="G60" s="3" t="b">
        <v>0</v>
      </c>
      <c r="H60" s="3">
        <v>1</v>
      </c>
      <c r="I60" s="3">
        <v>2</v>
      </c>
      <c r="J60" s="3">
        <v>0.16</v>
      </c>
      <c r="K60" s="3">
        <v>0.2273</v>
      </c>
      <c r="L60" s="3">
        <v>0.59</v>
      </c>
      <c r="M60" s="3">
        <v>0</v>
      </c>
      <c r="N60" s="3">
        <v>2</v>
      </c>
      <c r="O60" s="3">
        <v>52</v>
      </c>
      <c r="P60" s="3">
        <v>54</v>
      </c>
    </row>
    <row r="61" spans="1:16" x14ac:dyDescent="0.3">
      <c r="A61" s="3">
        <v>679</v>
      </c>
      <c r="B61" s="4">
        <v>40574</v>
      </c>
      <c r="C61" s="3">
        <v>1</v>
      </c>
      <c r="D61" s="3">
        <v>0</v>
      </c>
      <c r="E61" s="3">
        <v>1</v>
      </c>
      <c r="F61" s="3">
        <v>14</v>
      </c>
      <c r="G61" s="3" t="b">
        <v>0</v>
      </c>
      <c r="H61" s="3">
        <v>1</v>
      </c>
      <c r="I61" s="3">
        <v>2</v>
      </c>
      <c r="J61" s="3">
        <v>0.18</v>
      </c>
      <c r="K61" s="3">
        <v>0.19700000000000001</v>
      </c>
      <c r="L61" s="3">
        <v>0.55000000000000004</v>
      </c>
      <c r="M61" s="3">
        <v>0.1343</v>
      </c>
      <c r="N61" s="3">
        <v>1</v>
      </c>
      <c r="O61" s="3">
        <v>85</v>
      </c>
      <c r="P61" s="3">
        <v>86</v>
      </c>
    </row>
    <row r="62" spans="1:16" x14ac:dyDescent="0.3">
      <c r="A62" s="3">
        <v>680</v>
      </c>
      <c r="B62" s="4">
        <v>40574</v>
      </c>
      <c r="C62" s="3">
        <v>1</v>
      </c>
      <c r="D62" s="3">
        <v>0</v>
      </c>
      <c r="E62" s="3">
        <v>1</v>
      </c>
      <c r="F62" s="3">
        <v>15</v>
      </c>
      <c r="G62" s="3" t="b">
        <v>0</v>
      </c>
      <c r="H62" s="3">
        <v>1</v>
      </c>
      <c r="I62" s="3">
        <v>2</v>
      </c>
      <c r="J62" s="3">
        <v>0.16</v>
      </c>
      <c r="K62" s="3">
        <v>0.18179999999999999</v>
      </c>
      <c r="L62" s="3">
        <v>0.59</v>
      </c>
      <c r="M62" s="3">
        <v>0.1343</v>
      </c>
      <c r="N62" s="3">
        <v>3</v>
      </c>
      <c r="O62" s="3">
        <v>41</v>
      </c>
      <c r="P62" s="3">
        <v>44</v>
      </c>
    </row>
    <row r="63" spans="1:16" x14ac:dyDescent="0.3">
      <c r="A63" s="3">
        <v>681</v>
      </c>
      <c r="B63" s="4">
        <v>40574</v>
      </c>
      <c r="C63" s="3">
        <v>1</v>
      </c>
      <c r="D63" s="3">
        <v>0</v>
      </c>
      <c r="E63" s="3">
        <v>1</v>
      </c>
      <c r="F63" s="3">
        <v>16</v>
      </c>
      <c r="G63" s="3" t="b">
        <v>0</v>
      </c>
      <c r="H63" s="3">
        <v>1</v>
      </c>
      <c r="I63" s="3">
        <v>2</v>
      </c>
      <c r="J63" s="3">
        <v>0.16</v>
      </c>
      <c r="K63" s="3">
        <v>0.18179999999999999</v>
      </c>
      <c r="L63" s="3">
        <v>0.56000000000000005</v>
      </c>
      <c r="M63" s="3">
        <v>0.19400000000000001</v>
      </c>
      <c r="N63" s="3">
        <v>3</v>
      </c>
      <c r="O63" s="3">
        <v>83</v>
      </c>
      <c r="P63" s="3">
        <v>86</v>
      </c>
    </row>
    <row r="64" spans="1:16" x14ac:dyDescent="0.3">
      <c r="A64" s="3">
        <v>682</v>
      </c>
      <c r="B64" s="4">
        <v>40574</v>
      </c>
      <c r="C64" s="3">
        <v>1</v>
      </c>
      <c r="D64" s="3">
        <v>0</v>
      </c>
      <c r="E64" s="3">
        <v>1</v>
      </c>
      <c r="F64" s="3">
        <v>17</v>
      </c>
      <c r="G64" s="3" t="b">
        <v>0</v>
      </c>
      <c r="H64" s="3">
        <v>1</v>
      </c>
      <c r="I64" s="3">
        <v>2</v>
      </c>
      <c r="J64" s="3">
        <v>0.16</v>
      </c>
      <c r="K64" s="3">
        <v>0.1515</v>
      </c>
      <c r="L64" s="3">
        <v>0.59</v>
      </c>
      <c r="M64" s="3">
        <v>0.19400000000000001</v>
      </c>
      <c r="N64" s="3">
        <v>6</v>
      </c>
      <c r="O64" s="3">
        <v>155</v>
      </c>
      <c r="P64" s="3">
        <v>161</v>
      </c>
    </row>
    <row r="65" spans="1:16" x14ac:dyDescent="0.3">
      <c r="A65" s="3">
        <v>683</v>
      </c>
      <c r="B65" s="4">
        <v>40574</v>
      </c>
      <c r="C65" s="3">
        <v>1</v>
      </c>
      <c r="D65" s="3">
        <v>0</v>
      </c>
      <c r="E65" s="3">
        <v>1</v>
      </c>
      <c r="F65" s="3">
        <v>18</v>
      </c>
      <c r="G65" s="3" t="b">
        <v>0</v>
      </c>
      <c r="H65" s="3">
        <v>1</v>
      </c>
      <c r="I65" s="3">
        <v>2</v>
      </c>
      <c r="J65" s="3">
        <v>0.16</v>
      </c>
      <c r="K65" s="3">
        <v>0.1515</v>
      </c>
      <c r="L65" s="3">
        <v>0.55000000000000004</v>
      </c>
      <c r="M65" s="3">
        <v>0.22389999999999999</v>
      </c>
      <c r="N65" s="3">
        <v>3</v>
      </c>
      <c r="O65" s="3">
        <v>153</v>
      </c>
      <c r="P65" s="3">
        <v>156</v>
      </c>
    </row>
    <row r="66" spans="1:16" x14ac:dyDescent="0.3">
      <c r="A66" s="3">
        <v>684</v>
      </c>
      <c r="B66" s="4">
        <v>40574</v>
      </c>
      <c r="C66" s="3">
        <v>1</v>
      </c>
      <c r="D66" s="3">
        <v>0</v>
      </c>
      <c r="E66" s="3">
        <v>1</v>
      </c>
      <c r="F66" s="3">
        <v>19</v>
      </c>
      <c r="G66" s="3" t="b">
        <v>0</v>
      </c>
      <c r="H66" s="3">
        <v>1</v>
      </c>
      <c r="I66" s="3">
        <v>1</v>
      </c>
      <c r="J66" s="3">
        <v>0.3</v>
      </c>
      <c r="K66" s="3">
        <v>0.31819999999999998</v>
      </c>
      <c r="L66" s="3">
        <v>0.61</v>
      </c>
      <c r="M66" s="3">
        <v>0.1045</v>
      </c>
      <c r="N66" s="3">
        <v>3</v>
      </c>
      <c r="O66" s="3">
        <v>108</v>
      </c>
      <c r="P66" s="3">
        <v>111</v>
      </c>
    </row>
    <row r="67" spans="1:16" x14ac:dyDescent="0.3">
      <c r="A67" s="3">
        <v>685</v>
      </c>
      <c r="B67" s="4">
        <v>40574</v>
      </c>
      <c r="C67" s="3">
        <v>1</v>
      </c>
      <c r="D67" s="3">
        <v>0</v>
      </c>
      <c r="E67" s="3">
        <v>1</v>
      </c>
      <c r="F67" s="3">
        <v>20</v>
      </c>
      <c r="G67" s="3" t="b">
        <v>0</v>
      </c>
      <c r="H67" s="3">
        <v>1</v>
      </c>
      <c r="I67" s="3">
        <v>3</v>
      </c>
      <c r="J67" s="3">
        <v>0.16</v>
      </c>
      <c r="K67" s="3">
        <v>0.16669999999999999</v>
      </c>
      <c r="L67" s="3">
        <v>0.59</v>
      </c>
      <c r="M67" s="3">
        <v>0.16420000000000001</v>
      </c>
      <c r="N67" s="3">
        <v>0</v>
      </c>
      <c r="O67" s="3">
        <v>78</v>
      </c>
      <c r="P67" s="3">
        <v>78</v>
      </c>
    </row>
    <row r="68" spans="1:16" x14ac:dyDescent="0.3">
      <c r="A68" s="3">
        <v>686</v>
      </c>
      <c r="B68" s="4">
        <v>40574</v>
      </c>
      <c r="C68" s="3">
        <v>1</v>
      </c>
      <c r="D68" s="3">
        <v>0</v>
      </c>
      <c r="E68" s="3">
        <v>1</v>
      </c>
      <c r="F68" s="3">
        <v>21</v>
      </c>
      <c r="G68" s="3" t="b">
        <v>0</v>
      </c>
      <c r="H68" s="3">
        <v>1</v>
      </c>
      <c r="I68" s="3">
        <v>3</v>
      </c>
      <c r="J68" s="3">
        <v>0.16</v>
      </c>
      <c r="K68" s="3">
        <v>0.19700000000000001</v>
      </c>
      <c r="L68" s="3">
        <v>0.59</v>
      </c>
      <c r="M68" s="3">
        <v>8.9599999999999999E-2</v>
      </c>
      <c r="N68" s="3">
        <v>3</v>
      </c>
      <c r="O68" s="3">
        <v>53</v>
      </c>
      <c r="P68" s="3">
        <v>56</v>
      </c>
    </row>
    <row r="69" spans="1:16" x14ac:dyDescent="0.3">
      <c r="A69" s="3">
        <v>687</v>
      </c>
      <c r="B69" s="4">
        <v>40574</v>
      </c>
      <c r="C69" s="3">
        <v>1</v>
      </c>
      <c r="D69" s="3">
        <v>0</v>
      </c>
      <c r="E69" s="3">
        <v>1</v>
      </c>
      <c r="F69" s="3">
        <v>22</v>
      </c>
      <c r="G69" s="3" t="b">
        <v>0</v>
      </c>
      <c r="H69" s="3">
        <v>1</v>
      </c>
      <c r="I69" s="3">
        <v>2</v>
      </c>
      <c r="J69" s="3">
        <v>0.16</v>
      </c>
      <c r="K69" s="3">
        <v>0.18179999999999999</v>
      </c>
      <c r="L69" s="3">
        <v>0.59</v>
      </c>
      <c r="M69" s="3">
        <v>0.1045</v>
      </c>
      <c r="N69" s="3">
        <v>0</v>
      </c>
      <c r="O69" s="3">
        <v>34</v>
      </c>
      <c r="P69" s="3">
        <v>34</v>
      </c>
    </row>
    <row r="70" spans="1:16" x14ac:dyDescent="0.3">
      <c r="A70" s="3">
        <v>688</v>
      </c>
      <c r="B70" s="4">
        <v>40574</v>
      </c>
      <c r="C70" s="3">
        <v>1</v>
      </c>
      <c r="D70" s="3">
        <v>0</v>
      </c>
      <c r="E70" s="3">
        <v>1</v>
      </c>
      <c r="F70" s="3">
        <v>23</v>
      </c>
      <c r="G70" s="3" t="b">
        <v>0</v>
      </c>
      <c r="H70" s="3">
        <v>1</v>
      </c>
      <c r="I70" s="3">
        <v>2</v>
      </c>
      <c r="J70" s="3">
        <v>0.16</v>
      </c>
      <c r="K70" s="3">
        <v>0.19700000000000001</v>
      </c>
      <c r="L70" s="3">
        <v>0.64</v>
      </c>
      <c r="M70" s="3">
        <v>8.9599999999999999E-2</v>
      </c>
      <c r="N70" s="3">
        <v>2</v>
      </c>
      <c r="O70" s="3">
        <v>15</v>
      </c>
      <c r="P70" s="3">
        <v>17</v>
      </c>
    </row>
    <row r="71" spans="1:16" x14ac:dyDescent="0.3">
      <c r="A71" s="3">
        <v>689</v>
      </c>
      <c r="B71" s="4">
        <v>40575</v>
      </c>
      <c r="C71" s="3">
        <v>1</v>
      </c>
      <c r="D71" s="3">
        <v>0</v>
      </c>
      <c r="E71" s="3">
        <v>2</v>
      </c>
      <c r="F71" s="3">
        <v>0</v>
      </c>
      <c r="G71" s="3" t="b">
        <v>0</v>
      </c>
      <c r="H71" s="3">
        <v>2</v>
      </c>
      <c r="I71" s="3">
        <v>2</v>
      </c>
      <c r="J71" s="3">
        <v>0.16</v>
      </c>
      <c r="K71" s="3">
        <v>0.18179999999999999</v>
      </c>
      <c r="L71" s="3">
        <v>0.64</v>
      </c>
      <c r="M71" s="3">
        <v>0.1045</v>
      </c>
      <c r="N71" s="3">
        <v>2</v>
      </c>
      <c r="O71" s="3">
        <v>6</v>
      </c>
      <c r="P71" s="3">
        <v>8</v>
      </c>
    </row>
    <row r="72" spans="1:16" x14ac:dyDescent="0.3">
      <c r="A72" s="3">
        <v>690</v>
      </c>
      <c r="B72" s="4">
        <v>40575</v>
      </c>
      <c r="C72" s="3">
        <v>1</v>
      </c>
      <c r="D72" s="3">
        <v>0</v>
      </c>
      <c r="E72" s="3">
        <v>2</v>
      </c>
      <c r="F72" s="3">
        <v>1</v>
      </c>
      <c r="G72" s="3" t="b">
        <v>0</v>
      </c>
      <c r="H72" s="3">
        <v>2</v>
      </c>
      <c r="I72" s="3">
        <v>2</v>
      </c>
      <c r="J72" s="3">
        <v>0.16</v>
      </c>
      <c r="K72" s="3">
        <v>0.18179999999999999</v>
      </c>
      <c r="L72" s="3">
        <v>0.69</v>
      </c>
      <c r="M72" s="3">
        <v>0.1045</v>
      </c>
      <c r="N72" s="3">
        <v>0</v>
      </c>
      <c r="O72" s="3">
        <v>3</v>
      </c>
      <c r="P72" s="3">
        <v>3</v>
      </c>
    </row>
    <row r="73" spans="1:16" x14ac:dyDescent="0.3">
      <c r="A73" s="3">
        <v>691</v>
      </c>
      <c r="B73" s="4">
        <v>40575</v>
      </c>
      <c r="C73" s="3">
        <v>1</v>
      </c>
      <c r="D73" s="3">
        <v>0</v>
      </c>
      <c r="E73" s="3">
        <v>2</v>
      </c>
      <c r="F73" s="3">
        <v>2</v>
      </c>
      <c r="G73" s="3" t="b">
        <v>0</v>
      </c>
      <c r="H73" s="3">
        <v>2</v>
      </c>
      <c r="I73" s="3">
        <v>2</v>
      </c>
      <c r="J73" s="3">
        <v>0.16</v>
      </c>
      <c r="K73" s="3">
        <v>0.2273</v>
      </c>
      <c r="L73" s="3">
        <v>0.69</v>
      </c>
      <c r="M73" s="3">
        <v>0</v>
      </c>
      <c r="N73" s="3">
        <v>0</v>
      </c>
      <c r="O73" s="3">
        <v>2</v>
      </c>
      <c r="P73" s="3">
        <v>2</v>
      </c>
    </row>
    <row r="74" spans="1:16" x14ac:dyDescent="0.3">
      <c r="A74" s="3">
        <v>692</v>
      </c>
      <c r="B74" s="4">
        <v>40575</v>
      </c>
      <c r="C74" s="3">
        <v>1</v>
      </c>
      <c r="D74" s="3">
        <v>0</v>
      </c>
      <c r="E74" s="3">
        <v>2</v>
      </c>
      <c r="F74" s="3">
        <v>3</v>
      </c>
      <c r="G74" s="3" t="b">
        <v>0</v>
      </c>
      <c r="H74" s="3">
        <v>2</v>
      </c>
      <c r="I74" s="3">
        <v>2</v>
      </c>
      <c r="J74" s="3">
        <v>0.16</v>
      </c>
      <c r="K74" s="3">
        <v>0.2273</v>
      </c>
      <c r="L74" s="3">
        <v>0.69</v>
      </c>
      <c r="M74" s="3">
        <v>0</v>
      </c>
      <c r="N74" s="3">
        <v>0</v>
      </c>
      <c r="O74" s="3">
        <v>2</v>
      </c>
      <c r="P74" s="3">
        <v>2</v>
      </c>
    </row>
    <row r="75" spans="1:16" x14ac:dyDescent="0.3">
      <c r="A75" s="3">
        <v>693</v>
      </c>
      <c r="B75" s="4">
        <v>40575</v>
      </c>
      <c r="C75" s="3">
        <v>1</v>
      </c>
      <c r="D75" s="3">
        <v>0</v>
      </c>
      <c r="E75" s="3">
        <v>2</v>
      </c>
      <c r="F75" s="3">
        <v>5</v>
      </c>
      <c r="G75" s="3" t="b">
        <v>0</v>
      </c>
      <c r="H75" s="3">
        <v>2</v>
      </c>
      <c r="I75" s="3">
        <v>3</v>
      </c>
      <c r="J75" s="3">
        <v>0.14000000000000001</v>
      </c>
      <c r="K75" s="3">
        <v>0.21210000000000001</v>
      </c>
      <c r="L75" s="3">
        <v>0.93</v>
      </c>
      <c r="M75" s="3">
        <v>0</v>
      </c>
      <c r="N75" s="3">
        <v>0</v>
      </c>
      <c r="O75" s="3">
        <v>3</v>
      </c>
      <c r="P75" s="3">
        <v>3</v>
      </c>
    </row>
    <row r="76" spans="1:16" x14ac:dyDescent="0.3">
      <c r="A76" s="3">
        <v>694</v>
      </c>
      <c r="B76" s="4">
        <v>40575</v>
      </c>
      <c r="C76" s="3">
        <v>1</v>
      </c>
      <c r="D76" s="3">
        <v>0</v>
      </c>
      <c r="E76" s="3">
        <v>2</v>
      </c>
      <c r="F76" s="3">
        <v>6</v>
      </c>
      <c r="G76" s="3" t="b">
        <v>0</v>
      </c>
      <c r="H76" s="3">
        <v>2</v>
      </c>
      <c r="I76" s="3">
        <v>3</v>
      </c>
      <c r="J76" s="3">
        <v>0.14000000000000001</v>
      </c>
      <c r="K76" s="3">
        <v>0.21210000000000001</v>
      </c>
      <c r="L76" s="3">
        <v>0.93</v>
      </c>
      <c r="M76" s="3">
        <v>0</v>
      </c>
      <c r="N76" s="3">
        <v>0</v>
      </c>
      <c r="O76" s="3">
        <v>22</v>
      </c>
      <c r="P76" s="3">
        <v>22</v>
      </c>
    </row>
    <row r="77" spans="1:16" x14ac:dyDescent="0.3">
      <c r="A77" s="3">
        <v>695</v>
      </c>
      <c r="B77" s="4">
        <v>40575</v>
      </c>
      <c r="C77" s="3">
        <v>1</v>
      </c>
      <c r="D77" s="3">
        <v>0</v>
      </c>
      <c r="E77" s="3">
        <v>2</v>
      </c>
      <c r="F77" s="3">
        <v>7</v>
      </c>
      <c r="G77" s="3" t="b">
        <v>0</v>
      </c>
      <c r="H77" s="3">
        <v>2</v>
      </c>
      <c r="I77" s="3">
        <v>3</v>
      </c>
      <c r="J77" s="3">
        <v>0.16</v>
      </c>
      <c r="K77" s="3">
        <v>0.2273</v>
      </c>
      <c r="L77" s="3">
        <v>0.93</v>
      </c>
      <c r="M77" s="3">
        <v>0</v>
      </c>
      <c r="N77" s="3">
        <v>0</v>
      </c>
      <c r="O77" s="3">
        <v>52</v>
      </c>
      <c r="P77" s="3">
        <v>52</v>
      </c>
    </row>
    <row r="78" spans="1:16" x14ac:dyDescent="0.3">
      <c r="A78" s="3">
        <v>696</v>
      </c>
      <c r="B78" s="4">
        <v>40575</v>
      </c>
      <c r="C78" s="3">
        <v>1</v>
      </c>
      <c r="D78" s="3">
        <v>0</v>
      </c>
      <c r="E78" s="3">
        <v>2</v>
      </c>
      <c r="F78" s="3">
        <v>8</v>
      </c>
      <c r="G78" s="3" t="b">
        <v>0</v>
      </c>
      <c r="H78" s="3">
        <v>2</v>
      </c>
      <c r="I78" s="3">
        <v>3</v>
      </c>
      <c r="J78" s="3">
        <v>0.16</v>
      </c>
      <c r="K78" s="3">
        <v>0.2273</v>
      </c>
      <c r="L78" s="3">
        <v>0.93</v>
      </c>
      <c r="M78" s="3">
        <v>0</v>
      </c>
      <c r="N78" s="3">
        <v>3</v>
      </c>
      <c r="O78" s="3">
        <v>132</v>
      </c>
      <c r="P78" s="3">
        <v>135</v>
      </c>
    </row>
    <row r="79" spans="1:16" x14ac:dyDescent="0.3">
      <c r="A79" s="3">
        <v>697</v>
      </c>
      <c r="B79" s="4">
        <v>40575</v>
      </c>
      <c r="C79" s="3">
        <v>1</v>
      </c>
      <c r="D79" s="3">
        <v>0</v>
      </c>
      <c r="E79" s="3">
        <v>2</v>
      </c>
      <c r="F79" s="3">
        <v>9</v>
      </c>
      <c r="G79" s="3" t="b">
        <v>0</v>
      </c>
      <c r="H79" s="3">
        <v>2</v>
      </c>
      <c r="I79" s="3">
        <v>2</v>
      </c>
      <c r="J79" s="3">
        <v>0.16</v>
      </c>
      <c r="K79" s="3">
        <v>0.2273</v>
      </c>
      <c r="L79" s="3">
        <v>0.93</v>
      </c>
      <c r="M79" s="3">
        <v>0</v>
      </c>
      <c r="N79" s="3">
        <v>2</v>
      </c>
      <c r="O79" s="3">
        <v>114</v>
      </c>
      <c r="P79" s="3">
        <v>116</v>
      </c>
    </row>
    <row r="80" spans="1:16" x14ac:dyDescent="0.3">
      <c r="A80" s="3">
        <v>698</v>
      </c>
      <c r="B80" s="4">
        <v>40575</v>
      </c>
      <c r="C80" s="3">
        <v>1</v>
      </c>
      <c r="D80" s="3">
        <v>0</v>
      </c>
      <c r="E80" s="3">
        <v>2</v>
      </c>
      <c r="F80" s="3">
        <v>10</v>
      </c>
      <c r="G80" s="3" t="b">
        <v>0</v>
      </c>
      <c r="H80" s="3">
        <v>2</v>
      </c>
      <c r="I80" s="3">
        <v>2</v>
      </c>
      <c r="J80" s="3">
        <v>0.16</v>
      </c>
      <c r="K80" s="3">
        <v>0.2273</v>
      </c>
      <c r="L80" s="3">
        <v>0.93</v>
      </c>
      <c r="M80" s="3">
        <v>0</v>
      </c>
      <c r="N80" s="3">
        <v>0</v>
      </c>
      <c r="O80" s="3">
        <v>47</v>
      </c>
      <c r="P80" s="3">
        <v>47</v>
      </c>
    </row>
    <row r="81" spans="1:16" x14ac:dyDescent="0.3">
      <c r="A81" s="3">
        <v>699</v>
      </c>
      <c r="B81" s="4">
        <v>40575</v>
      </c>
      <c r="C81" s="3">
        <v>1</v>
      </c>
      <c r="D81" s="3">
        <v>0</v>
      </c>
      <c r="E81" s="3">
        <v>2</v>
      </c>
      <c r="F81" s="3">
        <v>11</v>
      </c>
      <c r="G81" s="3" t="b">
        <v>0</v>
      </c>
      <c r="H81" s="3">
        <v>2</v>
      </c>
      <c r="I81" s="3">
        <v>2</v>
      </c>
      <c r="J81" s="3">
        <v>0.18</v>
      </c>
      <c r="K81" s="3">
        <v>0.2424</v>
      </c>
      <c r="L81" s="3">
        <v>0.86</v>
      </c>
      <c r="M81" s="3">
        <v>0</v>
      </c>
      <c r="N81" s="3">
        <v>2</v>
      </c>
      <c r="O81" s="3">
        <v>49</v>
      </c>
      <c r="P81" s="3">
        <v>51</v>
      </c>
    </row>
    <row r="82" spans="1:16" x14ac:dyDescent="0.3">
      <c r="A82" s="3">
        <v>700</v>
      </c>
      <c r="B82" s="4">
        <v>40575</v>
      </c>
      <c r="C82" s="3">
        <v>1</v>
      </c>
      <c r="D82" s="3">
        <v>0</v>
      </c>
      <c r="E82" s="3">
        <v>2</v>
      </c>
      <c r="F82" s="3">
        <v>12</v>
      </c>
      <c r="G82" s="3" t="b">
        <v>0</v>
      </c>
      <c r="H82" s="3">
        <v>2</v>
      </c>
      <c r="I82" s="3">
        <v>2</v>
      </c>
      <c r="J82" s="3">
        <v>0.2</v>
      </c>
      <c r="K82" s="3">
        <v>0.2576</v>
      </c>
      <c r="L82" s="3">
        <v>0.86</v>
      </c>
      <c r="M82" s="3">
        <v>0</v>
      </c>
      <c r="N82" s="3">
        <v>2</v>
      </c>
      <c r="O82" s="3">
        <v>53</v>
      </c>
      <c r="P82" s="3">
        <v>55</v>
      </c>
    </row>
    <row r="83" spans="1:16" x14ac:dyDescent="0.3">
      <c r="A83" s="3">
        <v>701</v>
      </c>
      <c r="B83" s="4">
        <v>40575</v>
      </c>
      <c r="C83" s="3">
        <v>1</v>
      </c>
      <c r="D83" s="3">
        <v>0</v>
      </c>
      <c r="E83" s="3">
        <v>2</v>
      </c>
      <c r="F83" s="3">
        <v>13</v>
      </c>
      <c r="G83" s="3" t="b">
        <v>0</v>
      </c>
      <c r="H83" s="3">
        <v>2</v>
      </c>
      <c r="I83" s="3">
        <v>2</v>
      </c>
      <c r="J83" s="3">
        <v>0.2</v>
      </c>
      <c r="K83" s="3">
        <v>0.2576</v>
      </c>
      <c r="L83" s="3">
        <v>0.86</v>
      </c>
      <c r="M83" s="3">
        <v>0</v>
      </c>
      <c r="N83" s="3">
        <v>3</v>
      </c>
      <c r="O83" s="3">
        <v>49</v>
      </c>
      <c r="P83" s="3">
        <v>52</v>
      </c>
    </row>
    <row r="84" spans="1:16" x14ac:dyDescent="0.3">
      <c r="A84" s="3">
        <v>702</v>
      </c>
      <c r="B84" s="4">
        <v>40575</v>
      </c>
      <c r="C84" s="3">
        <v>1</v>
      </c>
      <c r="D84" s="3">
        <v>0</v>
      </c>
      <c r="E84" s="3">
        <v>2</v>
      </c>
      <c r="F84" s="3">
        <v>14</v>
      </c>
      <c r="G84" s="3" t="b">
        <v>0</v>
      </c>
      <c r="H84" s="3">
        <v>2</v>
      </c>
      <c r="I84" s="3">
        <v>2</v>
      </c>
      <c r="J84" s="3">
        <v>0.22</v>
      </c>
      <c r="K84" s="3">
        <v>0.2576</v>
      </c>
      <c r="L84" s="3">
        <v>0.8</v>
      </c>
      <c r="M84" s="3">
        <v>8.9599999999999999E-2</v>
      </c>
      <c r="N84" s="3">
        <v>5</v>
      </c>
      <c r="O84" s="3">
        <v>49</v>
      </c>
      <c r="P84" s="3">
        <v>54</v>
      </c>
    </row>
    <row r="85" spans="1:16" x14ac:dyDescent="0.3">
      <c r="A85" s="3">
        <v>703</v>
      </c>
      <c r="B85" s="4">
        <v>40575</v>
      </c>
      <c r="C85" s="3">
        <v>1</v>
      </c>
      <c r="D85" s="3">
        <v>0</v>
      </c>
      <c r="E85" s="3">
        <v>2</v>
      </c>
      <c r="F85" s="3">
        <v>15</v>
      </c>
      <c r="G85" s="3" t="b">
        <v>0</v>
      </c>
      <c r="H85" s="3">
        <v>2</v>
      </c>
      <c r="I85" s="3">
        <v>2</v>
      </c>
      <c r="J85" s="3">
        <v>0.24</v>
      </c>
      <c r="K85" s="3">
        <v>0.28789999999999999</v>
      </c>
      <c r="L85" s="3">
        <v>0.75</v>
      </c>
      <c r="M85" s="3">
        <v>0</v>
      </c>
      <c r="N85" s="3">
        <v>7</v>
      </c>
      <c r="O85" s="3">
        <v>45</v>
      </c>
      <c r="P85" s="3">
        <v>52</v>
      </c>
    </row>
    <row r="86" spans="1:16" x14ac:dyDescent="0.3">
      <c r="A86" s="3">
        <v>704</v>
      </c>
      <c r="B86" s="4">
        <v>40575</v>
      </c>
      <c r="C86" s="3">
        <v>1</v>
      </c>
      <c r="D86" s="3">
        <v>0</v>
      </c>
      <c r="E86" s="3">
        <v>2</v>
      </c>
      <c r="F86" s="3">
        <v>16</v>
      </c>
      <c r="G86" s="3" t="b">
        <v>0</v>
      </c>
      <c r="H86" s="3">
        <v>2</v>
      </c>
      <c r="I86" s="3">
        <v>2</v>
      </c>
      <c r="J86" s="3">
        <v>0.24</v>
      </c>
      <c r="K86" s="3">
        <v>0.2424</v>
      </c>
      <c r="L86" s="3">
        <v>0.75</v>
      </c>
      <c r="M86" s="3">
        <v>0.1343</v>
      </c>
      <c r="N86" s="3">
        <v>3</v>
      </c>
      <c r="O86" s="3">
        <v>61</v>
      </c>
      <c r="P86" s="3">
        <v>64</v>
      </c>
    </row>
    <row r="87" spans="1:16" x14ac:dyDescent="0.3">
      <c r="A87" s="3">
        <v>705</v>
      </c>
      <c r="B87" s="4">
        <v>40575</v>
      </c>
      <c r="C87" s="3">
        <v>1</v>
      </c>
      <c r="D87" s="3">
        <v>0</v>
      </c>
      <c r="E87" s="3">
        <v>2</v>
      </c>
      <c r="F87" s="3">
        <v>17</v>
      </c>
      <c r="G87" s="3" t="b">
        <v>0</v>
      </c>
      <c r="H87" s="3">
        <v>2</v>
      </c>
      <c r="I87" s="3">
        <v>2</v>
      </c>
      <c r="J87" s="3">
        <v>0.24</v>
      </c>
      <c r="K87" s="3">
        <v>0.28789999999999999</v>
      </c>
      <c r="L87" s="3">
        <v>0.75</v>
      </c>
      <c r="M87" s="3">
        <v>0</v>
      </c>
      <c r="N87" s="3">
        <v>4</v>
      </c>
      <c r="O87" s="3">
        <v>172</v>
      </c>
      <c r="P87" s="3">
        <v>176</v>
      </c>
    </row>
    <row r="88" spans="1:16" x14ac:dyDescent="0.3">
      <c r="A88" s="3">
        <v>706</v>
      </c>
      <c r="B88" s="4">
        <v>40575</v>
      </c>
      <c r="C88" s="3">
        <v>1</v>
      </c>
      <c r="D88" s="3">
        <v>0</v>
      </c>
      <c r="E88" s="3">
        <v>2</v>
      </c>
      <c r="F88" s="3">
        <v>18</v>
      </c>
      <c r="G88" s="3" t="b">
        <v>0</v>
      </c>
      <c r="H88" s="3">
        <v>2</v>
      </c>
      <c r="I88" s="3">
        <v>2</v>
      </c>
      <c r="J88" s="3">
        <v>0.24</v>
      </c>
      <c r="K88" s="3">
        <v>0.2576</v>
      </c>
      <c r="L88" s="3">
        <v>0.81</v>
      </c>
      <c r="M88" s="3">
        <v>0.1045</v>
      </c>
      <c r="N88" s="3">
        <v>3</v>
      </c>
      <c r="O88" s="3">
        <v>165</v>
      </c>
      <c r="P88" s="3">
        <v>168</v>
      </c>
    </row>
    <row r="89" spans="1:16" x14ac:dyDescent="0.3">
      <c r="A89" s="3">
        <v>707</v>
      </c>
      <c r="B89" s="4">
        <v>40575</v>
      </c>
      <c r="C89" s="3">
        <v>1</v>
      </c>
      <c r="D89" s="3">
        <v>0</v>
      </c>
      <c r="E89" s="3">
        <v>2</v>
      </c>
      <c r="F89" s="3">
        <v>19</v>
      </c>
      <c r="G89" s="3" t="b">
        <v>0</v>
      </c>
      <c r="H89" s="3">
        <v>2</v>
      </c>
      <c r="I89" s="3">
        <v>2</v>
      </c>
      <c r="J89" s="3">
        <v>0.24</v>
      </c>
      <c r="K89" s="3">
        <v>0.2424</v>
      </c>
      <c r="L89" s="3">
        <v>0.81</v>
      </c>
      <c r="M89" s="3">
        <v>0.1343</v>
      </c>
      <c r="N89" s="3">
        <v>3</v>
      </c>
      <c r="O89" s="3">
        <v>105</v>
      </c>
      <c r="P89" s="3">
        <v>108</v>
      </c>
    </row>
    <row r="90" spans="1:16" x14ac:dyDescent="0.3">
      <c r="A90" s="3">
        <v>708</v>
      </c>
      <c r="B90" s="4">
        <v>40575</v>
      </c>
      <c r="C90" s="3">
        <v>1</v>
      </c>
      <c r="D90" s="3">
        <v>0</v>
      </c>
      <c r="E90" s="3">
        <v>2</v>
      </c>
      <c r="F90" s="3">
        <v>20</v>
      </c>
      <c r="G90" s="3" t="b">
        <v>0</v>
      </c>
      <c r="H90" s="3">
        <v>2</v>
      </c>
      <c r="I90" s="3">
        <v>2</v>
      </c>
      <c r="J90" s="3">
        <v>0.22</v>
      </c>
      <c r="K90" s="3">
        <v>0.2273</v>
      </c>
      <c r="L90" s="3">
        <v>0.87</v>
      </c>
      <c r="M90" s="3">
        <v>0.1343</v>
      </c>
      <c r="N90" s="3">
        <v>5</v>
      </c>
      <c r="O90" s="3">
        <v>69</v>
      </c>
      <c r="P90" s="3">
        <v>74</v>
      </c>
    </row>
    <row r="91" spans="1:16" x14ac:dyDescent="0.3">
      <c r="A91" s="3">
        <v>709</v>
      </c>
      <c r="B91" s="4">
        <v>40575</v>
      </c>
      <c r="C91" s="3">
        <v>1</v>
      </c>
      <c r="D91" s="3">
        <v>0</v>
      </c>
      <c r="E91" s="3">
        <v>2</v>
      </c>
      <c r="F91" s="3">
        <v>21</v>
      </c>
      <c r="G91" s="3" t="b">
        <v>0</v>
      </c>
      <c r="H91" s="3">
        <v>2</v>
      </c>
      <c r="I91" s="3">
        <v>2</v>
      </c>
      <c r="J91" s="3">
        <v>0.22</v>
      </c>
      <c r="K91" s="3">
        <v>0.2273</v>
      </c>
      <c r="L91" s="3">
        <v>0.87</v>
      </c>
      <c r="M91" s="3">
        <v>0.1343</v>
      </c>
      <c r="N91" s="3">
        <v>0</v>
      </c>
      <c r="O91" s="3">
        <v>64</v>
      </c>
      <c r="P91" s="3">
        <v>64</v>
      </c>
    </row>
    <row r="92" spans="1:16" x14ac:dyDescent="0.3">
      <c r="A92" s="3">
        <v>710</v>
      </c>
      <c r="B92" s="4">
        <v>40575</v>
      </c>
      <c r="C92" s="3">
        <v>1</v>
      </c>
      <c r="D92" s="3">
        <v>0</v>
      </c>
      <c r="E92" s="3">
        <v>2</v>
      </c>
      <c r="F92" s="3">
        <v>22</v>
      </c>
      <c r="G92" s="3" t="b">
        <v>0</v>
      </c>
      <c r="H92" s="3">
        <v>2</v>
      </c>
      <c r="I92" s="3">
        <v>2</v>
      </c>
      <c r="J92" s="3">
        <v>0.22</v>
      </c>
      <c r="K92" s="3">
        <v>0.2576</v>
      </c>
      <c r="L92" s="3">
        <v>0.87</v>
      </c>
      <c r="M92" s="3">
        <v>8.9599999999999999E-2</v>
      </c>
      <c r="N92" s="3">
        <v>2</v>
      </c>
      <c r="O92" s="3">
        <v>34</v>
      </c>
      <c r="P92" s="3">
        <v>36</v>
      </c>
    </row>
    <row r="93" spans="1:16" x14ac:dyDescent="0.3">
      <c r="A93" s="3">
        <v>711</v>
      </c>
      <c r="B93" s="4">
        <v>40575</v>
      </c>
      <c r="C93" s="3">
        <v>1</v>
      </c>
      <c r="D93" s="3">
        <v>0</v>
      </c>
      <c r="E93" s="3">
        <v>2</v>
      </c>
      <c r="F93" s="3">
        <v>23</v>
      </c>
      <c r="G93" s="3" t="b">
        <v>0</v>
      </c>
      <c r="H93" s="3">
        <v>2</v>
      </c>
      <c r="I93" s="3">
        <v>3</v>
      </c>
      <c r="J93" s="3">
        <v>0.2</v>
      </c>
      <c r="K93" s="3">
        <v>0.19700000000000001</v>
      </c>
      <c r="L93" s="3">
        <v>0.93</v>
      </c>
      <c r="M93" s="3">
        <v>0.19400000000000001</v>
      </c>
      <c r="N93" s="3">
        <v>1</v>
      </c>
      <c r="O93" s="3">
        <v>15</v>
      </c>
      <c r="P93" s="3">
        <v>16</v>
      </c>
    </row>
    <row r="94" spans="1:16" x14ac:dyDescent="0.3">
      <c r="A94" s="3">
        <v>712</v>
      </c>
      <c r="B94" s="4">
        <v>40576</v>
      </c>
      <c r="C94" s="3">
        <v>1</v>
      </c>
      <c r="D94" s="3">
        <v>0</v>
      </c>
      <c r="E94" s="3">
        <v>2</v>
      </c>
      <c r="F94" s="3">
        <v>0</v>
      </c>
      <c r="G94" s="3" t="b">
        <v>0</v>
      </c>
      <c r="H94" s="3">
        <v>3</v>
      </c>
      <c r="I94" s="3">
        <v>3</v>
      </c>
      <c r="J94" s="3">
        <v>0.22</v>
      </c>
      <c r="K94" s="3">
        <v>0.2424</v>
      </c>
      <c r="L94" s="3">
        <v>0.93</v>
      </c>
      <c r="M94" s="3">
        <v>0.1045</v>
      </c>
      <c r="N94" s="3">
        <v>0</v>
      </c>
      <c r="O94" s="3">
        <v>2</v>
      </c>
      <c r="P94" s="3">
        <v>2</v>
      </c>
    </row>
    <row r="95" spans="1:16" x14ac:dyDescent="0.3">
      <c r="A95" s="3">
        <v>713</v>
      </c>
      <c r="B95" s="4">
        <v>40576</v>
      </c>
      <c r="C95" s="3">
        <v>1</v>
      </c>
      <c r="D95" s="3">
        <v>0</v>
      </c>
      <c r="E95" s="3">
        <v>2</v>
      </c>
      <c r="F95" s="3">
        <v>1</v>
      </c>
      <c r="G95" s="3" t="b">
        <v>0</v>
      </c>
      <c r="H95" s="3">
        <v>3</v>
      </c>
      <c r="I95" s="3">
        <v>3</v>
      </c>
      <c r="J95" s="3">
        <v>0.22</v>
      </c>
      <c r="K95" s="3">
        <v>0.2273</v>
      </c>
      <c r="L95" s="3">
        <v>0.93</v>
      </c>
      <c r="M95" s="3">
        <v>0.19400000000000001</v>
      </c>
      <c r="N95" s="3">
        <v>0</v>
      </c>
      <c r="O95" s="3">
        <v>3</v>
      </c>
      <c r="P95" s="3">
        <v>3</v>
      </c>
    </row>
    <row r="96" spans="1:16" x14ac:dyDescent="0.3">
      <c r="A96" s="3">
        <v>714</v>
      </c>
      <c r="B96" s="4">
        <v>40576</v>
      </c>
      <c r="C96" s="3">
        <v>1</v>
      </c>
      <c r="D96" s="3">
        <v>0</v>
      </c>
      <c r="E96" s="3">
        <v>2</v>
      </c>
      <c r="F96" s="3">
        <v>2</v>
      </c>
      <c r="G96" s="3" t="b">
        <v>0</v>
      </c>
      <c r="H96" s="3">
        <v>3</v>
      </c>
      <c r="I96" s="3">
        <v>3</v>
      </c>
      <c r="J96" s="3">
        <v>0.22</v>
      </c>
      <c r="K96" s="3">
        <v>0.2273</v>
      </c>
      <c r="L96" s="3">
        <v>0.93</v>
      </c>
      <c r="M96" s="3">
        <v>0.1343</v>
      </c>
      <c r="N96" s="3">
        <v>4</v>
      </c>
      <c r="O96" s="3">
        <v>0</v>
      </c>
      <c r="P96" s="3">
        <v>4</v>
      </c>
    </row>
    <row r="97" spans="1:16" x14ac:dyDescent="0.3">
      <c r="A97" s="3">
        <v>715</v>
      </c>
      <c r="B97" s="4">
        <v>40576</v>
      </c>
      <c r="C97" s="3">
        <v>1</v>
      </c>
      <c r="D97" s="3">
        <v>0</v>
      </c>
      <c r="E97" s="3">
        <v>2</v>
      </c>
      <c r="F97" s="3">
        <v>3</v>
      </c>
      <c r="G97" s="3" t="b">
        <v>0</v>
      </c>
      <c r="H97" s="3">
        <v>3</v>
      </c>
      <c r="I97" s="3">
        <v>3</v>
      </c>
      <c r="J97" s="3">
        <v>0.22</v>
      </c>
      <c r="K97" s="3">
        <v>0.2273</v>
      </c>
      <c r="L97" s="3">
        <v>0.93</v>
      </c>
      <c r="M97" s="3">
        <v>0.1343</v>
      </c>
      <c r="N97" s="3">
        <v>0</v>
      </c>
      <c r="O97" s="3">
        <v>1</v>
      </c>
      <c r="P97" s="3">
        <v>1</v>
      </c>
    </row>
    <row r="98" spans="1:16" x14ac:dyDescent="0.3">
      <c r="A98" s="3">
        <v>716</v>
      </c>
      <c r="B98" s="4">
        <v>40576</v>
      </c>
      <c r="C98" s="3">
        <v>1</v>
      </c>
      <c r="D98" s="3">
        <v>0</v>
      </c>
      <c r="E98" s="3">
        <v>2</v>
      </c>
      <c r="F98" s="3">
        <v>4</v>
      </c>
      <c r="G98" s="3" t="b">
        <v>0</v>
      </c>
      <c r="H98" s="3">
        <v>3</v>
      </c>
      <c r="I98" s="3">
        <v>3</v>
      </c>
      <c r="J98" s="3">
        <v>0.22</v>
      </c>
      <c r="K98" s="3">
        <v>0.21210000000000001</v>
      </c>
      <c r="L98" s="3">
        <v>0.93</v>
      </c>
      <c r="M98" s="3">
        <v>0.28360000000000002</v>
      </c>
      <c r="N98" s="3">
        <v>0</v>
      </c>
      <c r="O98" s="3">
        <v>1</v>
      </c>
      <c r="P98" s="3">
        <v>1</v>
      </c>
    </row>
    <row r="99" spans="1:16" x14ac:dyDescent="0.3">
      <c r="A99" s="3">
        <v>717</v>
      </c>
      <c r="B99" s="4">
        <v>40576</v>
      </c>
      <c r="C99" s="3">
        <v>1</v>
      </c>
      <c r="D99" s="3">
        <v>0</v>
      </c>
      <c r="E99" s="3">
        <v>2</v>
      </c>
      <c r="F99" s="3">
        <v>5</v>
      </c>
      <c r="G99" s="3" t="b">
        <v>0</v>
      </c>
      <c r="H99" s="3">
        <v>3</v>
      </c>
      <c r="I99" s="3">
        <v>3</v>
      </c>
      <c r="J99" s="3">
        <v>0.22</v>
      </c>
      <c r="K99" s="3">
        <v>0.2424</v>
      </c>
      <c r="L99" s="3">
        <v>0.93</v>
      </c>
      <c r="M99" s="3">
        <v>0.1045</v>
      </c>
      <c r="N99" s="3">
        <v>0</v>
      </c>
      <c r="O99" s="3">
        <v>3</v>
      </c>
      <c r="P99" s="3">
        <v>3</v>
      </c>
    </row>
    <row r="100" spans="1:16" x14ac:dyDescent="0.3">
      <c r="A100" s="3">
        <v>718</v>
      </c>
      <c r="B100" s="4">
        <v>40576</v>
      </c>
      <c r="C100" s="3">
        <v>1</v>
      </c>
      <c r="D100" s="3">
        <v>0</v>
      </c>
      <c r="E100" s="3">
        <v>2</v>
      </c>
      <c r="F100" s="3">
        <v>6</v>
      </c>
      <c r="G100" s="3" t="b">
        <v>0</v>
      </c>
      <c r="H100" s="3">
        <v>3</v>
      </c>
      <c r="I100" s="3">
        <v>3</v>
      </c>
      <c r="J100" s="3">
        <v>0.22</v>
      </c>
      <c r="K100" s="3">
        <v>0.2424</v>
      </c>
      <c r="L100" s="3">
        <v>0.93</v>
      </c>
      <c r="M100" s="3">
        <v>0.1045</v>
      </c>
      <c r="N100" s="3">
        <v>1</v>
      </c>
      <c r="O100" s="3">
        <v>17</v>
      </c>
      <c r="P100" s="3">
        <v>18</v>
      </c>
    </row>
    <row r="101" spans="1:16" x14ac:dyDescent="0.3">
      <c r="A101" s="3">
        <v>719</v>
      </c>
      <c r="B101" s="4">
        <v>40576</v>
      </c>
      <c r="C101" s="3">
        <v>1</v>
      </c>
      <c r="D101" s="3">
        <v>0</v>
      </c>
      <c r="E101" s="3">
        <v>2</v>
      </c>
      <c r="F101" s="3">
        <v>7</v>
      </c>
      <c r="G101" s="3" t="b">
        <v>0</v>
      </c>
      <c r="H101" s="3">
        <v>3</v>
      </c>
      <c r="I101" s="3">
        <v>3</v>
      </c>
      <c r="J101" s="3">
        <v>0.22</v>
      </c>
      <c r="K101" s="3">
        <v>0.21210000000000001</v>
      </c>
      <c r="L101" s="3">
        <v>0.93</v>
      </c>
      <c r="M101" s="3">
        <v>0.22389999999999999</v>
      </c>
      <c r="N101" s="3">
        <v>1</v>
      </c>
      <c r="O101" s="3">
        <v>48</v>
      </c>
      <c r="P101" s="3">
        <v>49</v>
      </c>
    </row>
    <row r="102" spans="1:16" x14ac:dyDescent="0.3">
      <c r="A102" s="3">
        <v>720</v>
      </c>
      <c r="B102" s="4">
        <v>40576</v>
      </c>
      <c r="C102" s="3">
        <v>1</v>
      </c>
      <c r="D102" s="3">
        <v>0</v>
      </c>
      <c r="E102" s="3">
        <v>2</v>
      </c>
      <c r="F102" s="3">
        <v>8</v>
      </c>
      <c r="G102" s="3" t="b">
        <v>0</v>
      </c>
      <c r="H102" s="3">
        <v>3</v>
      </c>
      <c r="I102" s="3">
        <v>3</v>
      </c>
      <c r="J102" s="3">
        <v>0.22</v>
      </c>
      <c r="K102" s="3">
        <v>0.21210000000000001</v>
      </c>
      <c r="L102" s="3">
        <v>0.93</v>
      </c>
      <c r="M102" s="3">
        <v>0.22389999999999999</v>
      </c>
      <c r="N102" s="3">
        <v>1</v>
      </c>
      <c r="O102" s="3">
        <v>154</v>
      </c>
      <c r="P102" s="3">
        <v>155</v>
      </c>
    </row>
    <row r="103" spans="1:16" x14ac:dyDescent="0.3">
      <c r="A103" s="3">
        <v>721</v>
      </c>
      <c r="B103" s="4">
        <v>40576</v>
      </c>
      <c r="C103" s="3">
        <v>1</v>
      </c>
      <c r="D103" s="3">
        <v>0</v>
      </c>
      <c r="E103" s="3">
        <v>2</v>
      </c>
      <c r="F103" s="3">
        <v>9</v>
      </c>
      <c r="G103" s="3" t="b">
        <v>0</v>
      </c>
      <c r="H103" s="3">
        <v>3</v>
      </c>
      <c r="I103" s="3">
        <v>2</v>
      </c>
      <c r="J103" s="3">
        <v>0.24</v>
      </c>
      <c r="K103" s="3">
        <v>0.2576</v>
      </c>
      <c r="L103" s="3">
        <v>0.93</v>
      </c>
      <c r="M103" s="3">
        <v>8.9599999999999999E-2</v>
      </c>
      <c r="N103" s="3">
        <v>4</v>
      </c>
      <c r="O103" s="3">
        <v>119</v>
      </c>
      <c r="P103" s="3">
        <v>123</v>
      </c>
    </row>
    <row r="104" spans="1:16" x14ac:dyDescent="0.3">
      <c r="A104" s="3">
        <v>722</v>
      </c>
      <c r="B104" s="4">
        <v>40576</v>
      </c>
      <c r="C104" s="3">
        <v>1</v>
      </c>
      <c r="D104" s="3">
        <v>0</v>
      </c>
      <c r="E104" s="3">
        <v>2</v>
      </c>
      <c r="F104" s="3">
        <v>10</v>
      </c>
      <c r="G104" s="3" t="b">
        <v>0</v>
      </c>
      <c r="H104" s="3">
        <v>3</v>
      </c>
      <c r="I104" s="3">
        <v>2</v>
      </c>
      <c r="J104" s="3">
        <v>0.22</v>
      </c>
      <c r="K104" s="3">
        <v>0.2727</v>
      </c>
      <c r="L104" s="3">
        <v>1</v>
      </c>
      <c r="M104" s="3">
        <v>0</v>
      </c>
      <c r="N104" s="3">
        <v>2</v>
      </c>
      <c r="O104" s="3">
        <v>59</v>
      </c>
      <c r="P104" s="3">
        <v>61</v>
      </c>
    </row>
    <row r="105" spans="1:16" x14ac:dyDescent="0.3">
      <c r="A105" s="3">
        <v>723</v>
      </c>
      <c r="B105" s="4">
        <v>40576</v>
      </c>
      <c r="C105" s="3">
        <v>1</v>
      </c>
      <c r="D105" s="3">
        <v>0</v>
      </c>
      <c r="E105" s="3">
        <v>2</v>
      </c>
      <c r="F105" s="3">
        <v>11</v>
      </c>
      <c r="G105" s="3" t="b">
        <v>0</v>
      </c>
      <c r="H105" s="3">
        <v>3</v>
      </c>
      <c r="I105" s="3">
        <v>2</v>
      </c>
      <c r="J105" s="3">
        <v>0.24</v>
      </c>
      <c r="K105" s="3">
        <v>0.2273</v>
      </c>
      <c r="L105" s="3">
        <v>0.93</v>
      </c>
      <c r="M105" s="3">
        <v>0.19400000000000001</v>
      </c>
      <c r="N105" s="3">
        <v>5</v>
      </c>
      <c r="O105" s="3">
        <v>47</v>
      </c>
      <c r="P105" s="3">
        <v>52</v>
      </c>
    </row>
    <row r="106" spans="1:16" x14ac:dyDescent="0.3">
      <c r="A106" s="3">
        <v>724</v>
      </c>
      <c r="B106" s="4">
        <v>40576</v>
      </c>
      <c r="C106" s="3">
        <v>1</v>
      </c>
      <c r="D106" s="3">
        <v>0</v>
      </c>
      <c r="E106" s="3">
        <v>2</v>
      </c>
      <c r="F106" s="3">
        <v>12</v>
      </c>
      <c r="G106" s="3" t="b">
        <v>0</v>
      </c>
      <c r="H106" s="3">
        <v>3</v>
      </c>
      <c r="I106" s="3">
        <v>2</v>
      </c>
      <c r="J106" s="3">
        <v>0.24</v>
      </c>
      <c r="K106" s="3">
        <v>0.2273</v>
      </c>
      <c r="L106" s="3">
        <v>0.93</v>
      </c>
      <c r="M106" s="3">
        <v>0.22389999999999999</v>
      </c>
      <c r="N106" s="3">
        <v>3</v>
      </c>
      <c r="O106" s="3">
        <v>61</v>
      </c>
      <c r="P106" s="3">
        <v>64</v>
      </c>
    </row>
    <row r="107" spans="1:16" x14ac:dyDescent="0.3">
      <c r="A107" s="3">
        <v>725</v>
      </c>
      <c r="B107" s="4">
        <v>40576</v>
      </c>
      <c r="C107" s="3">
        <v>1</v>
      </c>
      <c r="D107" s="3">
        <v>0</v>
      </c>
      <c r="E107" s="3">
        <v>2</v>
      </c>
      <c r="F107" s="3">
        <v>13</v>
      </c>
      <c r="G107" s="3" t="b">
        <v>0</v>
      </c>
      <c r="H107" s="3">
        <v>3</v>
      </c>
      <c r="I107" s="3">
        <v>1</v>
      </c>
      <c r="J107" s="3">
        <v>0.34</v>
      </c>
      <c r="K107" s="3">
        <v>0.33329999999999999</v>
      </c>
      <c r="L107" s="3">
        <v>0.93</v>
      </c>
      <c r="M107" s="3">
        <v>0.16420000000000001</v>
      </c>
      <c r="N107" s="3">
        <v>1</v>
      </c>
      <c r="O107" s="3">
        <v>74</v>
      </c>
      <c r="P107" s="3">
        <v>75</v>
      </c>
    </row>
    <row r="108" spans="1:16" x14ac:dyDescent="0.3">
      <c r="A108" s="3">
        <v>726</v>
      </c>
      <c r="B108" s="4">
        <v>40576</v>
      </c>
      <c r="C108" s="3">
        <v>1</v>
      </c>
      <c r="D108" s="3">
        <v>0</v>
      </c>
      <c r="E108" s="3">
        <v>2</v>
      </c>
      <c r="F108" s="3">
        <v>14</v>
      </c>
      <c r="G108" s="3" t="b">
        <v>0</v>
      </c>
      <c r="H108" s="3">
        <v>3</v>
      </c>
      <c r="I108" s="3">
        <v>1</v>
      </c>
      <c r="J108" s="3">
        <v>0.38</v>
      </c>
      <c r="K108" s="3">
        <v>0.39389999999999997</v>
      </c>
      <c r="L108" s="3">
        <v>0.82</v>
      </c>
      <c r="M108" s="3">
        <v>0.3881</v>
      </c>
      <c r="N108" s="3">
        <v>2</v>
      </c>
      <c r="O108" s="3">
        <v>61</v>
      </c>
      <c r="P108" s="3">
        <v>63</v>
      </c>
    </row>
    <row r="109" spans="1:16" x14ac:dyDescent="0.3">
      <c r="A109" s="3">
        <v>727</v>
      </c>
      <c r="B109" s="4">
        <v>40576</v>
      </c>
      <c r="C109" s="3">
        <v>1</v>
      </c>
      <c r="D109" s="3">
        <v>0</v>
      </c>
      <c r="E109" s="3">
        <v>2</v>
      </c>
      <c r="F109" s="3">
        <v>15</v>
      </c>
      <c r="G109" s="3" t="b">
        <v>0</v>
      </c>
      <c r="H109" s="3">
        <v>3</v>
      </c>
      <c r="I109" s="3">
        <v>1</v>
      </c>
      <c r="J109" s="3">
        <v>0.38</v>
      </c>
      <c r="K109" s="3">
        <v>0.39389999999999997</v>
      </c>
      <c r="L109" s="3">
        <v>0.76</v>
      </c>
      <c r="M109" s="3">
        <v>0.32840000000000003</v>
      </c>
      <c r="N109" s="3">
        <v>10</v>
      </c>
      <c r="O109" s="3">
        <v>66</v>
      </c>
      <c r="P109" s="3">
        <v>76</v>
      </c>
    </row>
    <row r="110" spans="1:16" x14ac:dyDescent="0.3">
      <c r="A110" s="3">
        <v>728</v>
      </c>
      <c r="B110" s="4">
        <v>40576</v>
      </c>
      <c r="C110" s="3">
        <v>1</v>
      </c>
      <c r="D110" s="3">
        <v>0</v>
      </c>
      <c r="E110" s="3">
        <v>2</v>
      </c>
      <c r="F110" s="3">
        <v>16</v>
      </c>
      <c r="G110" s="3" t="b">
        <v>0</v>
      </c>
      <c r="H110" s="3">
        <v>3</v>
      </c>
      <c r="I110" s="3">
        <v>1</v>
      </c>
      <c r="J110" s="3">
        <v>0.36</v>
      </c>
      <c r="K110" s="3">
        <v>0.33329999999999999</v>
      </c>
      <c r="L110" s="3">
        <v>0.71</v>
      </c>
      <c r="M110" s="3">
        <v>0.29849999999999999</v>
      </c>
      <c r="N110" s="3">
        <v>8</v>
      </c>
      <c r="O110" s="3">
        <v>95</v>
      </c>
      <c r="P110" s="3">
        <v>103</v>
      </c>
    </row>
    <row r="111" spans="1:16" x14ac:dyDescent="0.3">
      <c r="A111" s="3">
        <v>729</v>
      </c>
      <c r="B111" s="4">
        <v>40576</v>
      </c>
      <c r="C111" s="3">
        <v>1</v>
      </c>
      <c r="D111" s="3">
        <v>0</v>
      </c>
      <c r="E111" s="3">
        <v>2</v>
      </c>
      <c r="F111" s="3">
        <v>17</v>
      </c>
      <c r="G111" s="3" t="b">
        <v>0</v>
      </c>
      <c r="H111" s="3">
        <v>3</v>
      </c>
      <c r="I111" s="3">
        <v>1</v>
      </c>
      <c r="J111" s="3">
        <v>0.36</v>
      </c>
      <c r="K111" s="3">
        <v>0.31819999999999998</v>
      </c>
      <c r="L111" s="3">
        <v>0.53</v>
      </c>
      <c r="M111" s="3">
        <v>0.52239999999999998</v>
      </c>
      <c r="N111" s="3">
        <v>7</v>
      </c>
      <c r="O111" s="3">
        <v>183</v>
      </c>
      <c r="P111" s="3">
        <v>190</v>
      </c>
    </row>
    <row r="112" spans="1:16" x14ac:dyDescent="0.3">
      <c r="A112" s="3">
        <v>730</v>
      </c>
      <c r="B112" s="4">
        <v>40576</v>
      </c>
      <c r="C112" s="3">
        <v>1</v>
      </c>
      <c r="D112" s="3">
        <v>0</v>
      </c>
      <c r="E112" s="3">
        <v>2</v>
      </c>
      <c r="F112" s="3">
        <v>18</v>
      </c>
      <c r="G112" s="3" t="b">
        <v>0</v>
      </c>
      <c r="H112" s="3">
        <v>3</v>
      </c>
      <c r="I112" s="3">
        <v>1</v>
      </c>
      <c r="J112" s="3">
        <v>0.34</v>
      </c>
      <c r="K112" s="3">
        <v>0.28789999999999999</v>
      </c>
      <c r="L112" s="3">
        <v>0.42</v>
      </c>
      <c r="M112" s="3">
        <v>0.55220000000000002</v>
      </c>
      <c r="N112" s="3">
        <v>7</v>
      </c>
      <c r="O112" s="3">
        <v>175</v>
      </c>
      <c r="P112" s="3">
        <v>182</v>
      </c>
    </row>
    <row r="113" spans="1:16" x14ac:dyDescent="0.3">
      <c r="A113" s="3">
        <v>731</v>
      </c>
      <c r="B113" s="4">
        <v>40576</v>
      </c>
      <c r="C113" s="3">
        <v>1</v>
      </c>
      <c r="D113" s="3">
        <v>0</v>
      </c>
      <c r="E113" s="3">
        <v>2</v>
      </c>
      <c r="F113" s="3">
        <v>19</v>
      </c>
      <c r="G113" s="3" t="b">
        <v>0</v>
      </c>
      <c r="H113" s="3">
        <v>3</v>
      </c>
      <c r="I113" s="3">
        <v>1</v>
      </c>
      <c r="J113" s="3">
        <v>0.28000000000000003</v>
      </c>
      <c r="K113" s="3">
        <v>0.2424</v>
      </c>
      <c r="L113" s="3">
        <v>0.45</v>
      </c>
      <c r="M113" s="3">
        <v>0.49249999999999999</v>
      </c>
      <c r="N113" s="3">
        <v>3</v>
      </c>
      <c r="O113" s="3">
        <v>88</v>
      </c>
      <c r="P113" s="3">
        <v>91</v>
      </c>
    </row>
    <row r="114" spans="1:16" x14ac:dyDescent="0.3">
      <c r="A114" s="3">
        <v>732</v>
      </c>
      <c r="B114" s="4">
        <v>40576</v>
      </c>
      <c r="C114" s="3">
        <v>1</v>
      </c>
      <c r="D114" s="3">
        <v>0</v>
      </c>
      <c r="E114" s="3">
        <v>2</v>
      </c>
      <c r="F114" s="3">
        <v>20</v>
      </c>
      <c r="G114" s="3" t="b">
        <v>0</v>
      </c>
      <c r="H114" s="3">
        <v>3</v>
      </c>
      <c r="I114" s="3">
        <v>1</v>
      </c>
      <c r="J114" s="3">
        <v>0.24</v>
      </c>
      <c r="K114" s="3">
        <v>0.19700000000000001</v>
      </c>
      <c r="L114" s="3">
        <v>0.48</v>
      </c>
      <c r="M114" s="3">
        <v>0.55220000000000002</v>
      </c>
      <c r="N114" s="3">
        <v>4</v>
      </c>
      <c r="O114" s="3">
        <v>71</v>
      </c>
      <c r="P114" s="3">
        <v>75</v>
      </c>
    </row>
    <row r="115" spans="1:16" x14ac:dyDescent="0.3">
      <c r="A115" s="3">
        <v>733</v>
      </c>
      <c r="B115" s="4">
        <v>40576</v>
      </c>
      <c r="C115" s="3">
        <v>1</v>
      </c>
      <c r="D115" s="3">
        <v>0</v>
      </c>
      <c r="E115" s="3">
        <v>2</v>
      </c>
      <c r="F115" s="3">
        <v>21</v>
      </c>
      <c r="G115" s="3" t="b">
        <v>0</v>
      </c>
      <c r="H115" s="3">
        <v>3</v>
      </c>
      <c r="I115" s="3">
        <v>1</v>
      </c>
      <c r="J115" s="3">
        <v>0.22</v>
      </c>
      <c r="K115" s="3">
        <v>0.19700000000000001</v>
      </c>
      <c r="L115" s="3">
        <v>0.47</v>
      </c>
      <c r="M115" s="3">
        <v>0.32840000000000003</v>
      </c>
      <c r="N115" s="3">
        <v>1</v>
      </c>
      <c r="O115" s="3">
        <v>62</v>
      </c>
      <c r="P115" s="3">
        <v>63</v>
      </c>
    </row>
    <row r="116" spans="1:16" x14ac:dyDescent="0.3">
      <c r="A116" s="3">
        <v>734</v>
      </c>
      <c r="B116" s="4">
        <v>40576</v>
      </c>
      <c r="C116" s="3">
        <v>1</v>
      </c>
      <c r="D116" s="3">
        <v>0</v>
      </c>
      <c r="E116" s="3">
        <v>2</v>
      </c>
      <c r="F116" s="3">
        <v>22</v>
      </c>
      <c r="G116" s="3" t="b">
        <v>0</v>
      </c>
      <c r="H116" s="3">
        <v>3</v>
      </c>
      <c r="I116" s="3">
        <v>1</v>
      </c>
      <c r="J116" s="3">
        <v>0.22</v>
      </c>
      <c r="K116" s="3">
        <v>0.21210000000000001</v>
      </c>
      <c r="L116" s="3">
        <v>0.44</v>
      </c>
      <c r="M116" s="3">
        <v>0.25369999999999998</v>
      </c>
      <c r="N116" s="3">
        <v>5</v>
      </c>
      <c r="O116" s="3">
        <v>35</v>
      </c>
      <c r="P116" s="3">
        <v>40</v>
      </c>
    </row>
    <row r="117" spans="1:16" x14ac:dyDescent="0.3">
      <c r="A117" s="3">
        <v>735</v>
      </c>
      <c r="B117" s="4">
        <v>40576</v>
      </c>
      <c r="C117" s="3">
        <v>1</v>
      </c>
      <c r="D117" s="3">
        <v>0</v>
      </c>
      <c r="E117" s="3">
        <v>2</v>
      </c>
      <c r="F117" s="3">
        <v>23</v>
      </c>
      <c r="G117" s="3" t="b">
        <v>0</v>
      </c>
      <c r="H117" s="3">
        <v>3</v>
      </c>
      <c r="I117" s="3">
        <v>1</v>
      </c>
      <c r="J117" s="3">
        <v>0.2</v>
      </c>
      <c r="K117" s="3">
        <v>0.16669999999999999</v>
      </c>
      <c r="L117" s="3">
        <v>0.44</v>
      </c>
      <c r="M117" s="3">
        <v>0.44779999999999998</v>
      </c>
      <c r="N117" s="3">
        <v>3</v>
      </c>
      <c r="O117" s="3">
        <v>29</v>
      </c>
      <c r="P117" s="3">
        <v>32</v>
      </c>
    </row>
    <row r="118" spans="1:16" x14ac:dyDescent="0.3">
      <c r="A118" s="3">
        <v>736</v>
      </c>
      <c r="B118" s="4">
        <v>40577</v>
      </c>
      <c r="C118" s="3">
        <v>1</v>
      </c>
      <c r="D118" s="3">
        <v>0</v>
      </c>
      <c r="E118" s="3">
        <v>2</v>
      </c>
      <c r="F118" s="3">
        <v>0</v>
      </c>
      <c r="G118" s="3" t="b">
        <v>0</v>
      </c>
      <c r="H118" s="3">
        <v>4</v>
      </c>
      <c r="I118" s="3">
        <v>1</v>
      </c>
      <c r="J118" s="3">
        <v>0.2</v>
      </c>
      <c r="K118" s="3">
        <v>0.16669999999999999</v>
      </c>
      <c r="L118" s="3">
        <v>0.4</v>
      </c>
      <c r="M118" s="3">
        <v>0.44779999999999998</v>
      </c>
      <c r="N118" s="3">
        <v>1</v>
      </c>
      <c r="O118" s="3">
        <v>11</v>
      </c>
      <c r="P118" s="3">
        <v>12</v>
      </c>
    </row>
    <row r="119" spans="1:16" x14ac:dyDescent="0.3">
      <c r="A119" s="3">
        <v>737</v>
      </c>
      <c r="B119" s="4">
        <v>40577</v>
      </c>
      <c r="C119" s="3">
        <v>1</v>
      </c>
      <c r="D119" s="3">
        <v>0</v>
      </c>
      <c r="E119" s="3">
        <v>2</v>
      </c>
      <c r="F119" s="3">
        <v>1</v>
      </c>
      <c r="G119" s="3" t="b">
        <v>0</v>
      </c>
      <c r="H119" s="3">
        <v>4</v>
      </c>
      <c r="I119" s="3">
        <v>1</v>
      </c>
      <c r="J119" s="3">
        <v>0.2</v>
      </c>
      <c r="K119" s="3">
        <v>0.1515</v>
      </c>
      <c r="L119" s="3">
        <v>0.44</v>
      </c>
      <c r="M119" s="3">
        <v>0.52239999999999998</v>
      </c>
      <c r="N119" s="3">
        <v>0</v>
      </c>
      <c r="O119" s="3">
        <v>5</v>
      </c>
      <c r="P119" s="3">
        <v>5</v>
      </c>
    </row>
    <row r="120" spans="1:16" x14ac:dyDescent="0.3">
      <c r="A120" s="3">
        <v>738</v>
      </c>
      <c r="B120" s="4">
        <v>40577</v>
      </c>
      <c r="C120" s="3">
        <v>1</v>
      </c>
      <c r="D120" s="3">
        <v>0</v>
      </c>
      <c r="E120" s="3">
        <v>2</v>
      </c>
      <c r="F120" s="3">
        <v>2</v>
      </c>
      <c r="G120" s="3" t="b">
        <v>0</v>
      </c>
      <c r="H120" s="3">
        <v>4</v>
      </c>
      <c r="I120" s="3">
        <v>1</v>
      </c>
      <c r="J120" s="3">
        <v>0.18</v>
      </c>
      <c r="K120" s="3">
        <v>0.16669999999999999</v>
      </c>
      <c r="L120" s="3">
        <v>0.43</v>
      </c>
      <c r="M120" s="3">
        <v>0.25369999999999998</v>
      </c>
      <c r="N120" s="3">
        <v>0</v>
      </c>
      <c r="O120" s="3">
        <v>2</v>
      </c>
      <c r="P120" s="3">
        <v>2</v>
      </c>
    </row>
    <row r="121" spans="1:16" x14ac:dyDescent="0.3">
      <c r="A121" s="3">
        <v>739</v>
      </c>
      <c r="B121" s="4">
        <v>40577</v>
      </c>
      <c r="C121" s="3">
        <v>1</v>
      </c>
      <c r="D121" s="3">
        <v>0</v>
      </c>
      <c r="E121" s="3">
        <v>2</v>
      </c>
      <c r="F121" s="3">
        <v>3</v>
      </c>
      <c r="G121" s="3" t="b">
        <v>0</v>
      </c>
      <c r="H121" s="3">
        <v>4</v>
      </c>
      <c r="I121" s="3">
        <v>1</v>
      </c>
      <c r="J121" s="3">
        <v>0.18</v>
      </c>
      <c r="K121" s="3">
        <v>0.16669999999999999</v>
      </c>
      <c r="L121" s="3">
        <v>0.43</v>
      </c>
      <c r="M121" s="3">
        <v>0.25369999999999998</v>
      </c>
      <c r="N121" s="3">
        <v>0</v>
      </c>
      <c r="O121" s="3">
        <v>1</v>
      </c>
      <c r="P121" s="3">
        <v>1</v>
      </c>
    </row>
    <row r="122" spans="1:16" x14ac:dyDescent="0.3">
      <c r="A122" s="3">
        <v>740</v>
      </c>
      <c r="B122" s="4">
        <v>40577</v>
      </c>
      <c r="C122" s="3">
        <v>1</v>
      </c>
      <c r="D122" s="3">
        <v>0</v>
      </c>
      <c r="E122" s="3">
        <v>2</v>
      </c>
      <c r="F122" s="3">
        <v>5</v>
      </c>
      <c r="G122" s="3" t="b">
        <v>0</v>
      </c>
      <c r="H122" s="3">
        <v>4</v>
      </c>
      <c r="I122" s="3">
        <v>1</v>
      </c>
      <c r="J122" s="3">
        <v>0.16</v>
      </c>
      <c r="K122" s="3">
        <v>0.13639999999999999</v>
      </c>
      <c r="L122" s="3">
        <v>0.5</v>
      </c>
      <c r="M122" s="3">
        <v>0.29849999999999999</v>
      </c>
      <c r="N122" s="3">
        <v>0</v>
      </c>
      <c r="O122" s="3">
        <v>2</v>
      </c>
      <c r="P122" s="3">
        <v>2</v>
      </c>
    </row>
    <row r="123" spans="1:16" x14ac:dyDescent="0.3">
      <c r="A123" s="3">
        <v>741</v>
      </c>
      <c r="B123" s="4">
        <v>40577</v>
      </c>
      <c r="C123" s="3">
        <v>1</v>
      </c>
      <c r="D123" s="3">
        <v>0</v>
      </c>
      <c r="E123" s="3">
        <v>2</v>
      </c>
      <c r="F123" s="3">
        <v>6</v>
      </c>
      <c r="G123" s="3" t="b">
        <v>0</v>
      </c>
      <c r="H123" s="3">
        <v>4</v>
      </c>
      <c r="I123" s="3">
        <v>1</v>
      </c>
      <c r="J123" s="3">
        <v>0.16</v>
      </c>
      <c r="K123" s="3">
        <v>0.13639999999999999</v>
      </c>
      <c r="L123" s="3">
        <v>0.43</v>
      </c>
      <c r="M123" s="3">
        <v>0.35820000000000002</v>
      </c>
      <c r="N123" s="3">
        <v>0</v>
      </c>
      <c r="O123" s="3">
        <v>39</v>
      </c>
      <c r="P123" s="3">
        <v>39</v>
      </c>
    </row>
    <row r="124" spans="1:16" x14ac:dyDescent="0.3">
      <c r="A124" s="3">
        <v>742</v>
      </c>
      <c r="B124" s="4">
        <v>40577</v>
      </c>
      <c r="C124" s="3">
        <v>1</v>
      </c>
      <c r="D124" s="3">
        <v>0</v>
      </c>
      <c r="E124" s="3">
        <v>2</v>
      </c>
      <c r="F124" s="3">
        <v>7</v>
      </c>
      <c r="G124" s="3" t="b">
        <v>0</v>
      </c>
      <c r="H124" s="3">
        <v>4</v>
      </c>
      <c r="I124" s="3">
        <v>1</v>
      </c>
      <c r="J124" s="3">
        <v>0.14000000000000001</v>
      </c>
      <c r="K124" s="3">
        <v>0.1212</v>
      </c>
      <c r="L124" s="3">
        <v>0.5</v>
      </c>
      <c r="M124" s="3">
        <v>0.32840000000000003</v>
      </c>
      <c r="N124" s="3">
        <v>1</v>
      </c>
      <c r="O124" s="3">
        <v>86</v>
      </c>
      <c r="P124" s="3">
        <v>87</v>
      </c>
    </row>
    <row r="125" spans="1:16" x14ac:dyDescent="0.3">
      <c r="A125" s="3">
        <v>743</v>
      </c>
      <c r="B125" s="4">
        <v>40577</v>
      </c>
      <c r="C125" s="3">
        <v>1</v>
      </c>
      <c r="D125" s="3">
        <v>0</v>
      </c>
      <c r="E125" s="3">
        <v>2</v>
      </c>
      <c r="F125" s="3">
        <v>8</v>
      </c>
      <c r="G125" s="3" t="b">
        <v>0</v>
      </c>
      <c r="H125" s="3">
        <v>4</v>
      </c>
      <c r="I125" s="3">
        <v>1</v>
      </c>
      <c r="J125" s="3">
        <v>0.14000000000000001</v>
      </c>
      <c r="K125" s="3">
        <v>0.1212</v>
      </c>
      <c r="L125" s="3">
        <v>0.5</v>
      </c>
      <c r="M125" s="3">
        <v>0.35820000000000002</v>
      </c>
      <c r="N125" s="3">
        <v>4</v>
      </c>
      <c r="O125" s="3">
        <v>184</v>
      </c>
      <c r="P125" s="3">
        <v>188</v>
      </c>
    </row>
    <row r="126" spans="1:16" x14ac:dyDescent="0.3">
      <c r="A126" s="3">
        <v>744</v>
      </c>
      <c r="B126" s="4">
        <v>40577</v>
      </c>
      <c r="C126" s="3">
        <v>1</v>
      </c>
      <c r="D126" s="3">
        <v>0</v>
      </c>
      <c r="E126" s="3">
        <v>2</v>
      </c>
      <c r="F126" s="3">
        <v>9</v>
      </c>
      <c r="G126" s="3" t="b">
        <v>0</v>
      </c>
      <c r="H126" s="3">
        <v>4</v>
      </c>
      <c r="I126" s="3">
        <v>1</v>
      </c>
      <c r="J126" s="3">
        <v>0.16</v>
      </c>
      <c r="K126" s="3">
        <v>0.13639999999999999</v>
      </c>
      <c r="L126" s="3">
        <v>0.47</v>
      </c>
      <c r="M126" s="3">
        <v>0.29849999999999999</v>
      </c>
      <c r="N126" s="3">
        <v>6</v>
      </c>
      <c r="O126" s="3">
        <v>127</v>
      </c>
      <c r="P126" s="3">
        <v>133</v>
      </c>
    </row>
    <row r="127" spans="1:16" x14ac:dyDescent="0.3">
      <c r="A127" s="3">
        <v>745</v>
      </c>
      <c r="B127" s="4">
        <v>40577</v>
      </c>
      <c r="C127" s="3">
        <v>1</v>
      </c>
      <c r="D127" s="3">
        <v>0</v>
      </c>
      <c r="E127" s="3">
        <v>2</v>
      </c>
      <c r="F127" s="3">
        <v>10</v>
      </c>
      <c r="G127" s="3" t="b">
        <v>0</v>
      </c>
      <c r="H127" s="3">
        <v>4</v>
      </c>
      <c r="I127" s="3">
        <v>1</v>
      </c>
      <c r="J127" s="3">
        <v>0.18</v>
      </c>
      <c r="K127" s="3">
        <v>0.1515</v>
      </c>
      <c r="L127" s="3">
        <v>0.43</v>
      </c>
      <c r="M127" s="3">
        <v>0.32840000000000003</v>
      </c>
      <c r="N127" s="3">
        <v>2</v>
      </c>
      <c r="O127" s="3">
        <v>50</v>
      </c>
      <c r="P127" s="3">
        <v>52</v>
      </c>
    </row>
    <row r="128" spans="1:16" x14ac:dyDescent="0.3">
      <c r="A128" s="3">
        <v>746</v>
      </c>
      <c r="B128" s="4">
        <v>40577</v>
      </c>
      <c r="C128" s="3">
        <v>1</v>
      </c>
      <c r="D128" s="3">
        <v>0</v>
      </c>
      <c r="E128" s="3">
        <v>2</v>
      </c>
      <c r="F128" s="3">
        <v>11</v>
      </c>
      <c r="G128" s="3" t="b">
        <v>0</v>
      </c>
      <c r="H128" s="3">
        <v>4</v>
      </c>
      <c r="I128" s="3">
        <v>1</v>
      </c>
      <c r="J128" s="3">
        <v>0.18</v>
      </c>
      <c r="K128" s="3">
        <v>0.13639999999999999</v>
      </c>
      <c r="L128" s="3">
        <v>0.43</v>
      </c>
      <c r="M128" s="3">
        <v>0.44779999999999998</v>
      </c>
      <c r="N128" s="3">
        <v>9</v>
      </c>
      <c r="O128" s="3">
        <v>55</v>
      </c>
      <c r="P128" s="3">
        <v>64</v>
      </c>
    </row>
    <row r="129" spans="1:16" x14ac:dyDescent="0.3">
      <c r="A129" s="3">
        <v>747</v>
      </c>
      <c r="B129" s="4">
        <v>40577</v>
      </c>
      <c r="C129" s="3">
        <v>1</v>
      </c>
      <c r="D129" s="3">
        <v>0</v>
      </c>
      <c r="E129" s="3">
        <v>2</v>
      </c>
      <c r="F129" s="3">
        <v>12</v>
      </c>
      <c r="G129" s="3" t="b">
        <v>0</v>
      </c>
      <c r="H129" s="3">
        <v>4</v>
      </c>
      <c r="I129" s="3">
        <v>1</v>
      </c>
      <c r="J129" s="3">
        <v>0.2</v>
      </c>
      <c r="K129" s="3">
        <v>0.18179999999999999</v>
      </c>
      <c r="L129" s="3">
        <v>0.4</v>
      </c>
      <c r="M129" s="3">
        <v>0.35820000000000002</v>
      </c>
      <c r="N129" s="3">
        <v>2</v>
      </c>
      <c r="O129" s="3">
        <v>67</v>
      </c>
      <c r="P129" s="3">
        <v>69</v>
      </c>
    </row>
    <row r="130" spans="1:16" x14ac:dyDescent="0.3">
      <c r="A130" s="3">
        <v>748</v>
      </c>
      <c r="B130" s="4">
        <v>40577</v>
      </c>
      <c r="C130" s="3">
        <v>1</v>
      </c>
      <c r="D130" s="3">
        <v>0</v>
      </c>
      <c r="E130" s="3">
        <v>2</v>
      </c>
      <c r="F130" s="3">
        <v>13</v>
      </c>
      <c r="G130" s="3" t="b">
        <v>0</v>
      </c>
      <c r="H130" s="3">
        <v>4</v>
      </c>
      <c r="I130" s="3">
        <v>1</v>
      </c>
      <c r="J130" s="3">
        <v>0.2</v>
      </c>
      <c r="K130" s="3">
        <v>0.16669999999999999</v>
      </c>
      <c r="L130" s="3">
        <v>0.4</v>
      </c>
      <c r="M130" s="3">
        <v>0.41789999999999999</v>
      </c>
      <c r="N130" s="3">
        <v>4</v>
      </c>
      <c r="O130" s="3">
        <v>47</v>
      </c>
      <c r="P130" s="3">
        <v>51</v>
      </c>
    </row>
    <row r="131" spans="1:16" x14ac:dyDescent="0.3">
      <c r="A131" s="3">
        <v>749</v>
      </c>
      <c r="B131" s="4">
        <v>40577</v>
      </c>
      <c r="C131" s="3">
        <v>1</v>
      </c>
      <c r="D131" s="3">
        <v>0</v>
      </c>
      <c r="E131" s="3">
        <v>2</v>
      </c>
      <c r="F131" s="3">
        <v>14</v>
      </c>
      <c r="G131" s="3" t="b">
        <v>0</v>
      </c>
      <c r="H131" s="3">
        <v>4</v>
      </c>
      <c r="I131" s="3">
        <v>1</v>
      </c>
      <c r="J131" s="3">
        <v>0.22</v>
      </c>
      <c r="K131" s="3">
        <v>0.19700000000000001</v>
      </c>
      <c r="L131" s="3">
        <v>0.37</v>
      </c>
      <c r="M131" s="3">
        <v>0.3881</v>
      </c>
      <c r="N131" s="3">
        <v>4</v>
      </c>
      <c r="O131" s="3">
        <v>43</v>
      </c>
      <c r="P131" s="3">
        <v>47</v>
      </c>
    </row>
    <row r="132" spans="1:16" x14ac:dyDescent="0.3">
      <c r="A132" s="3">
        <v>750</v>
      </c>
      <c r="B132" s="4">
        <v>40577</v>
      </c>
      <c r="C132" s="3">
        <v>1</v>
      </c>
      <c r="D132" s="3">
        <v>0</v>
      </c>
      <c r="E132" s="3">
        <v>2</v>
      </c>
      <c r="F132" s="3">
        <v>15</v>
      </c>
      <c r="G132" s="3" t="b">
        <v>0</v>
      </c>
      <c r="H132" s="3">
        <v>4</v>
      </c>
      <c r="I132" s="3">
        <v>1</v>
      </c>
      <c r="J132" s="3">
        <v>0.22</v>
      </c>
      <c r="K132" s="3">
        <v>0.19700000000000001</v>
      </c>
      <c r="L132" s="3">
        <v>0.37</v>
      </c>
      <c r="M132" s="3">
        <v>0.32840000000000003</v>
      </c>
      <c r="N132" s="3">
        <v>4</v>
      </c>
      <c r="O132" s="3">
        <v>56</v>
      </c>
      <c r="P132" s="3">
        <v>60</v>
      </c>
    </row>
    <row r="133" spans="1:16" x14ac:dyDescent="0.3">
      <c r="A133" s="3">
        <v>751</v>
      </c>
      <c r="B133" s="4">
        <v>40577</v>
      </c>
      <c r="C133" s="3">
        <v>1</v>
      </c>
      <c r="D133" s="3">
        <v>0</v>
      </c>
      <c r="E133" s="3">
        <v>2</v>
      </c>
      <c r="F133" s="3">
        <v>16</v>
      </c>
      <c r="G133" s="3" t="b">
        <v>0</v>
      </c>
      <c r="H133" s="3">
        <v>4</v>
      </c>
      <c r="I133" s="3">
        <v>1</v>
      </c>
      <c r="J133" s="3">
        <v>0.22</v>
      </c>
      <c r="K133" s="3">
        <v>0.21210000000000001</v>
      </c>
      <c r="L133" s="3">
        <v>0.37</v>
      </c>
      <c r="M133" s="3">
        <v>0.25369999999999998</v>
      </c>
      <c r="N133" s="3">
        <v>5</v>
      </c>
      <c r="O133" s="3">
        <v>73</v>
      </c>
      <c r="P133" s="3">
        <v>78</v>
      </c>
    </row>
    <row r="134" spans="1:16" x14ac:dyDescent="0.3">
      <c r="A134" s="3">
        <v>752</v>
      </c>
      <c r="B134" s="4">
        <v>40577</v>
      </c>
      <c r="C134" s="3">
        <v>1</v>
      </c>
      <c r="D134" s="3">
        <v>0</v>
      </c>
      <c r="E134" s="3">
        <v>2</v>
      </c>
      <c r="F134" s="3">
        <v>17</v>
      </c>
      <c r="G134" s="3" t="b">
        <v>0</v>
      </c>
      <c r="H134" s="3">
        <v>4</v>
      </c>
      <c r="I134" s="3">
        <v>1</v>
      </c>
      <c r="J134" s="3">
        <v>0.2</v>
      </c>
      <c r="K134" s="3">
        <v>0.19700000000000001</v>
      </c>
      <c r="L134" s="3">
        <v>0.4</v>
      </c>
      <c r="M134" s="3">
        <v>0.19400000000000001</v>
      </c>
      <c r="N134" s="3">
        <v>5</v>
      </c>
      <c r="O134" s="3">
        <v>170</v>
      </c>
      <c r="P134" s="3">
        <v>175</v>
      </c>
    </row>
    <row r="135" spans="1:16" x14ac:dyDescent="0.3">
      <c r="A135" s="3">
        <v>753</v>
      </c>
      <c r="B135" s="4">
        <v>40577</v>
      </c>
      <c r="C135" s="3">
        <v>1</v>
      </c>
      <c r="D135" s="3">
        <v>0</v>
      </c>
      <c r="E135" s="3">
        <v>2</v>
      </c>
      <c r="F135" s="3">
        <v>18</v>
      </c>
      <c r="G135" s="3" t="b">
        <v>0</v>
      </c>
      <c r="H135" s="3">
        <v>4</v>
      </c>
      <c r="I135" s="3">
        <v>1</v>
      </c>
      <c r="J135" s="3">
        <v>0.2</v>
      </c>
      <c r="K135" s="3">
        <v>0.21210000000000001</v>
      </c>
      <c r="L135" s="3">
        <v>0.4</v>
      </c>
      <c r="M135" s="3">
        <v>0.16420000000000001</v>
      </c>
      <c r="N135" s="3">
        <v>2</v>
      </c>
      <c r="O135" s="3">
        <v>145</v>
      </c>
      <c r="P135" s="3">
        <v>147</v>
      </c>
    </row>
    <row r="136" spans="1:16" x14ac:dyDescent="0.3">
      <c r="A136" s="3">
        <v>754</v>
      </c>
      <c r="B136" s="4">
        <v>40577</v>
      </c>
      <c r="C136" s="3">
        <v>1</v>
      </c>
      <c r="D136" s="3">
        <v>0</v>
      </c>
      <c r="E136" s="3">
        <v>2</v>
      </c>
      <c r="F136" s="3">
        <v>19</v>
      </c>
      <c r="G136" s="3" t="b">
        <v>0</v>
      </c>
      <c r="H136" s="3">
        <v>4</v>
      </c>
      <c r="I136" s="3">
        <v>1</v>
      </c>
      <c r="J136" s="3">
        <v>0.2</v>
      </c>
      <c r="K136" s="3">
        <v>0.2576</v>
      </c>
      <c r="L136" s="3">
        <v>0.4</v>
      </c>
      <c r="M136" s="3">
        <v>0</v>
      </c>
      <c r="N136" s="3">
        <v>4</v>
      </c>
      <c r="O136" s="3">
        <v>92</v>
      </c>
      <c r="P136" s="3">
        <v>96</v>
      </c>
    </row>
    <row r="137" spans="1:16" x14ac:dyDescent="0.3">
      <c r="A137" s="3">
        <v>755</v>
      </c>
      <c r="B137" s="4">
        <v>40577</v>
      </c>
      <c r="C137" s="3">
        <v>1</v>
      </c>
      <c r="D137" s="3">
        <v>0</v>
      </c>
      <c r="E137" s="3">
        <v>2</v>
      </c>
      <c r="F137" s="3">
        <v>20</v>
      </c>
      <c r="G137" s="3" t="b">
        <v>0</v>
      </c>
      <c r="H137" s="3">
        <v>4</v>
      </c>
      <c r="I137" s="3">
        <v>1</v>
      </c>
      <c r="J137" s="3">
        <v>0.2</v>
      </c>
      <c r="K137" s="3">
        <v>0.2273</v>
      </c>
      <c r="L137" s="3">
        <v>0.47</v>
      </c>
      <c r="M137" s="3">
        <v>8.9599999999999999E-2</v>
      </c>
      <c r="N137" s="3">
        <v>1</v>
      </c>
      <c r="O137" s="3">
        <v>108</v>
      </c>
      <c r="P137" s="3">
        <v>109</v>
      </c>
    </row>
    <row r="138" spans="1:16" x14ac:dyDescent="0.3">
      <c r="A138" s="3">
        <v>756</v>
      </c>
      <c r="B138" s="4">
        <v>40577</v>
      </c>
      <c r="C138" s="3">
        <v>1</v>
      </c>
      <c r="D138" s="3">
        <v>0</v>
      </c>
      <c r="E138" s="3">
        <v>2</v>
      </c>
      <c r="F138" s="3">
        <v>21</v>
      </c>
      <c r="G138" s="3" t="b">
        <v>0</v>
      </c>
      <c r="H138" s="3">
        <v>4</v>
      </c>
      <c r="I138" s="3">
        <v>1</v>
      </c>
      <c r="J138" s="3">
        <v>0.18</v>
      </c>
      <c r="K138" s="3">
        <v>0.21210000000000001</v>
      </c>
      <c r="L138" s="3">
        <v>0.55000000000000004</v>
      </c>
      <c r="M138" s="3">
        <v>0.1045</v>
      </c>
      <c r="N138" s="3">
        <v>1</v>
      </c>
      <c r="O138" s="3">
        <v>53</v>
      </c>
      <c r="P138" s="3">
        <v>54</v>
      </c>
    </row>
    <row r="139" spans="1:16" x14ac:dyDescent="0.3">
      <c r="A139" s="3">
        <v>757</v>
      </c>
      <c r="B139" s="4">
        <v>40577</v>
      </c>
      <c r="C139" s="3">
        <v>1</v>
      </c>
      <c r="D139" s="3">
        <v>0</v>
      </c>
      <c r="E139" s="3">
        <v>2</v>
      </c>
      <c r="F139" s="3">
        <v>22</v>
      </c>
      <c r="G139" s="3" t="b">
        <v>0</v>
      </c>
      <c r="H139" s="3">
        <v>4</v>
      </c>
      <c r="I139" s="3">
        <v>1</v>
      </c>
      <c r="J139" s="3">
        <v>0.18</v>
      </c>
      <c r="K139" s="3">
        <v>0.21210000000000001</v>
      </c>
      <c r="L139" s="3">
        <v>0.51</v>
      </c>
      <c r="M139" s="3">
        <v>8.9599999999999999E-2</v>
      </c>
      <c r="N139" s="3">
        <v>2</v>
      </c>
      <c r="O139" s="3">
        <v>39</v>
      </c>
      <c r="P139" s="3">
        <v>41</v>
      </c>
    </row>
    <row r="140" spans="1:16" x14ac:dyDescent="0.3">
      <c r="A140" s="3">
        <v>758</v>
      </c>
      <c r="B140" s="4">
        <v>40577</v>
      </c>
      <c r="C140" s="3">
        <v>1</v>
      </c>
      <c r="D140" s="3">
        <v>0</v>
      </c>
      <c r="E140" s="3">
        <v>2</v>
      </c>
      <c r="F140" s="3">
        <v>23</v>
      </c>
      <c r="G140" s="3" t="b">
        <v>0</v>
      </c>
      <c r="H140" s="3">
        <v>4</v>
      </c>
      <c r="I140" s="3">
        <v>1</v>
      </c>
      <c r="J140" s="3">
        <v>0.2</v>
      </c>
      <c r="K140" s="3">
        <v>0.2273</v>
      </c>
      <c r="L140" s="3">
        <v>0.47</v>
      </c>
      <c r="M140" s="3">
        <v>0.1045</v>
      </c>
      <c r="N140" s="3">
        <v>4</v>
      </c>
      <c r="O140" s="3">
        <v>34</v>
      </c>
      <c r="P140" s="3">
        <v>38</v>
      </c>
    </row>
    <row r="141" spans="1:16" x14ac:dyDescent="0.3">
      <c r="A141" s="3">
        <v>759</v>
      </c>
      <c r="B141" s="4">
        <v>40578</v>
      </c>
      <c r="C141" s="3">
        <v>1</v>
      </c>
      <c r="D141" s="3">
        <v>0</v>
      </c>
      <c r="E141" s="3">
        <v>2</v>
      </c>
      <c r="F141" s="3">
        <v>0</v>
      </c>
      <c r="G141" s="3" t="b">
        <v>0</v>
      </c>
      <c r="H141" s="3">
        <v>5</v>
      </c>
      <c r="I141" s="3">
        <v>2</v>
      </c>
      <c r="J141" s="3">
        <v>0.2</v>
      </c>
      <c r="K141" s="3">
        <v>0.2576</v>
      </c>
      <c r="L141" s="3">
        <v>0.44</v>
      </c>
      <c r="M141" s="3">
        <v>0</v>
      </c>
      <c r="N141" s="3">
        <v>3</v>
      </c>
      <c r="O141" s="3">
        <v>10</v>
      </c>
      <c r="P141" s="3">
        <v>13</v>
      </c>
    </row>
    <row r="142" spans="1:16" x14ac:dyDescent="0.3">
      <c r="A142" s="3">
        <v>760</v>
      </c>
      <c r="B142" s="4">
        <v>40578</v>
      </c>
      <c r="C142" s="3">
        <v>1</v>
      </c>
      <c r="D142" s="3">
        <v>0</v>
      </c>
      <c r="E142" s="3">
        <v>2</v>
      </c>
      <c r="F142" s="3">
        <v>1</v>
      </c>
      <c r="G142" s="3" t="b">
        <v>0</v>
      </c>
      <c r="H142" s="3">
        <v>5</v>
      </c>
      <c r="I142" s="3">
        <v>2</v>
      </c>
      <c r="J142" s="3">
        <v>0.16</v>
      </c>
      <c r="K142" s="3">
        <v>0.2273</v>
      </c>
      <c r="L142" s="3">
        <v>0.59</v>
      </c>
      <c r="M142" s="3">
        <v>0</v>
      </c>
      <c r="N142" s="3">
        <v>0</v>
      </c>
      <c r="O142" s="3">
        <v>7</v>
      </c>
      <c r="P142" s="3">
        <v>7</v>
      </c>
    </row>
    <row r="143" spans="1:16" x14ac:dyDescent="0.3">
      <c r="A143" s="3">
        <v>761</v>
      </c>
      <c r="B143" s="4">
        <v>40578</v>
      </c>
      <c r="C143" s="3">
        <v>1</v>
      </c>
      <c r="D143" s="3">
        <v>0</v>
      </c>
      <c r="E143" s="3">
        <v>2</v>
      </c>
      <c r="F143" s="3">
        <v>2</v>
      </c>
      <c r="G143" s="3" t="b">
        <v>0</v>
      </c>
      <c r="H143" s="3">
        <v>5</v>
      </c>
      <c r="I143" s="3">
        <v>2</v>
      </c>
      <c r="J143" s="3">
        <v>0.14000000000000001</v>
      </c>
      <c r="K143" s="3">
        <v>0.16669999999999999</v>
      </c>
      <c r="L143" s="3">
        <v>0.63</v>
      </c>
      <c r="M143" s="3">
        <v>0.1045</v>
      </c>
      <c r="N143" s="3">
        <v>0</v>
      </c>
      <c r="O143" s="3">
        <v>1</v>
      </c>
      <c r="P143" s="3">
        <v>1</v>
      </c>
    </row>
    <row r="144" spans="1:16" x14ac:dyDescent="0.3">
      <c r="A144" s="3">
        <v>762</v>
      </c>
      <c r="B144" s="4">
        <v>40578</v>
      </c>
      <c r="C144" s="3">
        <v>1</v>
      </c>
      <c r="D144" s="3">
        <v>0</v>
      </c>
      <c r="E144" s="3">
        <v>2</v>
      </c>
      <c r="F144" s="3">
        <v>3</v>
      </c>
      <c r="G144" s="3" t="b">
        <v>0</v>
      </c>
      <c r="H144" s="3">
        <v>5</v>
      </c>
      <c r="I144" s="3">
        <v>2</v>
      </c>
      <c r="J144" s="3">
        <v>0.14000000000000001</v>
      </c>
      <c r="K144" s="3">
        <v>0.16669999999999999</v>
      </c>
      <c r="L144" s="3">
        <v>0.63</v>
      </c>
      <c r="M144" s="3">
        <v>0.1045</v>
      </c>
      <c r="N144" s="3">
        <v>0</v>
      </c>
      <c r="O144" s="3">
        <v>1</v>
      </c>
      <c r="P144" s="3">
        <v>1</v>
      </c>
    </row>
    <row r="145" spans="1:16" x14ac:dyDescent="0.3">
      <c r="A145" s="3">
        <v>763</v>
      </c>
      <c r="B145" s="4">
        <v>40578</v>
      </c>
      <c r="C145" s="3">
        <v>1</v>
      </c>
      <c r="D145" s="3">
        <v>0</v>
      </c>
      <c r="E145" s="3">
        <v>2</v>
      </c>
      <c r="F145" s="3">
        <v>5</v>
      </c>
      <c r="G145" s="3" t="b">
        <v>0</v>
      </c>
      <c r="H145" s="3">
        <v>5</v>
      </c>
      <c r="I145" s="3">
        <v>2</v>
      </c>
      <c r="J145" s="3">
        <v>0.14000000000000001</v>
      </c>
      <c r="K145" s="3">
        <v>0.1515</v>
      </c>
      <c r="L145" s="3">
        <v>0.63</v>
      </c>
      <c r="M145" s="3">
        <v>0.1343</v>
      </c>
      <c r="N145" s="3">
        <v>0</v>
      </c>
      <c r="O145" s="3">
        <v>7</v>
      </c>
      <c r="P145" s="3">
        <v>7</v>
      </c>
    </row>
    <row r="146" spans="1:16" x14ac:dyDescent="0.3">
      <c r="A146" s="3">
        <v>764</v>
      </c>
      <c r="B146" s="4">
        <v>40578</v>
      </c>
      <c r="C146" s="3">
        <v>1</v>
      </c>
      <c r="D146" s="3">
        <v>0</v>
      </c>
      <c r="E146" s="3">
        <v>2</v>
      </c>
      <c r="F146" s="3">
        <v>6</v>
      </c>
      <c r="G146" s="3" t="b">
        <v>0</v>
      </c>
      <c r="H146" s="3">
        <v>5</v>
      </c>
      <c r="I146" s="3">
        <v>2</v>
      </c>
      <c r="J146" s="3">
        <v>0.16</v>
      </c>
      <c r="K146" s="3">
        <v>0.2273</v>
      </c>
      <c r="L146" s="3">
        <v>0.55000000000000004</v>
      </c>
      <c r="M146" s="3">
        <v>0</v>
      </c>
      <c r="N146" s="3">
        <v>2</v>
      </c>
      <c r="O146" s="3">
        <v>26</v>
      </c>
      <c r="P146" s="3">
        <v>28</v>
      </c>
    </row>
    <row r="147" spans="1:16" x14ac:dyDescent="0.3">
      <c r="A147" s="3">
        <v>765</v>
      </c>
      <c r="B147" s="4">
        <v>40578</v>
      </c>
      <c r="C147" s="3">
        <v>1</v>
      </c>
      <c r="D147" s="3">
        <v>0</v>
      </c>
      <c r="E147" s="3">
        <v>2</v>
      </c>
      <c r="F147" s="3">
        <v>7</v>
      </c>
      <c r="G147" s="3" t="b">
        <v>0</v>
      </c>
      <c r="H147" s="3">
        <v>5</v>
      </c>
      <c r="I147" s="3">
        <v>1</v>
      </c>
      <c r="J147" s="3">
        <v>0.14000000000000001</v>
      </c>
      <c r="K147" s="3">
        <v>0.21210000000000001</v>
      </c>
      <c r="L147" s="3">
        <v>0.59</v>
      </c>
      <c r="M147" s="3">
        <v>0</v>
      </c>
      <c r="N147" s="3">
        <v>0</v>
      </c>
      <c r="O147" s="3">
        <v>87</v>
      </c>
      <c r="P147" s="3">
        <v>87</v>
      </c>
    </row>
    <row r="148" spans="1:16" x14ac:dyDescent="0.3">
      <c r="A148" s="3">
        <v>766</v>
      </c>
      <c r="B148" s="4">
        <v>40578</v>
      </c>
      <c r="C148" s="3">
        <v>1</v>
      </c>
      <c r="D148" s="3">
        <v>0</v>
      </c>
      <c r="E148" s="3">
        <v>2</v>
      </c>
      <c r="F148" s="3">
        <v>8</v>
      </c>
      <c r="G148" s="3" t="b">
        <v>0</v>
      </c>
      <c r="H148" s="3">
        <v>5</v>
      </c>
      <c r="I148" s="3">
        <v>1</v>
      </c>
      <c r="J148" s="3">
        <v>0.14000000000000001</v>
      </c>
      <c r="K148" s="3">
        <v>0.1515</v>
      </c>
      <c r="L148" s="3">
        <v>0.74</v>
      </c>
      <c r="M148" s="3">
        <v>0.1343</v>
      </c>
      <c r="N148" s="3">
        <v>3</v>
      </c>
      <c r="O148" s="3">
        <v>217</v>
      </c>
      <c r="P148" s="3">
        <v>220</v>
      </c>
    </row>
    <row r="149" spans="1:16" x14ac:dyDescent="0.3">
      <c r="A149" s="3">
        <v>767</v>
      </c>
      <c r="B149" s="4">
        <v>40578</v>
      </c>
      <c r="C149" s="3">
        <v>1</v>
      </c>
      <c r="D149" s="3">
        <v>0</v>
      </c>
      <c r="E149" s="3">
        <v>2</v>
      </c>
      <c r="F149" s="3">
        <v>9</v>
      </c>
      <c r="G149" s="3" t="b">
        <v>0</v>
      </c>
      <c r="H149" s="3">
        <v>5</v>
      </c>
      <c r="I149" s="3">
        <v>2</v>
      </c>
      <c r="J149" s="3">
        <v>0.16</v>
      </c>
      <c r="K149" s="3">
        <v>0.18179999999999999</v>
      </c>
      <c r="L149" s="3">
        <v>0.8</v>
      </c>
      <c r="M149" s="3">
        <v>0.1343</v>
      </c>
      <c r="N149" s="3">
        <v>3</v>
      </c>
      <c r="O149" s="3">
        <v>124</v>
      </c>
      <c r="P149" s="3">
        <v>127</v>
      </c>
    </row>
    <row r="150" spans="1:16" x14ac:dyDescent="0.3">
      <c r="A150" s="3">
        <v>768</v>
      </c>
      <c r="B150" s="4">
        <v>40578</v>
      </c>
      <c r="C150" s="3">
        <v>1</v>
      </c>
      <c r="D150" s="3">
        <v>0</v>
      </c>
      <c r="E150" s="3">
        <v>2</v>
      </c>
      <c r="F150" s="3">
        <v>10</v>
      </c>
      <c r="G150" s="3" t="b">
        <v>0</v>
      </c>
      <c r="H150" s="3">
        <v>5</v>
      </c>
      <c r="I150" s="3">
        <v>2</v>
      </c>
      <c r="J150" s="3">
        <v>0.2</v>
      </c>
      <c r="K150" s="3">
        <v>0.21210000000000001</v>
      </c>
      <c r="L150" s="3">
        <v>0.51</v>
      </c>
      <c r="M150" s="3">
        <v>0.1343</v>
      </c>
      <c r="N150" s="3">
        <v>5</v>
      </c>
      <c r="O150" s="3">
        <v>46</v>
      </c>
      <c r="P150" s="3">
        <v>51</v>
      </c>
    </row>
    <row r="151" spans="1:16" x14ac:dyDescent="0.3">
      <c r="A151" s="3">
        <v>769</v>
      </c>
      <c r="B151" s="4">
        <v>40578</v>
      </c>
      <c r="C151" s="3">
        <v>1</v>
      </c>
      <c r="D151" s="3">
        <v>0</v>
      </c>
      <c r="E151" s="3">
        <v>2</v>
      </c>
      <c r="F151" s="3">
        <v>11</v>
      </c>
      <c r="G151" s="3" t="b">
        <v>0</v>
      </c>
      <c r="H151" s="3">
        <v>5</v>
      </c>
      <c r="I151" s="3">
        <v>1</v>
      </c>
      <c r="J151" s="3">
        <v>0.22</v>
      </c>
      <c r="K151" s="3">
        <v>0.2273</v>
      </c>
      <c r="L151" s="3">
        <v>0.51</v>
      </c>
      <c r="M151" s="3">
        <v>0.16420000000000001</v>
      </c>
      <c r="N151" s="3">
        <v>3</v>
      </c>
      <c r="O151" s="3">
        <v>61</v>
      </c>
      <c r="P151" s="3">
        <v>64</v>
      </c>
    </row>
    <row r="152" spans="1:16" x14ac:dyDescent="0.3">
      <c r="A152" s="3">
        <v>770</v>
      </c>
      <c r="B152" s="4">
        <v>40578</v>
      </c>
      <c r="C152" s="3">
        <v>1</v>
      </c>
      <c r="D152" s="3">
        <v>0</v>
      </c>
      <c r="E152" s="3">
        <v>2</v>
      </c>
      <c r="F152" s="3">
        <v>12</v>
      </c>
      <c r="G152" s="3" t="b">
        <v>0</v>
      </c>
      <c r="H152" s="3">
        <v>5</v>
      </c>
      <c r="I152" s="3">
        <v>2</v>
      </c>
      <c r="J152" s="3">
        <v>0.24</v>
      </c>
      <c r="K152" s="3">
        <v>0.2424</v>
      </c>
      <c r="L152" s="3">
        <v>0.48</v>
      </c>
      <c r="M152" s="3">
        <v>0.16420000000000001</v>
      </c>
      <c r="N152" s="3">
        <v>8</v>
      </c>
      <c r="O152" s="3">
        <v>78</v>
      </c>
      <c r="P152" s="3">
        <v>86</v>
      </c>
    </row>
    <row r="153" spans="1:16" x14ac:dyDescent="0.3">
      <c r="A153" s="3">
        <v>771</v>
      </c>
      <c r="B153" s="4">
        <v>40578</v>
      </c>
      <c r="C153" s="3">
        <v>1</v>
      </c>
      <c r="D153" s="3">
        <v>0</v>
      </c>
      <c r="E153" s="3">
        <v>2</v>
      </c>
      <c r="F153" s="3">
        <v>13</v>
      </c>
      <c r="G153" s="3" t="b">
        <v>0</v>
      </c>
      <c r="H153" s="3">
        <v>5</v>
      </c>
      <c r="I153" s="3">
        <v>2</v>
      </c>
      <c r="J153" s="3">
        <v>0.26</v>
      </c>
      <c r="K153" s="3">
        <v>0.2576</v>
      </c>
      <c r="L153" s="3">
        <v>0.5</v>
      </c>
      <c r="M153" s="3">
        <v>0.22389999999999999</v>
      </c>
      <c r="N153" s="3">
        <v>9</v>
      </c>
      <c r="O153" s="3">
        <v>73</v>
      </c>
      <c r="P153" s="3">
        <v>82</v>
      </c>
    </row>
    <row r="154" spans="1:16" x14ac:dyDescent="0.3">
      <c r="A154" s="3">
        <v>772</v>
      </c>
      <c r="B154" s="4">
        <v>40578</v>
      </c>
      <c r="C154" s="3">
        <v>1</v>
      </c>
      <c r="D154" s="3">
        <v>0</v>
      </c>
      <c r="E154" s="3">
        <v>2</v>
      </c>
      <c r="F154" s="3">
        <v>14</v>
      </c>
      <c r="G154" s="3" t="b">
        <v>0</v>
      </c>
      <c r="H154" s="3">
        <v>5</v>
      </c>
      <c r="I154" s="3">
        <v>2</v>
      </c>
      <c r="J154" s="3">
        <v>0.28000000000000003</v>
      </c>
      <c r="K154" s="3">
        <v>0.2727</v>
      </c>
      <c r="L154" s="3">
        <v>0.45</v>
      </c>
      <c r="M154" s="3">
        <v>0.16420000000000001</v>
      </c>
      <c r="N154" s="3">
        <v>15</v>
      </c>
      <c r="O154" s="3">
        <v>76</v>
      </c>
      <c r="P154" s="3">
        <v>91</v>
      </c>
    </row>
    <row r="155" spans="1:16" x14ac:dyDescent="0.3">
      <c r="A155" s="3">
        <v>773</v>
      </c>
      <c r="B155" s="4">
        <v>40578</v>
      </c>
      <c r="C155" s="3">
        <v>1</v>
      </c>
      <c r="D155" s="3">
        <v>0</v>
      </c>
      <c r="E155" s="3">
        <v>2</v>
      </c>
      <c r="F155" s="3">
        <v>15</v>
      </c>
      <c r="G155" s="3" t="b">
        <v>0</v>
      </c>
      <c r="H155" s="3">
        <v>5</v>
      </c>
      <c r="I155" s="3">
        <v>2</v>
      </c>
      <c r="J155" s="3">
        <v>0.28000000000000003</v>
      </c>
      <c r="K155" s="3">
        <v>0.2727</v>
      </c>
      <c r="L155" s="3">
        <v>0.48</v>
      </c>
      <c r="M155" s="3">
        <v>0.25369999999999998</v>
      </c>
      <c r="N155" s="3">
        <v>9</v>
      </c>
      <c r="O155" s="3">
        <v>81</v>
      </c>
      <c r="P155" s="3">
        <v>90</v>
      </c>
    </row>
    <row r="156" spans="1:16" x14ac:dyDescent="0.3">
      <c r="A156" s="3">
        <v>774</v>
      </c>
      <c r="B156" s="4">
        <v>40578</v>
      </c>
      <c r="C156" s="3">
        <v>1</v>
      </c>
      <c r="D156" s="3">
        <v>0</v>
      </c>
      <c r="E156" s="3">
        <v>2</v>
      </c>
      <c r="F156" s="3">
        <v>16</v>
      </c>
      <c r="G156" s="3" t="b">
        <v>0</v>
      </c>
      <c r="H156" s="3">
        <v>5</v>
      </c>
      <c r="I156" s="3">
        <v>2</v>
      </c>
      <c r="J156" s="3">
        <v>0.3</v>
      </c>
      <c r="K156" s="3">
        <v>0.28789999999999999</v>
      </c>
      <c r="L156" s="3">
        <v>0.42</v>
      </c>
      <c r="M156" s="3">
        <v>0.22389999999999999</v>
      </c>
      <c r="N156" s="3">
        <v>8</v>
      </c>
      <c r="O156" s="3">
        <v>91</v>
      </c>
      <c r="P156" s="3">
        <v>99</v>
      </c>
    </row>
    <row r="157" spans="1:16" x14ac:dyDescent="0.3">
      <c r="A157" s="3">
        <v>775</v>
      </c>
      <c r="B157" s="4">
        <v>40578</v>
      </c>
      <c r="C157" s="3">
        <v>1</v>
      </c>
      <c r="D157" s="3">
        <v>0</v>
      </c>
      <c r="E157" s="3">
        <v>2</v>
      </c>
      <c r="F157" s="3">
        <v>17</v>
      </c>
      <c r="G157" s="3" t="b">
        <v>0</v>
      </c>
      <c r="H157" s="3">
        <v>5</v>
      </c>
      <c r="I157" s="3">
        <v>2</v>
      </c>
      <c r="J157" s="3">
        <v>0.26</v>
      </c>
      <c r="K157" s="3">
        <v>0.2727</v>
      </c>
      <c r="L157" s="3">
        <v>0.56000000000000005</v>
      </c>
      <c r="M157" s="3">
        <v>0.1343</v>
      </c>
      <c r="N157" s="3">
        <v>10</v>
      </c>
      <c r="O157" s="3">
        <v>195</v>
      </c>
      <c r="P157" s="3">
        <v>205</v>
      </c>
    </row>
    <row r="158" spans="1:16" x14ac:dyDescent="0.3">
      <c r="A158" s="3">
        <v>776</v>
      </c>
      <c r="B158" s="4">
        <v>40578</v>
      </c>
      <c r="C158" s="3">
        <v>1</v>
      </c>
      <c r="D158" s="3">
        <v>0</v>
      </c>
      <c r="E158" s="3">
        <v>2</v>
      </c>
      <c r="F158" s="3">
        <v>18</v>
      </c>
      <c r="G158" s="3" t="b">
        <v>0</v>
      </c>
      <c r="H158" s="3">
        <v>5</v>
      </c>
      <c r="I158" s="3">
        <v>2</v>
      </c>
      <c r="J158" s="3">
        <v>0.24</v>
      </c>
      <c r="K158" s="3">
        <v>0.2576</v>
      </c>
      <c r="L158" s="3">
        <v>0.6</v>
      </c>
      <c r="M158" s="3">
        <v>0.1045</v>
      </c>
      <c r="N158" s="3">
        <v>3</v>
      </c>
      <c r="O158" s="3">
        <v>152</v>
      </c>
      <c r="P158" s="3">
        <v>155</v>
      </c>
    </row>
    <row r="159" spans="1:16" x14ac:dyDescent="0.3">
      <c r="A159" s="3">
        <v>777</v>
      </c>
      <c r="B159" s="4">
        <v>40578</v>
      </c>
      <c r="C159" s="3">
        <v>1</v>
      </c>
      <c r="D159" s="3">
        <v>0</v>
      </c>
      <c r="E159" s="3">
        <v>2</v>
      </c>
      <c r="F159" s="3">
        <v>19</v>
      </c>
      <c r="G159" s="3" t="b">
        <v>0</v>
      </c>
      <c r="H159" s="3">
        <v>5</v>
      </c>
      <c r="I159" s="3">
        <v>2</v>
      </c>
      <c r="J159" s="3">
        <v>0.24</v>
      </c>
      <c r="K159" s="3">
        <v>0.2424</v>
      </c>
      <c r="L159" s="3">
        <v>0.65</v>
      </c>
      <c r="M159" s="3">
        <v>0.1343</v>
      </c>
      <c r="N159" s="3">
        <v>1</v>
      </c>
      <c r="O159" s="3">
        <v>102</v>
      </c>
      <c r="P159" s="3">
        <v>103</v>
      </c>
    </row>
    <row r="160" spans="1:16" x14ac:dyDescent="0.3">
      <c r="A160" s="3">
        <v>778</v>
      </c>
      <c r="B160" s="4">
        <v>40578</v>
      </c>
      <c r="C160" s="3">
        <v>1</v>
      </c>
      <c r="D160" s="3">
        <v>0</v>
      </c>
      <c r="E160" s="3">
        <v>2</v>
      </c>
      <c r="F160" s="3">
        <v>20</v>
      </c>
      <c r="G160" s="3" t="b">
        <v>0</v>
      </c>
      <c r="H160" s="3">
        <v>5</v>
      </c>
      <c r="I160" s="3">
        <v>2</v>
      </c>
      <c r="J160" s="3">
        <v>0.24</v>
      </c>
      <c r="K160" s="3">
        <v>0.2424</v>
      </c>
      <c r="L160" s="3">
        <v>0.65</v>
      </c>
      <c r="M160" s="3">
        <v>0.16420000000000001</v>
      </c>
      <c r="N160" s="3">
        <v>2</v>
      </c>
      <c r="O160" s="3">
        <v>69</v>
      </c>
      <c r="P160" s="3">
        <v>71</v>
      </c>
    </row>
    <row r="161" spans="1:16" x14ac:dyDescent="0.3">
      <c r="A161" s="3">
        <v>779</v>
      </c>
      <c r="B161" s="4">
        <v>40578</v>
      </c>
      <c r="C161" s="3">
        <v>1</v>
      </c>
      <c r="D161" s="3">
        <v>0</v>
      </c>
      <c r="E161" s="3">
        <v>2</v>
      </c>
      <c r="F161" s="3">
        <v>21</v>
      </c>
      <c r="G161" s="3" t="b">
        <v>0</v>
      </c>
      <c r="H161" s="3">
        <v>5</v>
      </c>
      <c r="I161" s="3">
        <v>2</v>
      </c>
      <c r="J161" s="3">
        <v>0.24</v>
      </c>
      <c r="K161" s="3">
        <v>0.2424</v>
      </c>
      <c r="L161" s="3">
        <v>0.7</v>
      </c>
      <c r="M161" s="3">
        <v>0.16420000000000001</v>
      </c>
      <c r="N161" s="3">
        <v>2</v>
      </c>
      <c r="O161" s="3">
        <v>41</v>
      </c>
      <c r="P161" s="3">
        <v>43</v>
      </c>
    </row>
    <row r="162" spans="1:16" x14ac:dyDescent="0.3">
      <c r="A162" s="3">
        <v>780</v>
      </c>
      <c r="B162" s="4">
        <v>40578</v>
      </c>
      <c r="C162" s="3">
        <v>1</v>
      </c>
      <c r="D162" s="3">
        <v>0</v>
      </c>
      <c r="E162" s="3">
        <v>2</v>
      </c>
      <c r="F162" s="3">
        <v>22</v>
      </c>
      <c r="G162" s="3" t="b">
        <v>0</v>
      </c>
      <c r="H162" s="3">
        <v>5</v>
      </c>
      <c r="I162" s="3">
        <v>2</v>
      </c>
      <c r="J162" s="3">
        <v>0.24</v>
      </c>
      <c r="K162" s="3">
        <v>0.2424</v>
      </c>
      <c r="L162" s="3">
        <v>0.65</v>
      </c>
      <c r="M162" s="3">
        <v>0.16420000000000001</v>
      </c>
      <c r="N162" s="3">
        <v>1</v>
      </c>
      <c r="O162" s="3">
        <v>45</v>
      </c>
      <c r="P162" s="3">
        <v>46</v>
      </c>
    </row>
    <row r="163" spans="1:16" x14ac:dyDescent="0.3">
      <c r="A163" s="3">
        <v>781</v>
      </c>
      <c r="B163" s="4">
        <v>40578</v>
      </c>
      <c r="C163" s="3">
        <v>1</v>
      </c>
      <c r="D163" s="3">
        <v>0</v>
      </c>
      <c r="E163" s="3">
        <v>2</v>
      </c>
      <c r="F163" s="3">
        <v>23</v>
      </c>
      <c r="G163" s="3" t="b">
        <v>0</v>
      </c>
      <c r="H163" s="3">
        <v>5</v>
      </c>
      <c r="I163" s="3">
        <v>2</v>
      </c>
      <c r="J163" s="3">
        <v>0.24</v>
      </c>
      <c r="K163" s="3">
        <v>0.2424</v>
      </c>
      <c r="L163" s="3">
        <v>0.7</v>
      </c>
      <c r="M163" s="3">
        <v>0.1343</v>
      </c>
      <c r="N163" s="3">
        <v>1</v>
      </c>
      <c r="O163" s="3">
        <v>30</v>
      </c>
      <c r="P163" s="3">
        <v>31</v>
      </c>
    </row>
    <row r="164" spans="1:16" x14ac:dyDescent="0.3">
      <c r="A164" s="3">
        <v>782</v>
      </c>
      <c r="B164" s="4">
        <v>40579</v>
      </c>
      <c r="C164" s="3">
        <v>1</v>
      </c>
      <c r="D164" s="3">
        <v>0</v>
      </c>
      <c r="E164" s="3">
        <v>2</v>
      </c>
      <c r="F164" s="3">
        <v>0</v>
      </c>
      <c r="G164" s="3" t="b">
        <v>0</v>
      </c>
      <c r="H164" s="3">
        <v>6</v>
      </c>
      <c r="I164" s="3">
        <v>2</v>
      </c>
      <c r="J164" s="3">
        <v>0.24</v>
      </c>
      <c r="K164" s="3">
        <v>0.2424</v>
      </c>
      <c r="L164" s="3">
        <v>0.7</v>
      </c>
      <c r="M164" s="3">
        <v>0.16420000000000001</v>
      </c>
      <c r="N164" s="3">
        <v>3</v>
      </c>
      <c r="O164" s="3">
        <v>36</v>
      </c>
      <c r="P164" s="3">
        <v>39</v>
      </c>
    </row>
    <row r="165" spans="1:16" x14ac:dyDescent="0.3">
      <c r="A165" s="3">
        <v>783</v>
      </c>
      <c r="B165" s="4">
        <v>40579</v>
      </c>
      <c r="C165" s="3">
        <v>1</v>
      </c>
      <c r="D165" s="3">
        <v>0</v>
      </c>
      <c r="E165" s="3">
        <v>2</v>
      </c>
      <c r="F165" s="3">
        <v>1</v>
      </c>
      <c r="G165" s="3" t="b">
        <v>0</v>
      </c>
      <c r="H165" s="3">
        <v>6</v>
      </c>
      <c r="I165" s="3">
        <v>2</v>
      </c>
      <c r="J165" s="3">
        <v>0.24</v>
      </c>
      <c r="K165" s="3">
        <v>0.2424</v>
      </c>
      <c r="L165" s="3">
        <v>0.65</v>
      </c>
      <c r="M165" s="3">
        <v>0.16420000000000001</v>
      </c>
      <c r="N165" s="3">
        <v>1</v>
      </c>
      <c r="O165" s="3">
        <v>17</v>
      </c>
      <c r="P165" s="3">
        <v>18</v>
      </c>
    </row>
    <row r="166" spans="1:16" x14ac:dyDescent="0.3">
      <c r="A166" s="3">
        <v>784</v>
      </c>
      <c r="B166" s="4">
        <v>40579</v>
      </c>
      <c r="C166" s="3">
        <v>1</v>
      </c>
      <c r="D166" s="3">
        <v>0</v>
      </c>
      <c r="E166" s="3">
        <v>2</v>
      </c>
      <c r="F166" s="3">
        <v>2</v>
      </c>
      <c r="G166" s="3" t="b">
        <v>0</v>
      </c>
      <c r="H166" s="3">
        <v>6</v>
      </c>
      <c r="I166" s="3">
        <v>2</v>
      </c>
      <c r="J166" s="3">
        <v>0.24</v>
      </c>
      <c r="K166" s="3">
        <v>0.2424</v>
      </c>
      <c r="L166" s="3">
        <v>0.75</v>
      </c>
      <c r="M166" s="3">
        <v>0.16420000000000001</v>
      </c>
      <c r="N166" s="3">
        <v>5</v>
      </c>
      <c r="O166" s="3">
        <v>12</v>
      </c>
      <c r="P166" s="3">
        <v>17</v>
      </c>
    </row>
    <row r="167" spans="1:16" x14ac:dyDescent="0.3">
      <c r="A167" s="3">
        <v>785</v>
      </c>
      <c r="B167" s="4">
        <v>40579</v>
      </c>
      <c r="C167" s="3">
        <v>1</v>
      </c>
      <c r="D167" s="3">
        <v>0</v>
      </c>
      <c r="E167" s="3">
        <v>2</v>
      </c>
      <c r="F167" s="3">
        <v>3</v>
      </c>
      <c r="G167" s="3" t="b">
        <v>0</v>
      </c>
      <c r="H167" s="3">
        <v>6</v>
      </c>
      <c r="I167" s="3">
        <v>2</v>
      </c>
      <c r="J167" s="3">
        <v>0.24</v>
      </c>
      <c r="K167" s="3">
        <v>0.2424</v>
      </c>
      <c r="L167" s="3">
        <v>0.75</v>
      </c>
      <c r="M167" s="3">
        <v>0.16420000000000001</v>
      </c>
      <c r="N167" s="3">
        <v>1</v>
      </c>
      <c r="O167" s="3">
        <v>10</v>
      </c>
      <c r="P167" s="3">
        <v>11</v>
      </c>
    </row>
    <row r="168" spans="1:16" x14ac:dyDescent="0.3">
      <c r="A168" s="3">
        <v>786</v>
      </c>
      <c r="B168" s="4">
        <v>40579</v>
      </c>
      <c r="C168" s="3">
        <v>1</v>
      </c>
      <c r="D168" s="3">
        <v>0</v>
      </c>
      <c r="E168" s="3">
        <v>2</v>
      </c>
      <c r="F168" s="3">
        <v>4</v>
      </c>
      <c r="G168" s="3" t="b">
        <v>0</v>
      </c>
      <c r="H168" s="3">
        <v>6</v>
      </c>
      <c r="I168" s="3">
        <v>3</v>
      </c>
      <c r="J168" s="3">
        <v>0.22</v>
      </c>
      <c r="K168" s="3">
        <v>0.2273</v>
      </c>
      <c r="L168" s="3">
        <v>0.93</v>
      </c>
      <c r="M168" s="3">
        <v>0.1343</v>
      </c>
      <c r="N168" s="3">
        <v>0</v>
      </c>
      <c r="O168" s="3">
        <v>8</v>
      </c>
      <c r="P168" s="3">
        <v>8</v>
      </c>
    </row>
    <row r="169" spans="1:16" x14ac:dyDescent="0.3">
      <c r="A169" s="3">
        <v>787</v>
      </c>
      <c r="B169" s="4">
        <v>40579</v>
      </c>
      <c r="C169" s="3">
        <v>1</v>
      </c>
      <c r="D169" s="3">
        <v>0</v>
      </c>
      <c r="E169" s="3">
        <v>2</v>
      </c>
      <c r="F169" s="3">
        <v>5</v>
      </c>
      <c r="G169" s="3" t="b">
        <v>0</v>
      </c>
      <c r="H169" s="3">
        <v>6</v>
      </c>
      <c r="I169" s="3">
        <v>3</v>
      </c>
      <c r="J169" s="3">
        <v>0.2</v>
      </c>
      <c r="K169" s="3">
        <v>0.2273</v>
      </c>
      <c r="L169" s="3">
        <v>1</v>
      </c>
      <c r="M169" s="3">
        <v>8.9599999999999999E-2</v>
      </c>
      <c r="N169" s="3">
        <v>0</v>
      </c>
      <c r="O169" s="3">
        <v>9</v>
      </c>
      <c r="P169" s="3">
        <v>9</v>
      </c>
    </row>
    <row r="170" spans="1:16" x14ac:dyDescent="0.3">
      <c r="A170" s="3">
        <v>788</v>
      </c>
      <c r="B170" s="4">
        <v>40579</v>
      </c>
      <c r="C170" s="3">
        <v>1</v>
      </c>
      <c r="D170" s="3">
        <v>0</v>
      </c>
      <c r="E170" s="3">
        <v>2</v>
      </c>
      <c r="F170" s="3">
        <v>6</v>
      </c>
      <c r="G170" s="3" t="b">
        <v>0</v>
      </c>
      <c r="H170" s="3">
        <v>6</v>
      </c>
      <c r="I170" s="3">
        <v>3</v>
      </c>
      <c r="J170" s="3">
        <v>0.2</v>
      </c>
      <c r="K170" s="3">
        <v>0.2576</v>
      </c>
      <c r="L170" s="3">
        <v>1</v>
      </c>
      <c r="M170" s="3">
        <v>0</v>
      </c>
      <c r="N170" s="3">
        <v>0</v>
      </c>
      <c r="O170" s="3">
        <v>4</v>
      </c>
      <c r="P170" s="3">
        <v>4</v>
      </c>
    </row>
    <row r="171" spans="1:16" x14ac:dyDescent="0.3">
      <c r="A171" s="3">
        <v>789</v>
      </c>
      <c r="B171" s="4">
        <v>40579</v>
      </c>
      <c r="C171" s="3">
        <v>1</v>
      </c>
      <c r="D171" s="3">
        <v>0</v>
      </c>
      <c r="E171" s="3">
        <v>2</v>
      </c>
      <c r="F171" s="3">
        <v>7</v>
      </c>
      <c r="G171" s="3" t="b">
        <v>0</v>
      </c>
      <c r="H171" s="3">
        <v>6</v>
      </c>
      <c r="I171" s="3">
        <v>3</v>
      </c>
      <c r="J171" s="3">
        <v>0.22</v>
      </c>
      <c r="K171" s="3">
        <v>0.2576</v>
      </c>
      <c r="L171" s="3">
        <v>0.93</v>
      </c>
      <c r="M171" s="3">
        <v>8.9599999999999999E-2</v>
      </c>
      <c r="N171" s="3">
        <v>0</v>
      </c>
      <c r="O171" s="3">
        <v>4</v>
      </c>
      <c r="P171" s="3">
        <v>4</v>
      </c>
    </row>
    <row r="172" spans="1:16" x14ac:dyDescent="0.3">
      <c r="A172" s="3">
        <v>790</v>
      </c>
      <c r="B172" s="4">
        <v>40579</v>
      </c>
      <c r="C172" s="3">
        <v>1</v>
      </c>
      <c r="D172" s="3">
        <v>0</v>
      </c>
      <c r="E172" s="3">
        <v>2</v>
      </c>
      <c r="F172" s="3">
        <v>8</v>
      </c>
      <c r="G172" s="3" t="b">
        <v>0</v>
      </c>
      <c r="H172" s="3">
        <v>6</v>
      </c>
      <c r="I172" s="3">
        <v>3</v>
      </c>
      <c r="J172" s="3">
        <v>0.2</v>
      </c>
      <c r="K172" s="3">
        <v>0.2273</v>
      </c>
      <c r="L172" s="3">
        <v>1</v>
      </c>
      <c r="M172" s="3">
        <v>8.9599999999999999E-2</v>
      </c>
      <c r="N172" s="3">
        <v>0</v>
      </c>
      <c r="O172" s="3">
        <v>10</v>
      </c>
      <c r="P172" s="3">
        <v>10</v>
      </c>
    </row>
    <row r="173" spans="1:16" x14ac:dyDescent="0.3">
      <c r="A173" s="3">
        <v>791</v>
      </c>
      <c r="B173" s="4">
        <v>40579</v>
      </c>
      <c r="C173" s="3">
        <v>1</v>
      </c>
      <c r="D173" s="3">
        <v>0</v>
      </c>
      <c r="E173" s="3">
        <v>2</v>
      </c>
      <c r="F173" s="3">
        <v>9</v>
      </c>
      <c r="G173" s="3" t="b">
        <v>0</v>
      </c>
      <c r="H173" s="3">
        <v>6</v>
      </c>
      <c r="I173" s="3">
        <v>3</v>
      </c>
      <c r="J173" s="3">
        <v>0.2</v>
      </c>
      <c r="K173" s="3">
        <v>0.2273</v>
      </c>
      <c r="L173" s="3">
        <v>1</v>
      </c>
      <c r="M173" s="3">
        <v>8.9599999999999999E-2</v>
      </c>
      <c r="N173" s="3">
        <v>3</v>
      </c>
      <c r="O173" s="3">
        <v>17</v>
      </c>
      <c r="P173" s="3">
        <v>20</v>
      </c>
    </row>
    <row r="174" spans="1:16" x14ac:dyDescent="0.3">
      <c r="A174" s="3">
        <v>792</v>
      </c>
      <c r="B174" s="4">
        <v>40579</v>
      </c>
      <c r="C174" s="3">
        <v>1</v>
      </c>
      <c r="D174" s="3">
        <v>0</v>
      </c>
      <c r="E174" s="3">
        <v>2</v>
      </c>
      <c r="F174" s="3">
        <v>10</v>
      </c>
      <c r="G174" s="3" t="b">
        <v>0</v>
      </c>
      <c r="H174" s="3">
        <v>6</v>
      </c>
      <c r="I174" s="3">
        <v>3</v>
      </c>
      <c r="J174" s="3">
        <v>0.2</v>
      </c>
      <c r="K174" s="3">
        <v>0.21210000000000001</v>
      </c>
      <c r="L174" s="3">
        <v>1</v>
      </c>
      <c r="M174" s="3">
        <v>0.1343</v>
      </c>
      <c r="N174" s="3">
        <v>3</v>
      </c>
      <c r="O174" s="3">
        <v>31</v>
      </c>
      <c r="P174" s="3">
        <v>34</v>
      </c>
    </row>
    <row r="175" spans="1:16" x14ac:dyDescent="0.3">
      <c r="A175" s="3">
        <v>793</v>
      </c>
      <c r="B175" s="4">
        <v>40579</v>
      </c>
      <c r="C175" s="3">
        <v>1</v>
      </c>
      <c r="D175" s="3">
        <v>0</v>
      </c>
      <c r="E175" s="3">
        <v>2</v>
      </c>
      <c r="F175" s="3">
        <v>11</v>
      </c>
      <c r="G175" s="3" t="b">
        <v>0</v>
      </c>
      <c r="H175" s="3">
        <v>6</v>
      </c>
      <c r="I175" s="3">
        <v>3</v>
      </c>
      <c r="J175" s="3">
        <v>0.22</v>
      </c>
      <c r="K175" s="3">
        <v>0.2273</v>
      </c>
      <c r="L175" s="3">
        <v>1</v>
      </c>
      <c r="M175" s="3">
        <v>0.1343</v>
      </c>
      <c r="N175" s="3">
        <v>1</v>
      </c>
      <c r="O175" s="3">
        <v>46</v>
      </c>
      <c r="P175" s="3">
        <v>47</v>
      </c>
    </row>
    <row r="176" spans="1:16" x14ac:dyDescent="0.3">
      <c r="A176" s="3">
        <v>794</v>
      </c>
      <c r="B176" s="4">
        <v>40579</v>
      </c>
      <c r="C176" s="3">
        <v>1</v>
      </c>
      <c r="D176" s="3">
        <v>0</v>
      </c>
      <c r="E176" s="3">
        <v>2</v>
      </c>
      <c r="F176" s="3">
        <v>12</v>
      </c>
      <c r="G176" s="3" t="b">
        <v>0</v>
      </c>
      <c r="H176" s="3">
        <v>6</v>
      </c>
      <c r="I176" s="3">
        <v>3</v>
      </c>
      <c r="J176" s="3">
        <v>0.22</v>
      </c>
      <c r="K176" s="3">
        <v>0.2273</v>
      </c>
      <c r="L176" s="3">
        <v>1</v>
      </c>
      <c r="M176" s="3">
        <v>0.16420000000000001</v>
      </c>
      <c r="N176" s="3">
        <v>10</v>
      </c>
      <c r="O176" s="3">
        <v>42</v>
      </c>
      <c r="P176" s="3">
        <v>52</v>
      </c>
    </row>
    <row r="177" spans="1:16" x14ac:dyDescent="0.3">
      <c r="A177" s="3">
        <v>795</v>
      </c>
      <c r="B177" s="4">
        <v>40579</v>
      </c>
      <c r="C177" s="3">
        <v>1</v>
      </c>
      <c r="D177" s="3">
        <v>0</v>
      </c>
      <c r="E177" s="3">
        <v>2</v>
      </c>
      <c r="F177" s="3">
        <v>13</v>
      </c>
      <c r="G177" s="3" t="b">
        <v>0</v>
      </c>
      <c r="H177" s="3">
        <v>6</v>
      </c>
      <c r="I177" s="3">
        <v>3</v>
      </c>
      <c r="J177" s="3">
        <v>0.22</v>
      </c>
      <c r="K177" s="3">
        <v>0.2273</v>
      </c>
      <c r="L177" s="3">
        <v>1</v>
      </c>
      <c r="M177" s="3">
        <v>0.16420000000000001</v>
      </c>
      <c r="N177" s="3">
        <v>10</v>
      </c>
      <c r="O177" s="3">
        <v>62</v>
      </c>
      <c r="P177" s="3">
        <v>72</v>
      </c>
    </row>
    <row r="178" spans="1:16" x14ac:dyDescent="0.3">
      <c r="A178" s="3">
        <v>796</v>
      </c>
      <c r="B178" s="4">
        <v>40579</v>
      </c>
      <c r="C178" s="3">
        <v>1</v>
      </c>
      <c r="D178" s="3">
        <v>0</v>
      </c>
      <c r="E178" s="3">
        <v>2</v>
      </c>
      <c r="F178" s="3">
        <v>14</v>
      </c>
      <c r="G178" s="3" t="b">
        <v>0</v>
      </c>
      <c r="H178" s="3">
        <v>6</v>
      </c>
      <c r="I178" s="3">
        <v>3</v>
      </c>
      <c r="J178" s="3">
        <v>0.22</v>
      </c>
      <c r="K178" s="3">
        <v>0.2727</v>
      </c>
      <c r="L178" s="3">
        <v>1</v>
      </c>
      <c r="M178" s="3">
        <v>0</v>
      </c>
      <c r="N178" s="3">
        <v>5</v>
      </c>
      <c r="O178" s="3">
        <v>50</v>
      </c>
      <c r="P178" s="3">
        <v>55</v>
      </c>
    </row>
    <row r="179" spans="1:16" x14ac:dyDescent="0.3">
      <c r="A179" s="3">
        <v>797</v>
      </c>
      <c r="B179" s="4">
        <v>40579</v>
      </c>
      <c r="C179" s="3">
        <v>1</v>
      </c>
      <c r="D179" s="3">
        <v>0</v>
      </c>
      <c r="E179" s="3">
        <v>2</v>
      </c>
      <c r="F179" s="3">
        <v>15</v>
      </c>
      <c r="G179" s="3" t="b">
        <v>0</v>
      </c>
      <c r="H179" s="3">
        <v>6</v>
      </c>
      <c r="I179" s="3">
        <v>3</v>
      </c>
      <c r="J179" s="3">
        <v>0.22</v>
      </c>
      <c r="K179" s="3">
        <v>0.2727</v>
      </c>
      <c r="L179" s="3">
        <v>1</v>
      </c>
      <c r="M179" s="3">
        <v>0</v>
      </c>
      <c r="N179" s="3">
        <v>11</v>
      </c>
      <c r="O179" s="3">
        <v>49</v>
      </c>
      <c r="P179" s="3">
        <v>60</v>
      </c>
    </row>
    <row r="180" spans="1:16" x14ac:dyDescent="0.3">
      <c r="A180" s="3">
        <v>798</v>
      </c>
      <c r="B180" s="4">
        <v>40579</v>
      </c>
      <c r="C180" s="3">
        <v>1</v>
      </c>
      <c r="D180" s="3">
        <v>0</v>
      </c>
      <c r="E180" s="3">
        <v>2</v>
      </c>
      <c r="F180" s="3">
        <v>16</v>
      </c>
      <c r="G180" s="3" t="b">
        <v>0</v>
      </c>
      <c r="H180" s="3">
        <v>6</v>
      </c>
      <c r="I180" s="3">
        <v>3</v>
      </c>
      <c r="J180" s="3">
        <v>0.22</v>
      </c>
      <c r="K180" s="3">
        <v>0.2273</v>
      </c>
      <c r="L180" s="3">
        <v>1</v>
      </c>
      <c r="M180" s="3">
        <v>0.1343</v>
      </c>
      <c r="N180" s="3">
        <v>8</v>
      </c>
      <c r="O180" s="3">
        <v>63</v>
      </c>
      <c r="P180" s="3">
        <v>71</v>
      </c>
    </row>
    <row r="181" spans="1:16" x14ac:dyDescent="0.3">
      <c r="A181" s="3">
        <v>799</v>
      </c>
      <c r="B181" s="4">
        <v>40579</v>
      </c>
      <c r="C181" s="3">
        <v>1</v>
      </c>
      <c r="D181" s="3">
        <v>0</v>
      </c>
      <c r="E181" s="3">
        <v>2</v>
      </c>
      <c r="F181" s="3">
        <v>17</v>
      </c>
      <c r="G181" s="3" t="b">
        <v>0</v>
      </c>
      <c r="H181" s="3">
        <v>6</v>
      </c>
      <c r="I181" s="3">
        <v>2</v>
      </c>
      <c r="J181" s="3">
        <v>0.24</v>
      </c>
      <c r="K181" s="3">
        <v>0.21210000000000001</v>
      </c>
      <c r="L181" s="3">
        <v>1</v>
      </c>
      <c r="M181" s="3">
        <v>0.28360000000000002</v>
      </c>
      <c r="N181" s="3">
        <v>14</v>
      </c>
      <c r="O181" s="3">
        <v>64</v>
      </c>
      <c r="P181" s="3">
        <v>78</v>
      </c>
    </row>
    <row r="182" spans="1:16" x14ac:dyDescent="0.3">
      <c r="A182" s="3">
        <v>800</v>
      </c>
      <c r="B182" s="4">
        <v>40579</v>
      </c>
      <c r="C182" s="3">
        <v>1</v>
      </c>
      <c r="D182" s="3">
        <v>0</v>
      </c>
      <c r="E182" s="3">
        <v>2</v>
      </c>
      <c r="F182" s="3">
        <v>18</v>
      </c>
      <c r="G182" s="3" t="b">
        <v>0</v>
      </c>
      <c r="H182" s="3">
        <v>6</v>
      </c>
      <c r="I182" s="3">
        <v>2</v>
      </c>
      <c r="J182" s="3">
        <v>0.28000000000000003</v>
      </c>
      <c r="K182" s="3">
        <v>0.2424</v>
      </c>
      <c r="L182" s="3">
        <v>0.93</v>
      </c>
      <c r="M182" s="3">
        <v>0.44779999999999998</v>
      </c>
      <c r="N182" s="3">
        <v>2</v>
      </c>
      <c r="O182" s="3">
        <v>81</v>
      </c>
      <c r="P182" s="3">
        <v>83</v>
      </c>
    </row>
    <row r="183" spans="1:16" x14ac:dyDescent="0.3">
      <c r="A183" s="3">
        <v>801</v>
      </c>
      <c r="B183" s="4">
        <v>40579</v>
      </c>
      <c r="C183" s="3">
        <v>1</v>
      </c>
      <c r="D183" s="3">
        <v>0</v>
      </c>
      <c r="E183" s="3">
        <v>2</v>
      </c>
      <c r="F183" s="3">
        <v>19</v>
      </c>
      <c r="G183" s="3" t="b">
        <v>0</v>
      </c>
      <c r="H183" s="3">
        <v>6</v>
      </c>
      <c r="I183" s="3">
        <v>2</v>
      </c>
      <c r="J183" s="3">
        <v>0.28000000000000003</v>
      </c>
      <c r="K183" s="3">
        <v>0.2424</v>
      </c>
      <c r="L183" s="3">
        <v>0.93</v>
      </c>
      <c r="M183" s="3">
        <v>0.44779999999999998</v>
      </c>
      <c r="N183" s="3">
        <v>6</v>
      </c>
      <c r="O183" s="3">
        <v>78</v>
      </c>
      <c r="P183" s="3">
        <v>84</v>
      </c>
    </row>
    <row r="184" spans="1:16" x14ac:dyDescent="0.3">
      <c r="A184" s="3">
        <v>802</v>
      </c>
      <c r="B184" s="4">
        <v>40579</v>
      </c>
      <c r="C184" s="3">
        <v>1</v>
      </c>
      <c r="D184" s="3">
        <v>0</v>
      </c>
      <c r="E184" s="3">
        <v>2</v>
      </c>
      <c r="F184" s="3">
        <v>20</v>
      </c>
      <c r="G184" s="3" t="b">
        <v>0</v>
      </c>
      <c r="H184" s="3">
        <v>6</v>
      </c>
      <c r="I184" s="3">
        <v>1</v>
      </c>
      <c r="J184" s="3">
        <v>0.3</v>
      </c>
      <c r="K184" s="3">
        <v>0.28789999999999999</v>
      </c>
      <c r="L184" s="3">
        <v>0.87</v>
      </c>
      <c r="M184" s="3">
        <v>0.25369999999999998</v>
      </c>
      <c r="N184" s="3">
        <v>5</v>
      </c>
      <c r="O184" s="3">
        <v>64</v>
      </c>
      <c r="P184" s="3">
        <v>69</v>
      </c>
    </row>
    <row r="185" spans="1:16" x14ac:dyDescent="0.3">
      <c r="A185" s="3">
        <v>803</v>
      </c>
      <c r="B185" s="4">
        <v>40579</v>
      </c>
      <c r="C185" s="3">
        <v>1</v>
      </c>
      <c r="D185" s="3">
        <v>0</v>
      </c>
      <c r="E185" s="3">
        <v>2</v>
      </c>
      <c r="F185" s="3">
        <v>21</v>
      </c>
      <c r="G185" s="3" t="b">
        <v>0</v>
      </c>
      <c r="H185" s="3">
        <v>6</v>
      </c>
      <c r="I185" s="3">
        <v>1</v>
      </c>
      <c r="J185" s="3">
        <v>0.26</v>
      </c>
      <c r="K185" s="3">
        <v>0.2576</v>
      </c>
      <c r="L185" s="3">
        <v>1</v>
      </c>
      <c r="M185" s="3">
        <v>0.19400000000000001</v>
      </c>
      <c r="N185" s="3">
        <v>3</v>
      </c>
      <c r="O185" s="3">
        <v>53</v>
      </c>
      <c r="P185" s="3">
        <v>56</v>
      </c>
    </row>
    <row r="186" spans="1:16" x14ac:dyDescent="0.3">
      <c r="A186" s="3">
        <v>804</v>
      </c>
      <c r="B186" s="4">
        <v>40579</v>
      </c>
      <c r="C186" s="3">
        <v>1</v>
      </c>
      <c r="D186" s="3">
        <v>0</v>
      </c>
      <c r="E186" s="3">
        <v>2</v>
      </c>
      <c r="F186" s="3">
        <v>22</v>
      </c>
      <c r="G186" s="3" t="b">
        <v>0</v>
      </c>
      <c r="H186" s="3">
        <v>6</v>
      </c>
      <c r="I186" s="3">
        <v>1</v>
      </c>
      <c r="J186" s="3">
        <v>0.26</v>
      </c>
      <c r="K186" s="3">
        <v>0.2727</v>
      </c>
      <c r="L186" s="3">
        <v>0.93</v>
      </c>
      <c r="M186" s="3">
        <v>0.1343</v>
      </c>
      <c r="N186" s="3">
        <v>2</v>
      </c>
      <c r="O186" s="3">
        <v>43</v>
      </c>
      <c r="P186" s="3">
        <v>45</v>
      </c>
    </row>
    <row r="187" spans="1:16" x14ac:dyDescent="0.3">
      <c r="A187" s="3">
        <v>805</v>
      </c>
      <c r="B187" s="4">
        <v>40579</v>
      </c>
      <c r="C187" s="3">
        <v>1</v>
      </c>
      <c r="D187" s="3">
        <v>0</v>
      </c>
      <c r="E187" s="3">
        <v>2</v>
      </c>
      <c r="F187" s="3">
        <v>23</v>
      </c>
      <c r="G187" s="3" t="b">
        <v>0</v>
      </c>
      <c r="H187" s="3">
        <v>6</v>
      </c>
      <c r="I187" s="3">
        <v>1</v>
      </c>
      <c r="J187" s="3">
        <v>0.26</v>
      </c>
      <c r="K187" s="3">
        <v>0.2576</v>
      </c>
      <c r="L187" s="3">
        <v>0.93</v>
      </c>
      <c r="M187" s="3">
        <v>0.22389999999999999</v>
      </c>
      <c r="N187" s="3">
        <v>7</v>
      </c>
      <c r="O187" s="3">
        <v>52</v>
      </c>
      <c r="P187" s="3">
        <v>59</v>
      </c>
    </row>
    <row r="188" spans="1:16" x14ac:dyDescent="0.3">
      <c r="A188" s="3">
        <v>806</v>
      </c>
      <c r="B188" s="4">
        <v>40580</v>
      </c>
      <c r="C188" s="3">
        <v>1</v>
      </c>
      <c r="D188" s="3">
        <v>0</v>
      </c>
      <c r="E188" s="3">
        <v>2</v>
      </c>
      <c r="F188" s="3">
        <v>0</v>
      </c>
      <c r="G188" s="3" t="b">
        <v>0</v>
      </c>
      <c r="H188" s="3">
        <v>0</v>
      </c>
      <c r="I188" s="3">
        <v>1</v>
      </c>
      <c r="J188" s="3">
        <v>0.26</v>
      </c>
      <c r="K188" s="3">
        <v>0.2576</v>
      </c>
      <c r="L188" s="3">
        <v>0.7</v>
      </c>
      <c r="M188" s="3">
        <v>0.19400000000000001</v>
      </c>
      <c r="N188" s="3">
        <v>2</v>
      </c>
      <c r="O188" s="3">
        <v>37</v>
      </c>
      <c r="P188" s="3">
        <v>39</v>
      </c>
    </row>
    <row r="189" spans="1:16" x14ac:dyDescent="0.3">
      <c r="A189" s="3">
        <v>807</v>
      </c>
      <c r="B189" s="4">
        <v>40580</v>
      </c>
      <c r="C189" s="3">
        <v>1</v>
      </c>
      <c r="D189" s="3">
        <v>0</v>
      </c>
      <c r="E189" s="3">
        <v>2</v>
      </c>
      <c r="F189" s="3">
        <v>1</v>
      </c>
      <c r="G189" s="3" t="b">
        <v>0</v>
      </c>
      <c r="H189" s="3">
        <v>0</v>
      </c>
      <c r="I189" s="3">
        <v>1</v>
      </c>
      <c r="J189" s="3">
        <v>0.26</v>
      </c>
      <c r="K189" s="3">
        <v>0.2273</v>
      </c>
      <c r="L189" s="3">
        <v>0.65</v>
      </c>
      <c r="M189" s="3">
        <v>0.41789999999999999</v>
      </c>
      <c r="N189" s="3">
        <v>4</v>
      </c>
      <c r="O189" s="3">
        <v>40</v>
      </c>
      <c r="P189" s="3">
        <v>44</v>
      </c>
    </row>
    <row r="190" spans="1:16" x14ac:dyDescent="0.3">
      <c r="A190" s="3">
        <v>808</v>
      </c>
      <c r="B190" s="4">
        <v>40580</v>
      </c>
      <c r="C190" s="3">
        <v>1</v>
      </c>
      <c r="D190" s="3">
        <v>0</v>
      </c>
      <c r="E190" s="3">
        <v>2</v>
      </c>
      <c r="F190" s="3">
        <v>2</v>
      </c>
      <c r="G190" s="3" t="b">
        <v>0</v>
      </c>
      <c r="H190" s="3">
        <v>0</v>
      </c>
      <c r="I190" s="3">
        <v>1</v>
      </c>
      <c r="J190" s="3">
        <v>0.26</v>
      </c>
      <c r="K190" s="3">
        <v>0.2273</v>
      </c>
      <c r="L190" s="3">
        <v>0.6</v>
      </c>
      <c r="M190" s="3">
        <v>0.32840000000000003</v>
      </c>
      <c r="N190" s="3">
        <v>0</v>
      </c>
      <c r="O190" s="3">
        <v>20</v>
      </c>
      <c r="P190" s="3">
        <v>20</v>
      </c>
    </row>
    <row r="191" spans="1:16" x14ac:dyDescent="0.3">
      <c r="A191" s="3">
        <v>809</v>
      </c>
      <c r="B191" s="4">
        <v>40580</v>
      </c>
      <c r="C191" s="3">
        <v>1</v>
      </c>
      <c r="D191" s="3">
        <v>0</v>
      </c>
      <c r="E191" s="3">
        <v>2</v>
      </c>
      <c r="F191" s="3">
        <v>3</v>
      </c>
      <c r="G191" s="3" t="b">
        <v>0</v>
      </c>
      <c r="H191" s="3">
        <v>0</v>
      </c>
      <c r="I191" s="3">
        <v>1</v>
      </c>
      <c r="J191" s="3">
        <v>0.26</v>
      </c>
      <c r="K191" s="3">
        <v>0.28789999999999999</v>
      </c>
      <c r="L191" s="3">
        <v>0.6</v>
      </c>
      <c r="M191" s="3">
        <v>8.9599999999999999E-2</v>
      </c>
      <c r="N191" s="3">
        <v>3</v>
      </c>
      <c r="O191" s="3">
        <v>10</v>
      </c>
      <c r="P191" s="3">
        <v>13</v>
      </c>
    </row>
    <row r="192" spans="1:16" x14ac:dyDescent="0.3">
      <c r="A192" s="3">
        <v>810</v>
      </c>
      <c r="B192" s="4">
        <v>40580</v>
      </c>
      <c r="C192" s="3">
        <v>1</v>
      </c>
      <c r="D192" s="3">
        <v>0</v>
      </c>
      <c r="E192" s="3">
        <v>2</v>
      </c>
      <c r="F192" s="3">
        <v>4</v>
      </c>
      <c r="G192" s="3" t="b">
        <v>0</v>
      </c>
      <c r="H192" s="3">
        <v>0</v>
      </c>
      <c r="I192" s="3">
        <v>1</v>
      </c>
      <c r="J192" s="3">
        <v>0.26</v>
      </c>
      <c r="K192" s="3">
        <v>0.2273</v>
      </c>
      <c r="L192" s="3">
        <v>0.6</v>
      </c>
      <c r="M192" s="3">
        <v>0.35820000000000002</v>
      </c>
      <c r="N192" s="3">
        <v>0</v>
      </c>
      <c r="O192" s="3">
        <v>2</v>
      </c>
      <c r="P192" s="3">
        <v>2</v>
      </c>
    </row>
    <row r="193" spans="1:16" x14ac:dyDescent="0.3">
      <c r="A193" s="3">
        <v>811</v>
      </c>
      <c r="B193" s="4">
        <v>40580</v>
      </c>
      <c r="C193" s="3">
        <v>1</v>
      </c>
      <c r="D193" s="3">
        <v>0</v>
      </c>
      <c r="E193" s="3">
        <v>2</v>
      </c>
      <c r="F193" s="3">
        <v>5</v>
      </c>
      <c r="G193" s="3" t="b">
        <v>0</v>
      </c>
      <c r="H193" s="3">
        <v>0</v>
      </c>
      <c r="I193" s="3">
        <v>1</v>
      </c>
      <c r="J193" s="3">
        <v>0.26</v>
      </c>
      <c r="K193" s="3">
        <v>0.2576</v>
      </c>
      <c r="L193" s="3">
        <v>0.6</v>
      </c>
      <c r="M193" s="3">
        <v>0.22389999999999999</v>
      </c>
      <c r="N193" s="3">
        <v>0</v>
      </c>
      <c r="O193" s="3">
        <v>1</v>
      </c>
      <c r="P193" s="3">
        <v>1</v>
      </c>
    </row>
    <row r="194" spans="1:16" x14ac:dyDescent="0.3">
      <c r="A194" s="3">
        <v>812</v>
      </c>
      <c r="B194" s="4">
        <v>40580</v>
      </c>
      <c r="C194" s="3">
        <v>1</v>
      </c>
      <c r="D194" s="3">
        <v>0</v>
      </c>
      <c r="E194" s="3">
        <v>2</v>
      </c>
      <c r="F194" s="3">
        <v>6</v>
      </c>
      <c r="G194" s="3" t="b">
        <v>0</v>
      </c>
      <c r="H194" s="3">
        <v>0</v>
      </c>
      <c r="I194" s="3">
        <v>1</v>
      </c>
      <c r="J194" s="3">
        <v>0.26</v>
      </c>
      <c r="K194" s="3">
        <v>0.2576</v>
      </c>
      <c r="L194" s="3">
        <v>0.6</v>
      </c>
      <c r="M194" s="3">
        <v>0.22389999999999999</v>
      </c>
      <c r="N194" s="3">
        <v>0</v>
      </c>
      <c r="O194" s="3">
        <v>1</v>
      </c>
      <c r="P194" s="3">
        <v>1</v>
      </c>
    </row>
    <row r="195" spans="1:16" x14ac:dyDescent="0.3">
      <c r="A195" s="3">
        <v>813</v>
      </c>
      <c r="B195" s="4">
        <v>40580</v>
      </c>
      <c r="C195" s="3">
        <v>1</v>
      </c>
      <c r="D195" s="3">
        <v>0</v>
      </c>
      <c r="E195" s="3">
        <v>2</v>
      </c>
      <c r="F195" s="3">
        <v>7</v>
      </c>
      <c r="G195" s="3" t="b">
        <v>0</v>
      </c>
      <c r="H195" s="3">
        <v>0</v>
      </c>
      <c r="I195" s="3">
        <v>1</v>
      </c>
      <c r="J195" s="3">
        <v>0.24</v>
      </c>
      <c r="K195" s="3">
        <v>0.2424</v>
      </c>
      <c r="L195" s="3">
        <v>0.65</v>
      </c>
      <c r="M195" s="3">
        <v>0.16420000000000001</v>
      </c>
      <c r="N195" s="3">
        <v>0</v>
      </c>
      <c r="O195" s="3">
        <v>8</v>
      </c>
      <c r="P195" s="3">
        <v>8</v>
      </c>
    </row>
    <row r="196" spans="1:16" x14ac:dyDescent="0.3">
      <c r="A196" s="3">
        <v>814</v>
      </c>
      <c r="B196" s="4">
        <v>40580</v>
      </c>
      <c r="C196" s="3">
        <v>1</v>
      </c>
      <c r="D196" s="3">
        <v>0</v>
      </c>
      <c r="E196" s="3">
        <v>2</v>
      </c>
      <c r="F196" s="3">
        <v>8</v>
      </c>
      <c r="G196" s="3" t="b">
        <v>0</v>
      </c>
      <c r="H196" s="3">
        <v>0</v>
      </c>
      <c r="I196" s="3">
        <v>1</v>
      </c>
      <c r="J196" s="3">
        <v>0.24</v>
      </c>
      <c r="K196" s="3">
        <v>0.2576</v>
      </c>
      <c r="L196" s="3">
        <v>0.65</v>
      </c>
      <c r="M196" s="3">
        <v>0.1045</v>
      </c>
      <c r="N196" s="3">
        <v>2</v>
      </c>
      <c r="O196" s="3">
        <v>21</v>
      </c>
      <c r="P196" s="3">
        <v>23</v>
      </c>
    </row>
    <row r="197" spans="1:16" x14ac:dyDescent="0.3">
      <c r="A197" s="3">
        <v>815</v>
      </c>
      <c r="B197" s="4">
        <v>40580</v>
      </c>
      <c r="C197" s="3">
        <v>1</v>
      </c>
      <c r="D197" s="3">
        <v>0</v>
      </c>
      <c r="E197" s="3">
        <v>2</v>
      </c>
      <c r="F197" s="3">
        <v>9</v>
      </c>
      <c r="G197" s="3" t="b">
        <v>0</v>
      </c>
      <c r="H197" s="3">
        <v>0</v>
      </c>
      <c r="I197" s="3">
        <v>1</v>
      </c>
      <c r="J197" s="3">
        <v>0.28000000000000003</v>
      </c>
      <c r="K197" s="3">
        <v>0.28789999999999999</v>
      </c>
      <c r="L197" s="3">
        <v>0.56000000000000005</v>
      </c>
      <c r="M197" s="3">
        <v>0.1045</v>
      </c>
      <c r="N197" s="3">
        <v>7</v>
      </c>
      <c r="O197" s="3">
        <v>38</v>
      </c>
      <c r="P197" s="3">
        <v>45</v>
      </c>
    </row>
    <row r="198" spans="1:16" x14ac:dyDescent="0.3">
      <c r="A198" s="3">
        <v>816</v>
      </c>
      <c r="B198" s="4">
        <v>40580</v>
      </c>
      <c r="C198" s="3">
        <v>1</v>
      </c>
      <c r="D198" s="3">
        <v>0</v>
      </c>
      <c r="E198" s="3">
        <v>2</v>
      </c>
      <c r="F198" s="3">
        <v>10</v>
      </c>
      <c r="G198" s="3" t="b">
        <v>0</v>
      </c>
      <c r="H198" s="3">
        <v>0</v>
      </c>
      <c r="I198" s="3">
        <v>1</v>
      </c>
      <c r="J198" s="3">
        <v>0.3</v>
      </c>
      <c r="K198" s="3">
        <v>0.28789999999999999</v>
      </c>
      <c r="L198" s="3">
        <v>0.52</v>
      </c>
      <c r="M198" s="3">
        <v>0.25369999999999998</v>
      </c>
      <c r="N198" s="3">
        <v>15</v>
      </c>
      <c r="O198" s="3">
        <v>74</v>
      </c>
      <c r="P198" s="3">
        <v>89</v>
      </c>
    </row>
    <row r="199" spans="1:16" x14ac:dyDescent="0.3">
      <c r="A199" s="3">
        <v>817</v>
      </c>
      <c r="B199" s="4">
        <v>40580</v>
      </c>
      <c r="C199" s="3">
        <v>1</v>
      </c>
      <c r="D199" s="3">
        <v>0</v>
      </c>
      <c r="E199" s="3">
        <v>2</v>
      </c>
      <c r="F199" s="3">
        <v>11</v>
      </c>
      <c r="G199" s="3" t="b">
        <v>0</v>
      </c>
      <c r="H199" s="3">
        <v>0</v>
      </c>
      <c r="I199" s="3">
        <v>1</v>
      </c>
      <c r="J199" s="3">
        <v>0.32</v>
      </c>
      <c r="K199" s="3">
        <v>0.30299999999999999</v>
      </c>
      <c r="L199" s="3">
        <v>0.49</v>
      </c>
      <c r="M199" s="3">
        <v>0.25369999999999998</v>
      </c>
      <c r="N199" s="3">
        <v>28</v>
      </c>
      <c r="O199" s="3">
        <v>89</v>
      </c>
      <c r="P199" s="3">
        <v>117</v>
      </c>
    </row>
    <row r="200" spans="1:16" x14ac:dyDescent="0.3">
      <c r="A200" s="3">
        <v>818</v>
      </c>
      <c r="B200" s="4">
        <v>40580</v>
      </c>
      <c r="C200" s="3">
        <v>1</v>
      </c>
      <c r="D200" s="3">
        <v>0</v>
      </c>
      <c r="E200" s="3">
        <v>2</v>
      </c>
      <c r="F200" s="3">
        <v>12</v>
      </c>
      <c r="G200" s="3" t="b">
        <v>0</v>
      </c>
      <c r="H200" s="3">
        <v>0</v>
      </c>
      <c r="I200" s="3">
        <v>1</v>
      </c>
      <c r="J200" s="3">
        <v>0.34</v>
      </c>
      <c r="K200" s="3">
        <v>0.33329999999999999</v>
      </c>
      <c r="L200" s="3">
        <v>0.46</v>
      </c>
      <c r="M200" s="3">
        <v>0</v>
      </c>
      <c r="N200" s="3">
        <v>48</v>
      </c>
      <c r="O200" s="3">
        <v>126</v>
      </c>
      <c r="P200" s="3">
        <v>174</v>
      </c>
    </row>
    <row r="201" spans="1:16" x14ac:dyDescent="0.3">
      <c r="A201" s="3">
        <v>819</v>
      </c>
      <c r="B201" s="4">
        <v>40580</v>
      </c>
      <c r="C201" s="3">
        <v>1</v>
      </c>
      <c r="D201" s="3">
        <v>0</v>
      </c>
      <c r="E201" s="3">
        <v>2</v>
      </c>
      <c r="F201" s="3">
        <v>13</v>
      </c>
      <c r="G201" s="3" t="b">
        <v>0</v>
      </c>
      <c r="H201" s="3">
        <v>0</v>
      </c>
      <c r="I201" s="3">
        <v>1</v>
      </c>
      <c r="J201" s="3">
        <v>0.34</v>
      </c>
      <c r="K201" s="3">
        <v>0.36359999999999998</v>
      </c>
      <c r="L201" s="3">
        <v>0.46</v>
      </c>
      <c r="M201" s="3">
        <v>0</v>
      </c>
      <c r="N201" s="3">
        <v>47</v>
      </c>
      <c r="O201" s="3">
        <v>135</v>
      </c>
      <c r="P201" s="3">
        <v>182</v>
      </c>
    </row>
    <row r="202" spans="1:16" x14ac:dyDescent="0.3">
      <c r="A202" s="3">
        <v>820</v>
      </c>
      <c r="B202" s="4">
        <v>40580</v>
      </c>
      <c r="C202" s="3">
        <v>1</v>
      </c>
      <c r="D202" s="3">
        <v>0</v>
      </c>
      <c r="E202" s="3">
        <v>2</v>
      </c>
      <c r="F202" s="3">
        <v>14</v>
      </c>
      <c r="G202" s="3" t="b">
        <v>0</v>
      </c>
      <c r="H202" s="3">
        <v>0</v>
      </c>
      <c r="I202" s="3">
        <v>1</v>
      </c>
      <c r="J202" s="3">
        <v>0.34</v>
      </c>
      <c r="K202" s="3">
        <v>0.34849999999999998</v>
      </c>
      <c r="L202" s="3">
        <v>0.46</v>
      </c>
      <c r="M202" s="3">
        <v>8.9599999999999999E-2</v>
      </c>
      <c r="N202" s="3">
        <v>47</v>
      </c>
      <c r="O202" s="3">
        <v>114</v>
      </c>
      <c r="P202" s="3">
        <v>161</v>
      </c>
    </row>
    <row r="203" spans="1:16" x14ac:dyDescent="0.3">
      <c r="A203" s="3">
        <v>821</v>
      </c>
      <c r="B203" s="4">
        <v>40580</v>
      </c>
      <c r="C203" s="3">
        <v>1</v>
      </c>
      <c r="D203" s="3">
        <v>0</v>
      </c>
      <c r="E203" s="3">
        <v>2</v>
      </c>
      <c r="F203" s="3">
        <v>15</v>
      </c>
      <c r="G203" s="3" t="b">
        <v>0</v>
      </c>
      <c r="H203" s="3">
        <v>0</v>
      </c>
      <c r="I203" s="3">
        <v>1</v>
      </c>
      <c r="J203" s="3">
        <v>0.34</v>
      </c>
      <c r="K203" s="3">
        <v>0.34849999999999998</v>
      </c>
      <c r="L203" s="3">
        <v>0.46</v>
      </c>
      <c r="M203" s="3">
        <v>8.9599999999999999E-2</v>
      </c>
      <c r="N203" s="3">
        <v>52</v>
      </c>
      <c r="O203" s="3">
        <v>130</v>
      </c>
      <c r="P203" s="3">
        <v>182</v>
      </c>
    </row>
    <row r="204" spans="1:16" x14ac:dyDescent="0.3">
      <c r="A204" s="3">
        <v>822</v>
      </c>
      <c r="B204" s="4">
        <v>40580</v>
      </c>
      <c r="C204" s="3">
        <v>1</v>
      </c>
      <c r="D204" s="3">
        <v>0</v>
      </c>
      <c r="E204" s="3">
        <v>2</v>
      </c>
      <c r="F204" s="3">
        <v>16</v>
      </c>
      <c r="G204" s="3" t="b">
        <v>0</v>
      </c>
      <c r="H204" s="3">
        <v>0</v>
      </c>
      <c r="I204" s="3">
        <v>1</v>
      </c>
      <c r="J204" s="3">
        <v>0.34</v>
      </c>
      <c r="K204" s="3">
        <v>0.34849999999999998</v>
      </c>
      <c r="L204" s="3">
        <v>0.49</v>
      </c>
      <c r="M204" s="3">
        <v>0.1045</v>
      </c>
      <c r="N204" s="3">
        <v>42</v>
      </c>
      <c r="O204" s="3">
        <v>115</v>
      </c>
      <c r="P204" s="3">
        <v>157</v>
      </c>
    </row>
    <row r="205" spans="1:16" x14ac:dyDescent="0.3">
      <c r="A205" s="3">
        <v>823</v>
      </c>
      <c r="B205" s="4">
        <v>40580</v>
      </c>
      <c r="C205" s="3">
        <v>1</v>
      </c>
      <c r="D205" s="3">
        <v>0</v>
      </c>
      <c r="E205" s="3">
        <v>2</v>
      </c>
      <c r="F205" s="3">
        <v>17</v>
      </c>
      <c r="G205" s="3" t="b">
        <v>0</v>
      </c>
      <c r="H205" s="3">
        <v>0</v>
      </c>
      <c r="I205" s="3">
        <v>1</v>
      </c>
      <c r="J205" s="3">
        <v>0.34</v>
      </c>
      <c r="K205" s="3">
        <v>0.36359999999999998</v>
      </c>
      <c r="L205" s="3">
        <v>0.46</v>
      </c>
      <c r="M205" s="3">
        <v>0</v>
      </c>
      <c r="N205" s="3">
        <v>24</v>
      </c>
      <c r="O205" s="3">
        <v>97</v>
      </c>
      <c r="P205" s="3">
        <v>121</v>
      </c>
    </row>
    <row r="206" spans="1:16" x14ac:dyDescent="0.3">
      <c r="A206" s="3">
        <v>824</v>
      </c>
      <c r="B206" s="4">
        <v>40580</v>
      </c>
      <c r="C206" s="3">
        <v>1</v>
      </c>
      <c r="D206" s="3">
        <v>0</v>
      </c>
      <c r="E206" s="3">
        <v>2</v>
      </c>
      <c r="F206" s="3">
        <v>18</v>
      </c>
      <c r="G206" s="3" t="b">
        <v>0</v>
      </c>
      <c r="H206" s="3">
        <v>0</v>
      </c>
      <c r="I206" s="3">
        <v>1</v>
      </c>
      <c r="J206" s="3">
        <v>0.3</v>
      </c>
      <c r="K206" s="3">
        <v>0.30299999999999999</v>
      </c>
      <c r="L206" s="3">
        <v>0.56000000000000005</v>
      </c>
      <c r="M206" s="3">
        <v>0.16420000000000001</v>
      </c>
      <c r="N206" s="3">
        <v>13</v>
      </c>
      <c r="O206" s="3">
        <v>65</v>
      </c>
      <c r="P206" s="3">
        <v>78</v>
      </c>
    </row>
    <row r="207" spans="1:16" x14ac:dyDescent="0.3">
      <c r="A207" s="3">
        <v>825</v>
      </c>
      <c r="B207" s="4">
        <v>40580</v>
      </c>
      <c r="C207" s="3">
        <v>1</v>
      </c>
      <c r="D207" s="3">
        <v>0</v>
      </c>
      <c r="E207" s="3">
        <v>2</v>
      </c>
      <c r="F207" s="3">
        <v>19</v>
      </c>
      <c r="G207" s="3" t="b">
        <v>0</v>
      </c>
      <c r="H207" s="3">
        <v>0</v>
      </c>
      <c r="I207" s="3">
        <v>1</v>
      </c>
      <c r="J207" s="3">
        <v>0.28000000000000003</v>
      </c>
      <c r="K207" s="3">
        <v>0.28789999999999999</v>
      </c>
      <c r="L207" s="3">
        <v>0.61</v>
      </c>
      <c r="M207" s="3">
        <v>0.1343</v>
      </c>
      <c r="N207" s="3">
        <v>1</v>
      </c>
      <c r="O207" s="3">
        <v>20</v>
      </c>
      <c r="P207" s="3">
        <v>21</v>
      </c>
    </row>
    <row r="208" spans="1:16" x14ac:dyDescent="0.3">
      <c r="A208" s="3">
        <v>826</v>
      </c>
      <c r="B208" s="4">
        <v>40580</v>
      </c>
      <c r="C208" s="3">
        <v>1</v>
      </c>
      <c r="D208" s="3">
        <v>0</v>
      </c>
      <c r="E208" s="3">
        <v>2</v>
      </c>
      <c r="F208" s="3">
        <v>20</v>
      </c>
      <c r="G208" s="3" t="b">
        <v>0</v>
      </c>
      <c r="H208" s="3">
        <v>0</v>
      </c>
      <c r="I208" s="3">
        <v>1</v>
      </c>
      <c r="J208" s="3">
        <v>0.28000000000000003</v>
      </c>
      <c r="K208" s="3">
        <v>0.28789999999999999</v>
      </c>
      <c r="L208" s="3">
        <v>0.61</v>
      </c>
      <c r="M208" s="3">
        <v>0.1045</v>
      </c>
      <c r="N208" s="3">
        <v>5</v>
      </c>
      <c r="O208" s="3">
        <v>21</v>
      </c>
      <c r="P208" s="3">
        <v>26</v>
      </c>
    </row>
    <row r="209" spans="1:16" x14ac:dyDescent="0.3">
      <c r="A209" s="3">
        <v>827</v>
      </c>
      <c r="B209" s="4">
        <v>40580</v>
      </c>
      <c r="C209" s="3">
        <v>1</v>
      </c>
      <c r="D209" s="3">
        <v>0</v>
      </c>
      <c r="E209" s="3">
        <v>2</v>
      </c>
      <c r="F209" s="3">
        <v>21</v>
      </c>
      <c r="G209" s="3" t="b">
        <v>0</v>
      </c>
      <c r="H209" s="3">
        <v>0</v>
      </c>
      <c r="I209" s="3">
        <v>1</v>
      </c>
      <c r="J209" s="3">
        <v>0.26</v>
      </c>
      <c r="K209" s="3">
        <v>0.30299999999999999</v>
      </c>
      <c r="L209" s="3">
        <v>0.6</v>
      </c>
      <c r="M209" s="3">
        <v>0</v>
      </c>
      <c r="N209" s="3">
        <v>5</v>
      </c>
      <c r="O209" s="3">
        <v>22</v>
      </c>
      <c r="P209" s="3">
        <v>27</v>
      </c>
    </row>
    <row r="210" spans="1:16" x14ac:dyDescent="0.3">
      <c r="A210" s="3">
        <v>828</v>
      </c>
      <c r="B210" s="4">
        <v>40580</v>
      </c>
      <c r="C210" s="3">
        <v>1</v>
      </c>
      <c r="D210" s="3">
        <v>0</v>
      </c>
      <c r="E210" s="3">
        <v>2</v>
      </c>
      <c r="F210" s="3">
        <v>22</v>
      </c>
      <c r="G210" s="3" t="b">
        <v>0</v>
      </c>
      <c r="H210" s="3">
        <v>0</v>
      </c>
      <c r="I210" s="3">
        <v>1</v>
      </c>
      <c r="J210" s="3">
        <v>0.26</v>
      </c>
      <c r="K210" s="3">
        <v>0.30299999999999999</v>
      </c>
      <c r="L210" s="3">
        <v>0.6</v>
      </c>
      <c r="M210" s="3">
        <v>0</v>
      </c>
      <c r="N210" s="3">
        <v>5</v>
      </c>
      <c r="O210" s="3">
        <v>57</v>
      </c>
      <c r="P210" s="3">
        <v>62</v>
      </c>
    </row>
    <row r="211" spans="1:16" x14ac:dyDescent="0.3">
      <c r="A211" s="3">
        <v>829</v>
      </c>
      <c r="B211" s="4">
        <v>40580</v>
      </c>
      <c r="C211" s="3">
        <v>1</v>
      </c>
      <c r="D211" s="3">
        <v>0</v>
      </c>
      <c r="E211" s="3">
        <v>2</v>
      </c>
      <c r="F211" s="3">
        <v>23</v>
      </c>
      <c r="G211" s="3" t="b">
        <v>0</v>
      </c>
      <c r="H211" s="3">
        <v>0</v>
      </c>
      <c r="I211" s="3">
        <v>1</v>
      </c>
      <c r="J211" s="3">
        <v>0.24</v>
      </c>
      <c r="K211" s="3">
        <v>0.28789999999999999</v>
      </c>
      <c r="L211" s="3">
        <v>0.65</v>
      </c>
      <c r="M211" s="3">
        <v>0</v>
      </c>
      <c r="N211" s="3">
        <v>4</v>
      </c>
      <c r="O211" s="3">
        <v>26</v>
      </c>
      <c r="P211" s="3">
        <v>30</v>
      </c>
    </row>
    <row r="212" spans="1:16" x14ac:dyDescent="0.3">
      <c r="A212" s="3">
        <v>830</v>
      </c>
      <c r="B212" s="4">
        <v>40581</v>
      </c>
      <c r="C212" s="3">
        <v>1</v>
      </c>
      <c r="D212" s="3">
        <v>0</v>
      </c>
      <c r="E212" s="3">
        <v>2</v>
      </c>
      <c r="F212" s="3">
        <v>0</v>
      </c>
      <c r="G212" s="3" t="b">
        <v>0</v>
      </c>
      <c r="H212" s="3">
        <v>1</v>
      </c>
      <c r="I212" s="3">
        <v>1</v>
      </c>
      <c r="J212" s="3">
        <v>0.24</v>
      </c>
      <c r="K212" s="3">
        <v>0.28789999999999999</v>
      </c>
      <c r="L212" s="3">
        <v>0.65</v>
      </c>
      <c r="M212" s="3">
        <v>0</v>
      </c>
      <c r="N212" s="3">
        <v>1</v>
      </c>
      <c r="O212" s="3">
        <v>14</v>
      </c>
      <c r="P212" s="3">
        <v>15</v>
      </c>
    </row>
    <row r="213" spans="1:16" x14ac:dyDescent="0.3">
      <c r="A213" s="3">
        <v>831</v>
      </c>
      <c r="B213" s="4">
        <v>40581</v>
      </c>
      <c r="C213" s="3">
        <v>1</v>
      </c>
      <c r="D213" s="3">
        <v>0</v>
      </c>
      <c r="E213" s="3">
        <v>2</v>
      </c>
      <c r="F213" s="3">
        <v>1</v>
      </c>
      <c r="G213" s="3" t="b">
        <v>0</v>
      </c>
      <c r="H213" s="3">
        <v>1</v>
      </c>
      <c r="I213" s="3">
        <v>1</v>
      </c>
      <c r="J213" s="3">
        <v>0.22</v>
      </c>
      <c r="K213" s="3">
        <v>0.2727</v>
      </c>
      <c r="L213" s="3">
        <v>0.75</v>
      </c>
      <c r="M213" s="3">
        <v>0</v>
      </c>
      <c r="N213" s="3">
        <v>1</v>
      </c>
      <c r="O213" s="3">
        <v>4</v>
      </c>
      <c r="P213" s="3">
        <v>5</v>
      </c>
    </row>
    <row r="214" spans="1:16" x14ac:dyDescent="0.3">
      <c r="A214" s="3">
        <v>832</v>
      </c>
      <c r="B214" s="4">
        <v>40581</v>
      </c>
      <c r="C214" s="3">
        <v>1</v>
      </c>
      <c r="D214" s="3">
        <v>0</v>
      </c>
      <c r="E214" s="3">
        <v>2</v>
      </c>
      <c r="F214" s="3">
        <v>2</v>
      </c>
      <c r="G214" s="3" t="b">
        <v>0</v>
      </c>
      <c r="H214" s="3">
        <v>1</v>
      </c>
      <c r="I214" s="3">
        <v>1</v>
      </c>
      <c r="J214" s="3">
        <v>0.2</v>
      </c>
      <c r="K214" s="3">
        <v>0.2576</v>
      </c>
      <c r="L214" s="3">
        <v>0.8</v>
      </c>
      <c r="M214" s="3">
        <v>0</v>
      </c>
      <c r="N214" s="3">
        <v>0</v>
      </c>
      <c r="O214" s="3">
        <v>3</v>
      </c>
      <c r="P214" s="3">
        <v>3</v>
      </c>
    </row>
    <row r="215" spans="1:16" x14ac:dyDescent="0.3">
      <c r="A215" s="3">
        <v>833</v>
      </c>
      <c r="B215" s="4">
        <v>40581</v>
      </c>
      <c r="C215" s="3">
        <v>1</v>
      </c>
      <c r="D215" s="3">
        <v>0</v>
      </c>
      <c r="E215" s="3">
        <v>2</v>
      </c>
      <c r="F215" s="3">
        <v>3</v>
      </c>
      <c r="G215" s="3" t="b">
        <v>0</v>
      </c>
      <c r="H215" s="3">
        <v>1</v>
      </c>
      <c r="I215" s="3">
        <v>1</v>
      </c>
      <c r="J215" s="3">
        <v>0.2</v>
      </c>
      <c r="K215" s="3">
        <v>0.2576</v>
      </c>
      <c r="L215" s="3">
        <v>0.86</v>
      </c>
      <c r="M215" s="3">
        <v>0</v>
      </c>
      <c r="N215" s="3">
        <v>0</v>
      </c>
      <c r="O215" s="3">
        <v>1</v>
      </c>
      <c r="P215" s="3">
        <v>1</v>
      </c>
    </row>
    <row r="216" spans="1:16" x14ac:dyDescent="0.3">
      <c r="A216" s="3">
        <v>834</v>
      </c>
      <c r="B216" s="4">
        <v>40581</v>
      </c>
      <c r="C216" s="3">
        <v>1</v>
      </c>
      <c r="D216" s="3">
        <v>0</v>
      </c>
      <c r="E216" s="3">
        <v>2</v>
      </c>
      <c r="F216" s="3">
        <v>4</v>
      </c>
      <c r="G216" s="3" t="b">
        <v>0</v>
      </c>
      <c r="H216" s="3">
        <v>1</v>
      </c>
      <c r="I216" s="3">
        <v>1</v>
      </c>
      <c r="J216" s="3">
        <v>0.2</v>
      </c>
      <c r="K216" s="3">
        <v>0.2576</v>
      </c>
      <c r="L216" s="3">
        <v>0.86</v>
      </c>
      <c r="M216" s="3">
        <v>0</v>
      </c>
      <c r="N216" s="3">
        <v>1</v>
      </c>
      <c r="O216" s="3">
        <v>1</v>
      </c>
      <c r="P216" s="3">
        <v>2</v>
      </c>
    </row>
    <row r="217" spans="1:16" x14ac:dyDescent="0.3">
      <c r="A217" s="3">
        <v>835</v>
      </c>
      <c r="B217" s="4">
        <v>40581</v>
      </c>
      <c r="C217" s="3">
        <v>1</v>
      </c>
      <c r="D217" s="3">
        <v>0</v>
      </c>
      <c r="E217" s="3">
        <v>2</v>
      </c>
      <c r="F217" s="3">
        <v>5</v>
      </c>
      <c r="G217" s="3" t="b">
        <v>0</v>
      </c>
      <c r="H217" s="3">
        <v>1</v>
      </c>
      <c r="I217" s="3">
        <v>1</v>
      </c>
      <c r="J217" s="3">
        <v>0.2</v>
      </c>
      <c r="K217" s="3">
        <v>0.2576</v>
      </c>
      <c r="L217" s="3">
        <v>0.86</v>
      </c>
      <c r="M217" s="3">
        <v>0</v>
      </c>
      <c r="N217" s="3">
        <v>1</v>
      </c>
      <c r="O217" s="3">
        <v>9</v>
      </c>
      <c r="P217" s="3">
        <v>10</v>
      </c>
    </row>
    <row r="218" spans="1:16" x14ac:dyDescent="0.3">
      <c r="A218" s="3">
        <v>836</v>
      </c>
      <c r="B218" s="4">
        <v>40581</v>
      </c>
      <c r="C218" s="3">
        <v>1</v>
      </c>
      <c r="D218" s="3">
        <v>0</v>
      </c>
      <c r="E218" s="3">
        <v>2</v>
      </c>
      <c r="F218" s="3">
        <v>6</v>
      </c>
      <c r="G218" s="3" t="b">
        <v>0</v>
      </c>
      <c r="H218" s="3">
        <v>1</v>
      </c>
      <c r="I218" s="3">
        <v>1</v>
      </c>
      <c r="J218" s="3">
        <v>0.18</v>
      </c>
      <c r="K218" s="3">
        <v>0.2424</v>
      </c>
      <c r="L218" s="3">
        <v>0.93</v>
      </c>
      <c r="M218" s="3">
        <v>0</v>
      </c>
      <c r="N218" s="3">
        <v>1</v>
      </c>
      <c r="O218" s="3">
        <v>29</v>
      </c>
      <c r="P218" s="3">
        <v>30</v>
      </c>
    </row>
    <row r="219" spans="1:16" x14ac:dyDescent="0.3">
      <c r="A219" s="3">
        <v>837</v>
      </c>
      <c r="B219" s="4">
        <v>40581</v>
      </c>
      <c r="C219" s="3">
        <v>1</v>
      </c>
      <c r="D219" s="3">
        <v>0</v>
      </c>
      <c r="E219" s="3">
        <v>2</v>
      </c>
      <c r="F219" s="3">
        <v>7</v>
      </c>
      <c r="G219" s="3" t="b">
        <v>0</v>
      </c>
      <c r="H219" s="3">
        <v>1</v>
      </c>
      <c r="I219" s="3">
        <v>1</v>
      </c>
      <c r="J219" s="3">
        <v>0.18</v>
      </c>
      <c r="K219" s="3">
        <v>0.2424</v>
      </c>
      <c r="L219" s="3">
        <v>0.86</v>
      </c>
      <c r="M219" s="3">
        <v>0</v>
      </c>
      <c r="N219" s="3">
        <v>6</v>
      </c>
      <c r="O219" s="3">
        <v>89</v>
      </c>
      <c r="P219" s="3">
        <v>95</v>
      </c>
    </row>
    <row r="220" spans="1:16" x14ac:dyDescent="0.3">
      <c r="A220" s="3">
        <v>838</v>
      </c>
      <c r="B220" s="4">
        <v>40581</v>
      </c>
      <c r="C220" s="3">
        <v>1</v>
      </c>
      <c r="D220" s="3">
        <v>0</v>
      </c>
      <c r="E220" s="3">
        <v>2</v>
      </c>
      <c r="F220" s="3">
        <v>8</v>
      </c>
      <c r="G220" s="3" t="b">
        <v>0</v>
      </c>
      <c r="H220" s="3">
        <v>1</v>
      </c>
      <c r="I220" s="3">
        <v>2</v>
      </c>
      <c r="J220" s="3">
        <v>0.16</v>
      </c>
      <c r="K220" s="3">
        <v>0.2273</v>
      </c>
      <c r="L220" s="3">
        <v>1</v>
      </c>
      <c r="M220" s="3">
        <v>0</v>
      </c>
      <c r="N220" s="3">
        <v>7</v>
      </c>
      <c r="O220" s="3">
        <v>223</v>
      </c>
      <c r="P220" s="3">
        <v>230</v>
      </c>
    </row>
    <row r="221" spans="1:16" x14ac:dyDescent="0.3">
      <c r="A221" s="3">
        <v>839</v>
      </c>
      <c r="B221" s="4">
        <v>40581</v>
      </c>
      <c r="C221" s="3">
        <v>1</v>
      </c>
      <c r="D221" s="3">
        <v>0</v>
      </c>
      <c r="E221" s="3">
        <v>2</v>
      </c>
      <c r="F221" s="3">
        <v>9</v>
      </c>
      <c r="G221" s="3" t="b">
        <v>0</v>
      </c>
      <c r="H221" s="3">
        <v>1</v>
      </c>
      <c r="I221" s="3">
        <v>1</v>
      </c>
      <c r="J221" s="3">
        <v>0.22</v>
      </c>
      <c r="K221" s="3">
        <v>0.2727</v>
      </c>
      <c r="L221" s="3">
        <v>0.8</v>
      </c>
      <c r="M221" s="3">
        <v>0</v>
      </c>
      <c r="N221" s="3">
        <v>3</v>
      </c>
      <c r="O221" s="3">
        <v>115</v>
      </c>
      <c r="P221" s="3">
        <v>118</v>
      </c>
    </row>
    <row r="222" spans="1:16" x14ac:dyDescent="0.3">
      <c r="A222" s="3">
        <v>840</v>
      </c>
      <c r="B222" s="4">
        <v>40581</v>
      </c>
      <c r="C222" s="3">
        <v>1</v>
      </c>
      <c r="D222" s="3">
        <v>0</v>
      </c>
      <c r="E222" s="3">
        <v>2</v>
      </c>
      <c r="F222" s="3">
        <v>10</v>
      </c>
      <c r="G222" s="3" t="b">
        <v>0</v>
      </c>
      <c r="H222" s="3">
        <v>1</v>
      </c>
      <c r="I222" s="3">
        <v>1</v>
      </c>
      <c r="J222" s="3">
        <v>0.24</v>
      </c>
      <c r="K222" s="3">
        <v>0.2576</v>
      </c>
      <c r="L222" s="3">
        <v>0.75</v>
      </c>
      <c r="M222" s="3">
        <v>0.1045</v>
      </c>
      <c r="N222" s="3">
        <v>6</v>
      </c>
      <c r="O222" s="3">
        <v>49</v>
      </c>
      <c r="P222" s="3">
        <v>55</v>
      </c>
    </row>
    <row r="223" spans="1:16" x14ac:dyDescent="0.3">
      <c r="A223" s="3">
        <v>841</v>
      </c>
      <c r="B223" s="4">
        <v>40581</v>
      </c>
      <c r="C223" s="3">
        <v>1</v>
      </c>
      <c r="D223" s="3">
        <v>0</v>
      </c>
      <c r="E223" s="3">
        <v>2</v>
      </c>
      <c r="F223" s="3">
        <v>11</v>
      </c>
      <c r="G223" s="3" t="b">
        <v>0</v>
      </c>
      <c r="H223" s="3">
        <v>1</v>
      </c>
      <c r="I223" s="3">
        <v>1</v>
      </c>
      <c r="J223" s="3">
        <v>0.3</v>
      </c>
      <c r="K223" s="3">
        <v>0.31819999999999998</v>
      </c>
      <c r="L223" s="3">
        <v>0.65</v>
      </c>
      <c r="M223" s="3">
        <v>8.9599999999999999E-2</v>
      </c>
      <c r="N223" s="3">
        <v>11</v>
      </c>
      <c r="O223" s="3">
        <v>36</v>
      </c>
      <c r="P223" s="3">
        <v>47</v>
      </c>
    </row>
    <row r="224" spans="1:16" x14ac:dyDescent="0.3">
      <c r="A224" s="3">
        <v>842</v>
      </c>
      <c r="B224" s="4">
        <v>40581</v>
      </c>
      <c r="C224" s="3">
        <v>1</v>
      </c>
      <c r="D224" s="3">
        <v>0</v>
      </c>
      <c r="E224" s="3">
        <v>2</v>
      </c>
      <c r="F224" s="3">
        <v>12</v>
      </c>
      <c r="G224" s="3" t="b">
        <v>0</v>
      </c>
      <c r="H224" s="3">
        <v>1</v>
      </c>
      <c r="I224" s="3">
        <v>2</v>
      </c>
      <c r="J224" s="3">
        <v>0.32</v>
      </c>
      <c r="K224" s="3">
        <v>0.34849999999999998</v>
      </c>
      <c r="L224" s="3">
        <v>0.62</v>
      </c>
      <c r="M224" s="3">
        <v>0</v>
      </c>
      <c r="N224" s="3">
        <v>7</v>
      </c>
      <c r="O224" s="3">
        <v>59</v>
      </c>
      <c r="P224" s="3">
        <v>66</v>
      </c>
    </row>
    <row r="225" spans="1:16" x14ac:dyDescent="0.3">
      <c r="A225" s="3">
        <v>843</v>
      </c>
      <c r="B225" s="4">
        <v>40581</v>
      </c>
      <c r="C225" s="3">
        <v>1</v>
      </c>
      <c r="D225" s="3">
        <v>0</v>
      </c>
      <c r="E225" s="3">
        <v>2</v>
      </c>
      <c r="F225" s="3">
        <v>13</v>
      </c>
      <c r="G225" s="3" t="b">
        <v>0</v>
      </c>
      <c r="H225" s="3">
        <v>1</v>
      </c>
      <c r="I225" s="3">
        <v>2</v>
      </c>
      <c r="J225" s="3">
        <v>0.36</v>
      </c>
      <c r="K225" s="3">
        <v>0.36359999999999998</v>
      </c>
      <c r="L225" s="3">
        <v>0.56999999999999995</v>
      </c>
      <c r="M225" s="3">
        <v>8.9599999999999999E-2</v>
      </c>
      <c r="N225" s="3">
        <v>10</v>
      </c>
      <c r="O225" s="3">
        <v>54</v>
      </c>
      <c r="P225" s="3">
        <v>64</v>
      </c>
    </row>
    <row r="226" spans="1:16" x14ac:dyDescent="0.3">
      <c r="A226" s="3">
        <v>844</v>
      </c>
      <c r="B226" s="4">
        <v>40581</v>
      </c>
      <c r="C226" s="3">
        <v>1</v>
      </c>
      <c r="D226" s="3">
        <v>0</v>
      </c>
      <c r="E226" s="3">
        <v>2</v>
      </c>
      <c r="F226" s="3">
        <v>14</v>
      </c>
      <c r="G226" s="3" t="b">
        <v>0</v>
      </c>
      <c r="H226" s="3">
        <v>1</v>
      </c>
      <c r="I226" s="3">
        <v>2</v>
      </c>
      <c r="J226" s="3">
        <v>0.36</v>
      </c>
      <c r="K226" s="3">
        <v>0.36359999999999998</v>
      </c>
      <c r="L226" s="3">
        <v>0.56999999999999995</v>
      </c>
      <c r="M226" s="3">
        <v>8.9599999999999999E-2</v>
      </c>
      <c r="N226" s="3">
        <v>8</v>
      </c>
      <c r="O226" s="3">
        <v>52</v>
      </c>
      <c r="P226" s="3">
        <v>60</v>
      </c>
    </row>
    <row r="227" spans="1:16" x14ac:dyDescent="0.3">
      <c r="A227" s="3">
        <v>845</v>
      </c>
      <c r="B227" s="4">
        <v>40581</v>
      </c>
      <c r="C227" s="3">
        <v>1</v>
      </c>
      <c r="D227" s="3">
        <v>0</v>
      </c>
      <c r="E227" s="3">
        <v>2</v>
      </c>
      <c r="F227" s="3">
        <v>15</v>
      </c>
      <c r="G227" s="3" t="b">
        <v>0</v>
      </c>
      <c r="H227" s="3">
        <v>1</v>
      </c>
      <c r="I227" s="3">
        <v>2</v>
      </c>
      <c r="J227" s="3">
        <v>0.38</v>
      </c>
      <c r="K227" s="3">
        <v>0.39389999999999997</v>
      </c>
      <c r="L227" s="3">
        <v>0.54</v>
      </c>
      <c r="M227" s="3">
        <v>8.9599999999999999E-2</v>
      </c>
      <c r="N227" s="3">
        <v>4</v>
      </c>
      <c r="O227" s="3">
        <v>46</v>
      </c>
      <c r="P227" s="3">
        <v>50</v>
      </c>
    </row>
    <row r="228" spans="1:16" x14ac:dyDescent="0.3">
      <c r="A228" s="3">
        <v>846</v>
      </c>
      <c r="B228" s="4">
        <v>40581</v>
      </c>
      <c r="C228" s="3">
        <v>1</v>
      </c>
      <c r="D228" s="3">
        <v>0</v>
      </c>
      <c r="E228" s="3">
        <v>2</v>
      </c>
      <c r="F228" s="3">
        <v>16</v>
      </c>
      <c r="G228" s="3" t="b">
        <v>0</v>
      </c>
      <c r="H228" s="3">
        <v>1</v>
      </c>
      <c r="I228" s="3">
        <v>2</v>
      </c>
      <c r="J228" s="3">
        <v>0.36</v>
      </c>
      <c r="K228" s="3">
        <v>0.34849999999999998</v>
      </c>
      <c r="L228" s="3">
        <v>0.56999999999999995</v>
      </c>
      <c r="M228" s="3">
        <v>0.1343</v>
      </c>
      <c r="N228" s="3">
        <v>16</v>
      </c>
      <c r="O228" s="3">
        <v>98</v>
      </c>
      <c r="P228" s="3">
        <v>114</v>
      </c>
    </row>
    <row r="229" spans="1:16" x14ac:dyDescent="0.3">
      <c r="A229" s="3">
        <v>847</v>
      </c>
      <c r="B229" s="4">
        <v>40581</v>
      </c>
      <c r="C229" s="3">
        <v>1</v>
      </c>
      <c r="D229" s="3">
        <v>0</v>
      </c>
      <c r="E229" s="3">
        <v>2</v>
      </c>
      <c r="F229" s="3">
        <v>17</v>
      </c>
      <c r="G229" s="3" t="b">
        <v>0</v>
      </c>
      <c r="H229" s="3">
        <v>1</v>
      </c>
      <c r="I229" s="3">
        <v>2</v>
      </c>
      <c r="J229" s="3">
        <v>0.32</v>
      </c>
      <c r="K229" s="3">
        <v>0.31819999999999998</v>
      </c>
      <c r="L229" s="3">
        <v>0.7</v>
      </c>
      <c r="M229" s="3">
        <v>0.16420000000000001</v>
      </c>
      <c r="N229" s="3">
        <v>9</v>
      </c>
      <c r="O229" s="3">
        <v>207</v>
      </c>
      <c r="P229" s="3">
        <v>216</v>
      </c>
    </row>
    <row r="230" spans="1:16" x14ac:dyDescent="0.3">
      <c r="A230" s="3">
        <v>848</v>
      </c>
      <c r="B230" s="4">
        <v>40581</v>
      </c>
      <c r="C230" s="3">
        <v>1</v>
      </c>
      <c r="D230" s="3">
        <v>0</v>
      </c>
      <c r="E230" s="3">
        <v>2</v>
      </c>
      <c r="F230" s="3">
        <v>18</v>
      </c>
      <c r="G230" s="3" t="b">
        <v>0</v>
      </c>
      <c r="H230" s="3">
        <v>1</v>
      </c>
      <c r="I230" s="3">
        <v>2</v>
      </c>
      <c r="J230" s="3">
        <v>0.34</v>
      </c>
      <c r="K230" s="3">
        <v>0.33329999999999999</v>
      </c>
      <c r="L230" s="3">
        <v>0.66</v>
      </c>
      <c r="M230" s="3">
        <v>0.1343</v>
      </c>
      <c r="N230" s="3">
        <v>5</v>
      </c>
      <c r="O230" s="3">
        <v>170</v>
      </c>
      <c r="P230" s="3">
        <v>175</v>
      </c>
    </row>
    <row r="231" spans="1:16" x14ac:dyDescent="0.3">
      <c r="A231" s="3">
        <v>849</v>
      </c>
      <c r="B231" s="4">
        <v>40581</v>
      </c>
      <c r="C231" s="3">
        <v>1</v>
      </c>
      <c r="D231" s="3">
        <v>0</v>
      </c>
      <c r="E231" s="3">
        <v>2</v>
      </c>
      <c r="F231" s="3">
        <v>19</v>
      </c>
      <c r="G231" s="3" t="b">
        <v>0</v>
      </c>
      <c r="H231" s="3">
        <v>1</v>
      </c>
      <c r="I231" s="3">
        <v>2</v>
      </c>
      <c r="J231" s="3">
        <v>0.32</v>
      </c>
      <c r="K231" s="3">
        <v>0.34849999999999998</v>
      </c>
      <c r="L231" s="3">
        <v>0.7</v>
      </c>
      <c r="M231" s="3">
        <v>0</v>
      </c>
      <c r="N231" s="3">
        <v>5</v>
      </c>
      <c r="O231" s="3">
        <v>123</v>
      </c>
      <c r="P231" s="3">
        <v>128</v>
      </c>
    </row>
    <row r="232" spans="1:16" x14ac:dyDescent="0.3">
      <c r="A232" s="3">
        <v>850</v>
      </c>
      <c r="B232" s="4">
        <v>40581</v>
      </c>
      <c r="C232" s="3">
        <v>1</v>
      </c>
      <c r="D232" s="3">
        <v>0</v>
      </c>
      <c r="E232" s="3">
        <v>2</v>
      </c>
      <c r="F232" s="3">
        <v>20</v>
      </c>
      <c r="G232" s="3" t="b">
        <v>0</v>
      </c>
      <c r="H232" s="3">
        <v>1</v>
      </c>
      <c r="I232" s="3">
        <v>2</v>
      </c>
      <c r="J232" s="3">
        <v>0.32</v>
      </c>
      <c r="K232" s="3">
        <v>0.33329999999999999</v>
      </c>
      <c r="L232" s="3">
        <v>0.7</v>
      </c>
      <c r="M232" s="3">
        <v>0.1045</v>
      </c>
      <c r="N232" s="3">
        <v>6</v>
      </c>
      <c r="O232" s="3">
        <v>82</v>
      </c>
      <c r="P232" s="3">
        <v>88</v>
      </c>
    </row>
    <row r="233" spans="1:16" x14ac:dyDescent="0.3">
      <c r="A233" s="3">
        <v>851</v>
      </c>
      <c r="B233" s="4">
        <v>40581</v>
      </c>
      <c r="C233" s="3">
        <v>1</v>
      </c>
      <c r="D233" s="3">
        <v>0</v>
      </c>
      <c r="E233" s="3">
        <v>2</v>
      </c>
      <c r="F233" s="3">
        <v>21</v>
      </c>
      <c r="G233" s="3" t="b">
        <v>0</v>
      </c>
      <c r="H233" s="3">
        <v>1</v>
      </c>
      <c r="I233" s="3">
        <v>1</v>
      </c>
      <c r="J233" s="3">
        <v>0.32</v>
      </c>
      <c r="K233" s="3">
        <v>0.34849999999999998</v>
      </c>
      <c r="L233" s="3">
        <v>0.7</v>
      </c>
      <c r="M233" s="3">
        <v>0</v>
      </c>
      <c r="N233" s="3">
        <v>3</v>
      </c>
      <c r="O233" s="3">
        <v>75</v>
      </c>
      <c r="P233" s="3">
        <v>78</v>
      </c>
    </row>
    <row r="234" spans="1:16" x14ac:dyDescent="0.3">
      <c r="A234" s="3">
        <v>852</v>
      </c>
      <c r="B234" s="4">
        <v>40581</v>
      </c>
      <c r="C234" s="3">
        <v>1</v>
      </c>
      <c r="D234" s="3">
        <v>0</v>
      </c>
      <c r="E234" s="3">
        <v>2</v>
      </c>
      <c r="F234" s="3">
        <v>22</v>
      </c>
      <c r="G234" s="3" t="b">
        <v>0</v>
      </c>
      <c r="H234" s="3">
        <v>1</v>
      </c>
      <c r="I234" s="3">
        <v>1</v>
      </c>
      <c r="J234" s="3">
        <v>0.28000000000000003</v>
      </c>
      <c r="K234" s="3">
        <v>0.30299999999999999</v>
      </c>
      <c r="L234" s="3">
        <v>0.81</v>
      </c>
      <c r="M234" s="3">
        <v>8.9599999999999999E-2</v>
      </c>
      <c r="N234" s="3">
        <v>3</v>
      </c>
      <c r="O234" s="3">
        <v>34</v>
      </c>
      <c r="P234" s="3">
        <v>37</v>
      </c>
    </row>
    <row r="235" spans="1:16" x14ac:dyDescent="0.3">
      <c r="A235" s="3">
        <v>853</v>
      </c>
      <c r="B235" s="4">
        <v>40581</v>
      </c>
      <c r="C235" s="3">
        <v>1</v>
      </c>
      <c r="D235" s="3">
        <v>0</v>
      </c>
      <c r="E235" s="3">
        <v>2</v>
      </c>
      <c r="F235" s="3">
        <v>23</v>
      </c>
      <c r="G235" s="3" t="b">
        <v>0</v>
      </c>
      <c r="H235" s="3">
        <v>1</v>
      </c>
      <c r="I235" s="3">
        <v>2</v>
      </c>
      <c r="J235" s="3">
        <v>0.3</v>
      </c>
      <c r="K235" s="3">
        <v>0.33329999999999999</v>
      </c>
      <c r="L235" s="3">
        <v>0.81</v>
      </c>
      <c r="M235" s="3">
        <v>0</v>
      </c>
      <c r="N235" s="3">
        <v>6</v>
      </c>
      <c r="O235" s="3">
        <v>19</v>
      </c>
      <c r="P235" s="3">
        <v>25</v>
      </c>
    </row>
    <row r="236" spans="1:16" x14ac:dyDescent="0.3">
      <c r="A236" s="3">
        <v>854</v>
      </c>
      <c r="B236" s="4">
        <v>40582</v>
      </c>
      <c r="C236" s="3">
        <v>1</v>
      </c>
      <c r="D236" s="3">
        <v>0</v>
      </c>
      <c r="E236" s="3">
        <v>2</v>
      </c>
      <c r="F236" s="3">
        <v>0</v>
      </c>
      <c r="G236" s="3" t="b">
        <v>0</v>
      </c>
      <c r="H236" s="3">
        <v>2</v>
      </c>
      <c r="I236" s="3">
        <v>2</v>
      </c>
      <c r="J236" s="3">
        <v>0.28000000000000003</v>
      </c>
      <c r="K236" s="3">
        <v>0.31819999999999998</v>
      </c>
      <c r="L236" s="3">
        <v>0.87</v>
      </c>
      <c r="M236" s="3">
        <v>0</v>
      </c>
      <c r="N236" s="3">
        <v>4</v>
      </c>
      <c r="O236" s="3">
        <v>6</v>
      </c>
      <c r="P236" s="3">
        <v>10</v>
      </c>
    </row>
    <row r="237" spans="1:16" x14ac:dyDescent="0.3">
      <c r="A237" s="3">
        <v>855</v>
      </c>
      <c r="B237" s="4">
        <v>40582</v>
      </c>
      <c r="C237" s="3">
        <v>1</v>
      </c>
      <c r="D237" s="3">
        <v>0</v>
      </c>
      <c r="E237" s="3">
        <v>2</v>
      </c>
      <c r="F237" s="3">
        <v>1</v>
      </c>
      <c r="G237" s="3" t="b">
        <v>0</v>
      </c>
      <c r="H237" s="3">
        <v>2</v>
      </c>
      <c r="I237" s="3">
        <v>2</v>
      </c>
      <c r="J237" s="3">
        <v>0.28000000000000003</v>
      </c>
      <c r="K237" s="3">
        <v>0.31819999999999998</v>
      </c>
      <c r="L237" s="3">
        <v>0.87</v>
      </c>
      <c r="M237" s="3">
        <v>0</v>
      </c>
      <c r="N237" s="3">
        <v>0</v>
      </c>
      <c r="O237" s="3">
        <v>4</v>
      </c>
      <c r="P237" s="3">
        <v>4</v>
      </c>
    </row>
    <row r="238" spans="1:16" x14ac:dyDescent="0.3">
      <c r="A238" s="3">
        <v>856</v>
      </c>
      <c r="B238" s="4">
        <v>40582</v>
      </c>
      <c r="C238" s="3">
        <v>1</v>
      </c>
      <c r="D238" s="3">
        <v>0</v>
      </c>
      <c r="E238" s="3">
        <v>2</v>
      </c>
      <c r="F238" s="3">
        <v>2</v>
      </c>
      <c r="G238" s="3" t="b">
        <v>0</v>
      </c>
      <c r="H238" s="3">
        <v>2</v>
      </c>
      <c r="I238" s="3">
        <v>2</v>
      </c>
      <c r="J238" s="3">
        <v>0.26</v>
      </c>
      <c r="K238" s="3">
        <v>0.2727</v>
      </c>
      <c r="L238" s="3">
        <v>0.93</v>
      </c>
      <c r="M238" s="3">
        <v>0.1045</v>
      </c>
      <c r="N238" s="3">
        <v>1</v>
      </c>
      <c r="O238" s="3">
        <v>1</v>
      </c>
      <c r="P238" s="3">
        <v>2</v>
      </c>
    </row>
    <row r="239" spans="1:16" x14ac:dyDescent="0.3">
      <c r="A239" s="3">
        <v>857</v>
      </c>
      <c r="B239" s="4">
        <v>40582</v>
      </c>
      <c r="C239" s="3">
        <v>1</v>
      </c>
      <c r="D239" s="3">
        <v>0</v>
      </c>
      <c r="E239" s="3">
        <v>2</v>
      </c>
      <c r="F239" s="3">
        <v>3</v>
      </c>
      <c r="G239" s="3" t="b">
        <v>0</v>
      </c>
      <c r="H239" s="3">
        <v>2</v>
      </c>
      <c r="I239" s="3">
        <v>3</v>
      </c>
      <c r="J239" s="3">
        <v>0.28000000000000003</v>
      </c>
      <c r="K239" s="3">
        <v>0.2727</v>
      </c>
      <c r="L239" s="3">
        <v>0.93</v>
      </c>
      <c r="M239" s="3">
        <v>0.16420000000000001</v>
      </c>
      <c r="N239" s="3">
        <v>0</v>
      </c>
      <c r="O239" s="3">
        <v>1</v>
      </c>
      <c r="P239" s="3">
        <v>1</v>
      </c>
    </row>
    <row r="240" spans="1:16" x14ac:dyDescent="0.3">
      <c r="A240" s="3">
        <v>858</v>
      </c>
      <c r="B240" s="4">
        <v>40582</v>
      </c>
      <c r="C240" s="3">
        <v>1</v>
      </c>
      <c r="D240" s="3">
        <v>0</v>
      </c>
      <c r="E240" s="3">
        <v>2</v>
      </c>
      <c r="F240" s="3">
        <v>4</v>
      </c>
      <c r="G240" s="3" t="b">
        <v>0</v>
      </c>
      <c r="H240" s="3">
        <v>2</v>
      </c>
      <c r="I240" s="3">
        <v>1</v>
      </c>
      <c r="J240" s="3">
        <v>0.26</v>
      </c>
      <c r="K240" s="3">
        <v>0.2576</v>
      </c>
      <c r="L240" s="3">
        <v>0.93</v>
      </c>
      <c r="M240" s="3">
        <v>0.16420000000000001</v>
      </c>
      <c r="N240" s="3">
        <v>0</v>
      </c>
      <c r="O240" s="3">
        <v>3</v>
      </c>
      <c r="P240" s="3">
        <v>3</v>
      </c>
    </row>
    <row r="241" spans="1:16" x14ac:dyDescent="0.3">
      <c r="A241" s="3">
        <v>859</v>
      </c>
      <c r="B241" s="4">
        <v>40582</v>
      </c>
      <c r="C241" s="3">
        <v>1</v>
      </c>
      <c r="D241" s="3">
        <v>0</v>
      </c>
      <c r="E241" s="3">
        <v>2</v>
      </c>
      <c r="F241" s="3">
        <v>5</v>
      </c>
      <c r="G241" s="3" t="b">
        <v>0</v>
      </c>
      <c r="H241" s="3">
        <v>2</v>
      </c>
      <c r="I241" s="3">
        <v>1</v>
      </c>
      <c r="J241" s="3">
        <v>0.26</v>
      </c>
      <c r="K241" s="3">
        <v>0.2273</v>
      </c>
      <c r="L241" s="3">
        <v>0.81</v>
      </c>
      <c r="M241" s="3">
        <v>0.32840000000000003</v>
      </c>
      <c r="N241" s="3">
        <v>0</v>
      </c>
      <c r="O241" s="3">
        <v>2</v>
      </c>
      <c r="P241" s="3">
        <v>2</v>
      </c>
    </row>
    <row r="242" spans="1:16" x14ac:dyDescent="0.3">
      <c r="A242" s="3">
        <v>860</v>
      </c>
      <c r="B242" s="4">
        <v>40582</v>
      </c>
      <c r="C242" s="3">
        <v>1</v>
      </c>
      <c r="D242" s="3">
        <v>0</v>
      </c>
      <c r="E242" s="3">
        <v>2</v>
      </c>
      <c r="F242" s="3">
        <v>6</v>
      </c>
      <c r="G242" s="3" t="b">
        <v>0</v>
      </c>
      <c r="H242" s="3">
        <v>2</v>
      </c>
      <c r="I242" s="3">
        <v>1</v>
      </c>
      <c r="J242" s="3">
        <v>0.26</v>
      </c>
      <c r="K242" s="3">
        <v>0.2273</v>
      </c>
      <c r="L242" s="3">
        <v>0.7</v>
      </c>
      <c r="M242" s="3">
        <v>0.32840000000000003</v>
      </c>
      <c r="N242" s="3">
        <v>0</v>
      </c>
      <c r="O242" s="3">
        <v>39</v>
      </c>
      <c r="P242" s="3">
        <v>39</v>
      </c>
    </row>
    <row r="243" spans="1:16" x14ac:dyDescent="0.3">
      <c r="A243" s="3">
        <v>861</v>
      </c>
      <c r="B243" s="4">
        <v>40582</v>
      </c>
      <c r="C243" s="3">
        <v>1</v>
      </c>
      <c r="D243" s="3">
        <v>0</v>
      </c>
      <c r="E243" s="3">
        <v>2</v>
      </c>
      <c r="F243" s="3">
        <v>7</v>
      </c>
      <c r="G243" s="3" t="b">
        <v>0</v>
      </c>
      <c r="H243" s="3">
        <v>2</v>
      </c>
      <c r="I243" s="3">
        <v>1</v>
      </c>
      <c r="J243" s="3">
        <v>0.24</v>
      </c>
      <c r="K243" s="3">
        <v>0.19700000000000001</v>
      </c>
      <c r="L243" s="3">
        <v>0.65</v>
      </c>
      <c r="M243" s="3">
        <v>0.41789999999999999</v>
      </c>
      <c r="N243" s="3">
        <v>3</v>
      </c>
      <c r="O243" s="3">
        <v>97</v>
      </c>
      <c r="P243" s="3">
        <v>100</v>
      </c>
    </row>
    <row r="244" spans="1:16" x14ac:dyDescent="0.3">
      <c r="A244" s="3">
        <v>862</v>
      </c>
      <c r="B244" s="4">
        <v>40582</v>
      </c>
      <c r="C244" s="3">
        <v>1</v>
      </c>
      <c r="D244" s="3">
        <v>0</v>
      </c>
      <c r="E244" s="3">
        <v>2</v>
      </c>
      <c r="F244" s="3">
        <v>8</v>
      </c>
      <c r="G244" s="3" t="b">
        <v>0</v>
      </c>
      <c r="H244" s="3">
        <v>2</v>
      </c>
      <c r="I244" s="3">
        <v>1</v>
      </c>
      <c r="J244" s="3">
        <v>0.24</v>
      </c>
      <c r="K244" s="3">
        <v>0.19700000000000001</v>
      </c>
      <c r="L244" s="3">
        <v>0.56000000000000005</v>
      </c>
      <c r="M244" s="3">
        <v>0.49249999999999999</v>
      </c>
      <c r="N244" s="3">
        <v>7</v>
      </c>
      <c r="O244" s="3">
        <v>236</v>
      </c>
      <c r="P244" s="3">
        <v>243</v>
      </c>
    </row>
    <row r="245" spans="1:16" x14ac:dyDescent="0.3">
      <c r="A245" s="3">
        <v>863</v>
      </c>
      <c r="B245" s="4">
        <v>40582</v>
      </c>
      <c r="C245" s="3">
        <v>1</v>
      </c>
      <c r="D245" s="3">
        <v>0</v>
      </c>
      <c r="E245" s="3">
        <v>2</v>
      </c>
      <c r="F245" s="3">
        <v>9</v>
      </c>
      <c r="G245" s="3" t="b">
        <v>0</v>
      </c>
      <c r="H245" s="3">
        <v>2</v>
      </c>
      <c r="I245" s="3">
        <v>1</v>
      </c>
      <c r="J245" s="3">
        <v>0.24</v>
      </c>
      <c r="K245" s="3">
        <v>0.19700000000000001</v>
      </c>
      <c r="L245" s="3">
        <v>0.52</v>
      </c>
      <c r="M245" s="3">
        <v>0.49249999999999999</v>
      </c>
      <c r="N245" s="3">
        <v>7</v>
      </c>
      <c r="O245" s="3">
        <v>128</v>
      </c>
      <c r="P245" s="3">
        <v>135</v>
      </c>
    </row>
    <row r="246" spans="1:16" x14ac:dyDescent="0.3">
      <c r="A246" s="3">
        <v>864</v>
      </c>
      <c r="B246" s="4">
        <v>40582</v>
      </c>
      <c r="C246" s="3">
        <v>1</v>
      </c>
      <c r="D246" s="3">
        <v>0</v>
      </c>
      <c r="E246" s="3">
        <v>2</v>
      </c>
      <c r="F246" s="3">
        <v>10</v>
      </c>
      <c r="G246" s="3" t="b">
        <v>0</v>
      </c>
      <c r="H246" s="3">
        <v>2</v>
      </c>
      <c r="I246" s="3">
        <v>1</v>
      </c>
      <c r="J246" s="3">
        <v>0.22</v>
      </c>
      <c r="K246" s="3">
        <v>0.18179999999999999</v>
      </c>
      <c r="L246" s="3">
        <v>0.47</v>
      </c>
      <c r="M246" s="3">
        <v>0.55220000000000002</v>
      </c>
      <c r="N246" s="3">
        <v>4</v>
      </c>
      <c r="O246" s="3">
        <v>44</v>
      </c>
      <c r="P246" s="3">
        <v>48</v>
      </c>
    </row>
    <row r="247" spans="1:16" x14ac:dyDescent="0.3">
      <c r="A247" s="3">
        <v>865</v>
      </c>
      <c r="B247" s="4">
        <v>40582</v>
      </c>
      <c r="C247" s="3">
        <v>1</v>
      </c>
      <c r="D247" s="3">
        <v>0</v>
      </c>
      <c r="E247" s="3">
        <v>2</v>
      </c>
      <c r="F247" s="3">
        <v>11</v>
      </c>
      <c r="G247" s="3" t="b">
        <v>0</v>
      </c>
      <c r="H247" s="3">
        <v>2</v>
      </c>
      <c r="I247" s="3">
        <v>1</v>
      </c>
      <c r="J247" s="3">
        <v>0.22</v>
      </c>
      <c r="K247" s="3">
        <v>0.18179999999999999</v>
      </c>
      <c r="L247" s="3">
        <v>0.47</v>
      </c>
      <c r="M247" s="3">
        <v>0.4627</v>
      </c>
      <c r="N247" s="3">
        <v>1</v>
      </c>
      <c r="O247" s="3">
        <v>49</v>
      </c>
      <c r="P247" s="3">
        <v>50</v>
      </c>
    </row>
    <row r="248" spans="1:16" x14ac:dyDescent="0.3">
      <c r="A248" s="3">
        <v>866</v>
      </c>
      <c r="B248" s="4">
        <v>40582</v>
      </c>
      <c r="C248" s="3">
        <v>1</v>
      </c>
      <c r="D248" s="3">
        <v>0</v>
      </c>
      <c r="E248" s="3">
        <v>2</v>
      </c>
      <c r="F248" s="3">
        <v>12</v>
      </c>
      <c r="G248" s="3" t="b">
        <v>0</v>
      </c>
      <c r="H248" s="3">
        <v>2</v>
      </c>
      <c r="I248" s="3">
        <v>1</v>
      </c>
      <c r="J248" s="3">
        <v>0.24</v>
      </c>
      <c r="K248" s="3">
        <v>0.19700000000000001</v>
      </c>
      <c r="L248" s="3">
        <v>0.38</v>
      </c>
      <c r="M248" s="3">
        <v>0.49249999999999999</v>
      </c>
      <c r="N248" s="3">
        <v>2</v>
      </c>
      <c r="O248" s="3">
        <v>63</v>
      </c>
      <c r="P248" s="3">
        <v>65</v>
      </c>
    </row>
    <row r="249" spans="1:16" x14ac:dyDescent="0.3">
      <c r="A249" s="3">
        <v>867</v>
      </c>
      <c r="B249" s="4">
        <v>40582</v>
      </c>
      <c r="C249" s="3">
        <v>1</v>
      </c>
      <c r="D249" s="3">
        <v>0</v>
      </c>
      <c r="E249" s="3">
        <v>2</v>
      </c>
      <c r="F249" s="3">
        <v>13</v>
      </c>
      <c r="G249" s="3" t="b">
        <v>0</v>
      </c>
      <c r="H249" s="3">
        <v>2</v>
      </c>
      <c r="I249" s="3">
        <v>2</v>
      </c>
      <c r="J249" s="3">
        <v>0.24</v>
      </c>
      <c r="K249" s="3">
        <v>0.19700000000000001</v>
      </c>
      <c r="L249" s="3">
        <v>0.32</v>
      </c>
      <c r="M249" s="3">
        <v>0.44779999999999998</v>
      </c>
      <c r="N249" s="3">
        <v>2</v>
      </c>
      <c r="O249" s="3">
        <v>48</v>
      </c>
      <c r="P249" s="3">
        <v>50</v>
      </c>
    </row>
    <row r="250" spans="1:16" x14ac:dyDescent="0.3">
      <c r="A250" s="3">
        <v>868</v>
      </c>
      <c r="B250" s="4">
        <v>40582</v>
      </c>
      <c r="C250" s="3">
        <v>1</v>
      </c>
      <c r="D250" s="3">
        <v>0</v>
      </c>
      <c r="E250" s="3">
        <v>2</v>
      </c>
      <c r="F250" s="3">
        <v>14</v>
      </c>
      <c r="G250" s="3" t="b">
        <v>0</v>
      </c>
      <c r="H250" s="3">
        <v>2</v>
      </c>
      <c r="I250" s="3">
        <v>1</v>
      </c>
      <c r="J250" s="3">
        <v>0.22</v>
      </c>
      <c r="K250" s="3">
        <v>0.19700000000000001</v>
      </c>
      <c r="L250" s="3">
        <v>0.37</v>
      </c>
      <c r="M250" s="3">
        <v>0.41789999999999999</v>
      </c>
      <c r="N250" s="3">
        <v>3</v>
      </c>
      <c r="O250" s="3">
        <v>61</v>
      </c>
      <c r="P250" s="3">
        <v>64</v>
      </c>
    </row>
    <row r="251" spans="1:16" x14ac:dyDescent="0.3">
      <c r="A251" s="3">
        <v>869</v>
      </c>
      <c r="B251" s="4">
        <v>40582</v>
      </c>
      <c r="C251" s="3">
        <v>1</v>
      </c>
      <c r="D251" s="3">
        <v>0</v>
      </c>
      <c r="E251" s="3">
        <v>2</v>
      </c>
      <c r="F251" s="3">
        <v>15</v>
      </c>
      <c r="G251" s="3" t="b">
        <v>0</v>
      </c>
      <c r="H251" s="3">
        <v>2</v>
      </c>
      <c r="I251" s="3">
        <v>1</v>
      </c>
      <c r="J251" s="3">
        <v>0.22</v>
      </c>
      <c r="K251" s="3">
        <v>0.19700000000000001</v>
      </c>
      <c r="L251" s="3">
        <v>0.35</v>
      </c>
      <c r="M251" s="3">
        <v>0.3881</v>
      </c>
      <c r="N251" s="3">
        <v>6</v>
      </c>
      <c r="O251" s="3">
        <v>45</v>
      </c>
      <c r="P251" s="3">
        <v>51</v>
      </c>
    </row>
    <row r="252" spans="1:16" x14ac:dyDescent="0.3">
      <c r="A252" s="3">
        <v>870</v>
      </c>
      <c r="B252" s="4">
        <v>40582</v>
      </c>
      <c r="C252" s="3">
        <v>1</v>
      </c>
      <c r="D252" s="3">
        <v>0</v>
      </c>
      <c r="E252" s="3">
        <v>2</v>
      </c>
      <c r="F252" s="3">
        <v>16</v>
      </c>
      <c r="G252" s="3" t="b">
        <v>0</v>
      </c>
      <c r="H252" s="3">
        <v>2</v>
      </c>
      <c r="I252" s="3">
        <v>1</v>
      </c>
      <c r="J252" s="3">
        <v>0.22</v>
      </c>
      <c r="K252" s="3">
        <v>0.18179999999999999</v>
      </c>
      <c r="L252" s="3">
        <v>0.35</v>
      </c>
      <c r="M252" s="3">
        <v>0.52239999999999998</v>
      </c>
      <c r="N252" s="3">
        <v>4</v>
      </c>
      <c r="O252" s="3">
        <v>79</v>
      </c>
      <c r="P252" s="3">
        <v>83</v>
      </c>
    </row>
    <row r="253" spans="1:16" x14ac:dyDescent="0.3">
      <c r="A253" s="3">
        <v>871</v>
      </c>
      <c r="B253" s="4">
        <v>40582</v>
      </c>
      <c r="C253" s="3">
        <v>1</v>
      </c>
      <c r="D253" s="3">
        <v>0</v>
      </c>
      <c r="E253" s="3">
        <v>2</v>
      </c>
      <c r="F253" s="3">
        <v>17</v>
      </c>
      <c r="G253" s="3" t="b">
        <v>0</v>
      </c>
      <c r="H253" s="3">
        <v>2</v>
      </c>
      <c r="I253" s="3">
        <v>1</v>
      </c>
      <c r="J253" s="3">
        <v>0.22</v>
      </c>
      <c r="K253" s="3">
        <v>0.18179999999999999</v>
      </c>
      <c r="L253" s="3">
        <v>0.32</v>
      </c>
      <c r="M253" s="3">
        <v>0.58209999999999995</v>
      </c>
      <c r="N253" s="3">
        <v>4</v>
      </c>
      <c r="O253" s="3">
        <v>172</v>
      </c>
      <c r="P253" s="3">
        <v>176</v>
      </c>
    </row>
    <row r="254" spans="1:16" x14ac:dyDescent="0.3">
      <c r="A254" s="3">
        <v>872</v>
      </c>
      <c r="B254" s="4">
        <v>40582</v>
      </c>
      <c r="C254" s="3">
        <v>1</v>
      </c>
      <c r="D254" s="3">
        <v>0</v>
      </c>
      <c r="E254" s="3">
        <v>2</v>
      </c>
      <c r="F254" s="3">
        <v>18</v>
      </c>
      <c r="G254" s="3" t="b">
        <v>0</v>
      </c>
      <c r="H254" s="3">
        <v>2</v>
      </c>
      <c r="I254" s="3">
        <v>1</v>
      </c>
      <c r="J254" s="3">
        <v>0.2</v>
      </c>
      <c r="K254" s="3">
        <v>0.18179999999999999</v>
      </c>
      <c r="L254" s="3">
        <v>0.32</v>
      </c>
      <c r="M254" s="3">
        <v>0.3881</v>
      </c>
      <c r="N254" s="3">
        <v>1</v>
      </c>
      <c r="O254" s="3">
        <v>151</v>
      </c>
      <c r="P254" s="3">
        <v>152</v>
      </c>
    </row>
    <row r="255" spans="1:16" x14ac:dyDescent="0.3">
      <c r="A255" s="3">
        <v>873</v>
      </c>
      <c r="B255" s="4">
        <v>40582</v>
      </c>
      <c r="C255" s="3">
        <v>1</v>
      </c>
      <c r="D255" s="3">
        <v>0</v>
      </c>
      <c r="E255" s="3">
        <v>2</v>
      </c>
      <c r="F255" s="3">
        <v>19</v>
      </c>
      <c r="G255" s="3" t="b">
        <v>0</v>
      </c>
      <c r="H255" s="3">
        <v>2</v>
      </c>
      <c r="I255" s="3">
        <v>1</v>
      </c>
      <c r="J255" s="3">
        <v>0.16</v>
      </c>
      <c r="K255" s="3">
        <v>0.1212</v>
      </c>
      <c r="L255" s="3">
        <v>0.4</v>
      </c>
      <c r="M255" s="3">
        <v>0.4627</v>
      </c>
      <c r="N255" s="3">
        <v>1</v>
      </c>
      <c r="O255" s="3">
        <v>100</v>
      </c>
      <c r="P255" s="3">
        <v>101</v>
      </c>
    </row>
    <row r="256" spans="1:16" x14ac:dyDescent="0.3">
      <c r="A256" s="3">
        <v>874</v>
      </c>
      <c r="B256" s="4">
        <v>40582</v>
      </c>
      <c r="C256" s="3">
        <v>1</v>
      </c>
      <c r="D256" s="3">
        <v>0</v>
      </c>
      <c r="E256" s="3">
        <v>2</v>
      </c>
      <c r="F256" s="3">
        <v>20</v>
      </c>
      <c r="G256" s="3" t="b">
        <v>0</v>
      </c>
      <c r="H256" s="3">
        <v>2</v>
      </c>
      <c r="I256" s="3">
        <v>1</v>
      </c>
      <c r="J256" s="3">
        <v>0.16</v>
      </c>
      <c r="K256" s="3">
        <v>0.13639999999999999</v>
      </c>
      <c r="L256" s="3">
        <v>0.4</v>
      </c>
      <c r="M256" s="3">
        <v>0.32840000000000003</v>
      </c>
      <c r="N256" s="3">
        <v>3</v>
      </c>
      <c r="O256" s="3">
        <v>53</v>
      </c>
      <c r="P256" s="3">
        <v>56</v>
      </c>
    </row>
    <row r="257" spans="1:16" x14ac:dyDescent="0.3">
      <c r="A257" s="3">
        <v>875</v>
      </c>
      <c r="B257" s="4">
        <v>40582</v>
      </c>
      <c r="C257" s="3">
        <v>1</v>
      </c>
      <c r="D257" s="3">
        <v>0</v>
      </c>
      <c r="E257" s="3">
        <v>2</v>
      </c>
      <c r="F257" s="3">
        <v>21</v>
      </c>
      <c r="G257" s="3" t="b">
        <v>0</v>
      </c>
      <c r="H257" s="3">
        <v>2</v>
      </c>
      <c r="I257" s="3">
        <v>1</v>
      </c>
      <c r="J257" s="3">
        <v>0.14000000000000001</v>
      </c>
      <c r="K257" s="3">
        <v>0.1061</v>
      </c>
      <c r="L257" s="3">
        <v>0.33</v>
      </c>
      <c r="M257" s="3">
        <v>0.4627</v>
      </c>
      <c r="N257" s="3">
        <v>8</v>
      </c>
      <c r="O257" s="3">
        <v>46</v>
      </c>
      <c r="P257" s="3">
        <v>54</v>
      </c>
    </row>
    <row r="258" spans="1:16" x14ac:dyDescent="0.3">
      <c r="A258" s="3">
        <v>876</v>
      </c>
      <c r="B258" s="4">
        <v>40582</v>
      </c>
      <c r="C258" s="3">
        <v>1</v>
      </c>
      <c r="D258" s="3">
        <v>0</v>
      </c>
      <c r="E258" s="3">
        <v>2</v>
      </c>
      <c r="F258" s="3">
        <v>22</v>
      </c>
      <c r="G258" s="3" t="b">
        <v>0</v>
      </c>
      <c r="H258" s="3">
        <v>2</v>
      </c>
      <c r="I258" s="3">
        <v>1</v>
      </c>
      <c r="J258" s="3">
        <v>0.12</v>
      </c>
      <c r="K258" s="3">
        <v>0.1061</v>
      </c>
      <c r="L258" s="3">
        <v>0.33</v>
      </c>
      <c r="M258" s="3">
        <v>0.35820000000000002</v>
      </c>
      <c r="N258" s="3">
        <v>0</v>
      </c>
      <c r="O258" s="3">
        <v>29</v>
      </c>
      <c r="P258" s="3">
        <v>29</v>
      </c>
    </row>
    <row r="259" spans="1:16" x14ac:dyDescent="0.3">
      <c r="A259" s="3">
        <v>877</v>
      </c>
      <c r="B259" s="4">
        <v>40582</v>
      </c>
      <c r="C259" s="3">
        <v>1</v>
      </c>
      <c r="D259" s="3">
        <v>0</v>
      </c>
      <c r="E259" s="3">
        <v>2</v>
      </c>
      <c r="F259" s="3">
        <v>23</v>
      </c>
      <c r="G259" s="3" t="b">
        <v>0</v>
      </c>
      <c r="H259" s="3">
        <v>2</v>
      </c>
      <c r="I259" s="3">
        <v>1</v>
      </c>
      <c r="J259" s="3">
        <v>0.12</v>
      </c>
      <c r="K259" s="3">
        <v>0.1061</v>
      </c>
      <c r="L259" s="3">
        <v>0.33</v>
      </c>
      <c r="M259" s="3">
        <v>0.32840000000000003</v>
      </c>
      <c r="N259" s="3">
        <v>3</v>
      </c>
      <c r="O259" s="3">
        <v>9</v>
      </c>
      <c r="P259" s="3">
        <v>12</v>
      </c>
    </row>
    <row r="260" spans="1:16" x14ac:dyDescent="0.3">
      <c r="A260" s="3">
        <v>878</v>
      </c>
      <c r="B260" s="4">
        <v>40583</v>
      </c>
      <c r="C260" s="3">
        <v>1</v>
      </c>
      <c r="D260" s="3">
        <v>0</v>
      </c>
      <c r="E260" s="3">
        <v>2</v>
      </c>
      <c r="F260" s="3">
        <v>0</v>
      </c>
      <c r="G260" s="3" t="b">
        <v>0</v>
      </c>
      <c r="H260" s="3">
        <v>3</v>
      </c>
      <c r="I260" s="3">
        <v>1</v>
      </c>
      <c r="J260" s="3">
        <v>0.1</v>
      </c>
      <c r="K260" s="3">
        <v>7.5800000000000006E-2</v>
      </c>
      <c r="L260" s="3">
        <v>0.36</v>
      </c>
      <c r="M260" s="3">
        <v>0.35820000000000002</v>
      </c>
      <c r="N260" s="3">
        <v>0</v>
      </c>
      <c r="O260" s="3">
        <v>17</v>
      </c>
      <c r="P260" s="3">
        <v>17</v>
      </c>
    </row>
    <row r="261" spans="1:16" x14ac:dyDescent="0.3">
      <c r="A261" s="3">
        <v>879</v>
      </c>
      <c r="B261" s="4">
        <v>40583</v>
      </c>
      <c r="C261" s="3">
        <v>1</v>
      </c>
      <c r="D261" s="3">
        <v>0</v>
      </c>
      <c r="E261" s="3">
        <v>2</v>
      </c>
      <c r="F261" s="3">
        <v>1</v>
      </c>
      <c r="G261" s="3" t="b">
        <v>0</v>
      </c>
      <c r="H261" s="3">
        <v>3</v>
      </c>
      <c r="I261" s="3">
        <v>1</v>
      </c>
      <c r="J261" s="3">
        <v>0.1</v>
      </c>
      <c r="K261" s="3">
        <v>0.1061</v>
      </c>
      <c r="L261" s="3">
        <v>0.36</v>
      </c>
      <c r="M261" s="3">
        <v>0.22389999999999999</v>
      </c>
      <c r="N261" s="3">
        <v>0</v>
      </c>
      <c r="O261" s="3">
        <v>7</v>
      </c>
      <c r="P261" s="3">
        <v>7</v>
      </c>
    </row>
    <row r="262" spans="1:16" x14ac:dyDescent="0.3">
      <c r="A262" s="3">
        <v>880</v>
      </c>
      <c r="B262" s="4">
        <v>40583</v>
      </c>
      <c r="C262" s="3">
        <v>1</v>
      </c>
      <c r="D262" s="3">
        <v>0</v>
      </c>
      <c r="E262" s="3">
        <v>2</v>
      </c>
      <c r="F262" s="3">
        <v>2</v>
      </c>
      <c r="G262" s="3" t="b">
        <v>0</v>
      </c>
      <c r="H262" s="3">
        <v>3</v>
      </c>
      <c r="I262" s="3">
        <v>1</v>
      </c>
      <c r="J262" s="3">
        <v>0.08</v>
      </c>
      <c r="K262" s="3">
        <v>7.5800000000000006E-2</v>
      </c>
      <c r="L262" s="3">
        <v>0.38</v>
      </c>
      <c r="M262" s="3">
        <v>0.28360000000000002</v>
      </c>
      <c r="N262" s="3">
        <v>1</v>
      </c>
      <c r="O262" s="3">
        <v>2</v>
      </c>
      <c r="P262" s="3">
        <v>3</v>
      </c>
    </row>
    <row r="263" spans="1:16" x14ac:dyDescent="0.3">
      <c r="A263" s="3">
        <v>881</v>
      </c>
      <c r="B263" s="4">
        <v>40583</v>
      </c>
      <c r="C263" s="3">
        <v>1</v>
      </c>
      <c r="D263" s="3">
        <v>0</v>
      </c>
      <c r="E263" s="3">
        <v>2</v>
      </c>
      <c r="F263" s="3">
        <v>3</v>
      </c>
      <c r="G263" s="3" t="b">
        <v>0</v>
      </c>
      <c r="H263" s="3">
        <v>3</v>
      </c>
      <c r="I263" s="3">
        <v>1</v>
      </c>
      <c r="J263" s="3">
        <v>0.06</v>
      </c>
      <c r="K263" s="3">
        <v>7.5800000000000006E-2</v>
      </c>
      <c r="L263" s="3">
        <v>0.45</v>
      </c>
      <c r="M263" s="3">
        <v>0.1343</v>
      </c>
      <c r="N263" s="3">
        <v>0</v>
      </c>
      <c r="O263" s="3">
        <v>2</v>
      </c>
      <c r="P263" s="3">
        <v>2</v>
      </c>
    </row>
    <row r="264" spans="1:16" x14ac:dyDescent="0.3">
      <c r="A264" s="3">
        <v>882</v>
      </c>
      <c r="B264" s="4">
        <v>40583</v>
      </c>
      <c r="C264" s="3">
        <v>1</v>
      </c>
      <c r="D264" s="3">
        <v>0</v>
      </c>
      <c r="E264" s="3">
        <v>2</v>
      </c>
      <c r="F264" s="3">
        <v>5</v>
      </c>
      <c r="G264" s="3" t="b">
        <v>0</v>
      </c>
      <c r="H264" s="3">
        <v>3</v>
      </c>
      <c r="I264" s="3">
        <v>1</v>
      </c>
      <c r="J264" s="3">
        <v>0.06</v>
      </c>
      <c r="K264" s="3">
        <v>0.1061</v>
      </c>
      <c r="L264" s="3">
        <v>0.45</v>
      </c>
      <c r="M264" s="3">
        <v>0.1045</v>
      </c>
      <c r="N264" s="3">
        <v>0</v>
      </c>
      <c r="O264" s="3">
        <v>7</v>
      </c>
      <c r="P264" s="3">
        <v>7</v>
      </c>
    </row>
    <row r="265" spans="1:16" x14ac:dyDescent="0.3">
      <c r="A265" s="3">
        <v>883</v>
      </c>
      <c r="B265" s="4">
        <v>40583</v>
      </c>
      <c r="C265" s="3">
        <v>1</v>
      </c>
      <c r="D265" s="3">
        <v>0</v>
      </c>
      <c r="E265" s="3">
        <v>2</v>
      </c>
      <c r="F265" s="3">
        <v>6</v>
      </c>
      <c r="G265" s="3" t="b">
        <v>0</v>
      </c>
      <c r="H265" s="3">
        <v>3</v>
      </c>
      <c r="I265" s="3">
        <v>1</v>
      </c>
      <c r="J265" s="3">
        <v>0.06</v>
      </c>
      <c r="K265" s="3">
        <v>0.1515</v>
      </c>
      <c r="L265" s="3">
        <v>0.45</v>
      </c>
      <c r="M265" s="3">
        <v>0</v>
      </c>
      <c r="N265" s="3">
        <v>0</v>
      </c>
      <c r="O265" s="3">
        <v>43</v>
      </c>
      <c r="P265" s="3">
        <v>43</v>
      </c>
    </row>
    <row r="266" spans="1:16" x14ac:dyDescent="0.3">
      <c r="A266" s="3">
        <v>884</v>
      </c>
      <c r="B266" s="4">
        <v>40583</v>
      </c>
      <c r="C266" s="3">
        <v>1</v>
      </c>
      <c r="D266" s="3">
        <v>0</v>
      </c>
      <c r="E266" s="3">
        <v>2</v>
      </c>
      <c r="F266" s="3">
        <v>7</v>
      </c>
      <c r="G266" s="3" t="b">
        <v>0</v>
      </c>
      <c r="H266" s="3">
        <v>3</v>
      </c>
      <c r="I266" s="3">
        <v>1</v>
      </c>
      <c r="J266" s="3">
        <v>0.06</v>
      </c>
      <c r="K266" s="3">
        <v>0.1061</v>
      </c>
      <c r="L266" s="3">
        <v>0.49</v>
      </c>
      <c r="M266" s="3">
        <v>0.1045</v>
      </c>
      <c r="N266" s="3">
        <v>4</v>
      </c>
      <c r="O266" s="3">
        <v>95</v>
      </c>
      <c r="P266" s="3">
        <v>99</v>
      </c>
    </row>
    <row r="267" spans="1:16" x14ac:dyDescent="0.3">
      <c r="A267" s="3">
        <v>885</v>
      </c>
      <c r="B267" s="4">
        <v>40583</v>
      </c>
      <c r="C267" s="3">
        <v>1</v>
      </c>
      <c r="D267" s="3">
        <v>0</v>
      </c>
      <c r="E267" s="3">
        <v>2</v>
      </c>
      <c r="F267" s="3">
        <v>8</v>
      </c>
      <c r="G267" s="3" t="b">
        <v>0</v>
      </c>
      <c r="H267" s="3">
        <v>3</v>
      </c>
      <c r="I267" s="3">
        <v>1</v>
      </c>
      <c r="J267" s="3">
        <v>0.1</v>
      </c>
      <c r="K267" s="3">
        <v>0.13639999999999999</v>
      </c>
      <c r="L267" s="3">
        <v>0.42</v>
      </c>
      <c r="M267" s="3">
        <v>0</v>
      </c>
      <c r="N267" s="3">
        <v>1</v>
      </c>
      <c r="O267" s="3">
        <v>198</v>
      </c>
      <c r="P267" s="3">
        <v>199</v>
      </c>
    </row>
    <row r="268" spans="1:16" x14ac:dyDescent="0.3">
      <c r="A268" s="3">
        <v>886</v>
      </c>
      <c r="B268" s="4">
        <v>40583</v>
      </c>
      <c r="C268" s="3">
        <v>1</v>
      </c>
      <c r="D268" s="3">
        <v>0</v>
      </c>
      <c r="E268" s="3">
        <v>2</v>
      </c>
      <c r="F268" s="3">
        <v>9</v>
      </c>
      <c r="G268" s="3" t="b">
        <v>0</v>
      </c>
      <c r="H268" s="3">
        <v>3</v>
      </c>
      <c r="I268" s="3">
        <v>1</v>
      </c>
      <c r="J268" s="3">
        <v>0.12</v>
      </c>
      <c r="K268" s="3">
        <v>0.13639999999999999</v>
      </c>
      <c r="L268" s="3">
        <v>0.39</v>
      </c>
      <c r="M268" s="3">
        <v>0.16420000000000001</v>
      </c>
      <c r="N268" s="3">
        <v>4</v>
      </c>
      <c r="O268" s="3">
        <v>119</v>
      </c>
      <c r="P268" s="3">
        <v>123</v>
      </c>
    </row>
    <row r="269" spans="1:16" x14ac:dyDescent="0.3">
      <c r="A269" s="3">
        <v>887</v>
      </c>
      <c r="B269" s="4">
        <v>40583</v>
      </c>
      <c r="C269" s="3">
        <v>1</v>
      </c>
      <c r="D269" s="3">
        <v>0</v>
      </c>
      <c r="E269" s="3">
        <v>2</v>
      </c>
      <c r="F269" s="3">
        <v>10</v>
      </c>
      <c r="G269" s="3" t="b">
        <v>0</v>
      </c>
      <c r="H269" s="3">
        <v>3</v>
      </c>
      <c r="I269" s="3">
        <v>1</v>
      </c>
      <c r="J269" s="3">
        <v>0.14000000000000001</v>
      </c>
      <c r="K269" s="3">
        <v>0.18179999999999999</v>
      </c>
      <c r="L269" s="3">
        <v>0.36</v>
      </c>
      <c r="M269" s="3">
        <v>0</v>
      </c>
      <c r="N269" s="3">
        <v>8</v>
      </c>
      <c r="O269" s="3">
        <v>51</v>
      </c>
      <c r="P269" s="3">
        <v>59</v>
      </c>
    </row>
    <row r="270" spans="1:16" x14ac:dyDescent="0.3">
      <c r="A270" s="3">
        <v>888</v>
      </c>
      <c r="B270" s="4">
        <v>40583</v>
      </c>
      <c r="C270" s="3">
        <v>1</v>
      </c>
      <c r="D270" s="3">
        <v>0</v>
      </c>
      <c r="E270" s="3">
        <v>2</v>
      </c>
      <c r="F270" s="3">
        <v>11</v>
      </c>
      <c r="G270" s="3" t="b">
        <v>0</v>
      </c>
      <c r="H270" s="3">
        <v>3</v>
      </c>
      <c r="I270" s="3">
        <v>2</v>
      </c>
      <c r="J270" s="3">
        <v>0.14000000000000001</v>
      </c>
      <c r="K270" s="3">
        <v>0.1515</v>
      </c>
      <c r="L270" s="3">
        <v>0.43</v>
      </c>
      <c r="M270" s="3">
        <v>0.16420000000000001</v>
      </c>
      <c r="N270" s="3">
        <v>1</v>
      </c>
      <c r="O270" s="3">
        <v>40</v>
      </c>
      <c r="P270" s="3">
        <v>41</v>
      </c>
    </row>
    <row r="271" spans="1:16" x14ac:dyDescent="0.3">
      <c r="A271" s="3">
        <v>889</v>
      </c>
      <c r="B271" s="4">
        <v>40583</v>
      </c>
      <c r="C271" s="3">
        <v>1</v>
      </c>
      <c r="D271" s="3">
        <v>0</v>
      </c>
      <c r="E271" s="3">
        <v>2</v>
      </c>
      <c r="F271" s="3">
        <v>12</v>
      </c>
      <c r="G271" s="3" t="b">
        <v>0</v>
      </c>
      <c r="H271" s="3">
        <v>3</v>
      </c>
      <c r="I271" s="3">
        <v>2</v>
      </c>
      <c r="J271" s="3">
        <v>0.18</v>
      </c>
      <c r="K271" s="3">
        <v>0.18179999999999999</v>
      </c>
      <c r="L271" s="3">
        <v>0.4</v>
      </c>
      <c r="M271" s="3">
        <v>0.22389999999999999</v>
      </c>
      <c r="N271" s="3">
        <v>4</v>
      </c>
      <c r="O271" s="3">
        <v>57</v>
      </c>
      <c r="P271" s="3">
        <v>61</v>
      </c>
    </row>
    <row r="272" spans="1:16" x14ac:dyDescent="0.3">
      <c r="A272" s="3">
        <v>890</v>
      </c>
      <c r="B272" s="4">
        <v>40583</v>
      </c>
      <c r="C272" s="3">
        <v>1</v>
      </c>
      <c r="D272" s="3">
        <v>0</v>
      </c>
      <c r="E272" s="3">
        <v>2</v>
      </c>
      <c r="F272" s="3">
        <v>13</v>
      </c>
      <c r="G272" s="3" t="b">
        <v>0</v>
      </c>
      <c r="H272" s="3">
        <v>3</v>
      </c>
      <c r="I272" s="3">
        <v>1</v>
      </c>
      <c r="J272" s="3">
        <v>0.18</v>
      </c>
      <c r="K272" s="3">
        <v>0.16669999999999999</v>
      </c>
      <c r="L272" s="3">
        <v>0.4</v>
      </c>
      <c r="M272" s="3">
        <v>0.25369999999999998</v>
      </c>
      <c r="N272" s="3">
        <v>2</v>
      </c>
      <c r="O272" s="3">
        <v>67</v>
      </c>
      <c r="P272" s="3">
        <v>69</v>
      </c>
    </row>
    <row r="273" spans="1:16" x14ac:dyDescent="0.3">
      <c r="A273" s="3">
        <v>891</v>
      </c>
      <c r="B273" s="4">
        <v>40583</v>
      </c>
      <c r="C273" s="3">
        <v>1</v>
      </c>
      <c r="D273" s="3">
        <v>0</v>
      </c>
      <c r="E273" s="3">
        <v>2</v>
      </c>
      <c r="F273" s="3">
        <v>14</v>
      </c>
      <c r="G273" s="3" t="b">
        <v>0</v>
      </c>
      <c r="H273" s="3">
        <v>3</v>
      </c>
      <c r="I273" s="3">
        <v>1</v>
      </c>
      <c r="J273" s="3">
        <v>0.2</v>
      </c>
      <c r="K273" s="3">
        <v>0.18179999999999999</v>
      </c>
      <c r="L273" s="3">
        <v>0.34</v>
      </c>
      <c r="M273" s="3">
        <v>0.29849999999999999</v>
      </c>
      <c r="N273" s="3">
        <v>2</v>
      </c>
      <c r="O273" s="3">
        <v>56</v>
      </c>
      <c r="P273" s="3">
        <v>58</v>
      </c>
    </row>
    <row r="274" spans="1:16" x14ac:dyDescent="0.3">
      <c r="A274" s="3">
        <v>892</v>
      </c>
      <c r="B274" s="4">
        <v>40583</v>
      </c>
      <c r="C274" s="3">
        <v>1</v>
      </c>
      <c r="D274" s="3">
        <v>0</v>
      </c>
      <c r="E274" s="3">
        <v>2</v>
      </c>
      <c r="F274" s="3">
        <v>15</v>
      </c>
      <c r="G274" s="3" t="b">
        <v>0</v>
      </c>
      <c r="H274" s="3">
        <v>3</v>
      </c>
      <c r="I274" s="3">
        <v>2</v>
      </c>
      <c r="J274" s="3">
        <v>0.2</v>
      </c>
      <c r="K274" s="3">
        <v>0.18179999999999999</v>
      </c>
      <c r="L274" s="3">
        <v>0.34</v>
      </c>
      <c r="M274" s="3">
        <v>0.28360000000000002</v>
      </c>
      <c r="N274" s="3">
        <v>3</v>
      </c>
      <c r="O274" s="3">
        <v>61</v>
      </c>
      <c r="P274" s="3">
        <v>64</v>
      </c>
    </row>
    <row r="275" spans="1:16" x14ac:dyDescent="0.3">
      <c r="A275" s="3">
        <v>893</v>
      </c>
      <c r="B275" s="4">
        <v>40583</v>
      </c>
      <c r="C275" s="3">
        <v>1</v>
      </c>
      <c r="D275" s="3">
        <v>0</v>
      </c>
      <c r="E275" s="3">
        <v>2</v>
      </c>
      <c r="F275" s="3">
        <v>16</v>
      </c>
      <c r="G275" s="3" t="b">
        <v>0</v>
      </c>
      <c r="H275" s="3">
        <v>3</v>
      </c>
      <c r="I275" s="3">
        <v>2</v>
      </c>
      <c r="J275" s="3">
        <v>0.2</v>
      </c>
      <c r="K275" s="3">
        <v>0.19700000000000001</v>
      </c>
      <c r="L275" s="3">
        <v>0.37</v>
      </c>
      <c r="M275" s="3">
        <v>0.25369999999999998</v>
      </c>
      <c r="N275" s="3">
        <v>7</v>
      </c>
      <c r="O275" s="3">
        <v>72</v>
      </c>
      <c r="P275" s="3">
        <v>79</v>
      </c>
    </row>
    <row r="276" spans="1:16" x14ac:dyDescent="0.3">
      <c r="A276" s="3">
        <v>894</v>
      </c>
      <c r="B276" s="4">
        <v>40583</v>
      </c>
      <c r="C276" s="3">
        <v>1</v>
      </c>
      <c r="D276" s="3">
        <v>0</v>
      </c>
      <c r="E276" s="3">
        <v>2</v>
      </c>
      <c r="F276" s="3">
        <v>17</v>
      </c>
      <c r="G276" s="3" t="b">
        <v>0</v>
      </c>
      <c r="H276" s="3">
        <v>3</v>
      </c>
      <c r="I276" s="3">
        <v>2</v>
      </c>
      <c r="J276" s="3">
        <v>0.2</v>
      </c>
      <c r="K276" s="3">
        <v>0.19700000000000001</v>
      </c>
      <c r="L276" s="3">
        <v>0.34</v>
      </c>
      <c r="M276" s="3">
        <v>0.25369999999999998</v>
      </c>
      <c r="N276" s="3">
        <v>9</v>
      </c>
      <c r="O276" s="3">
        <v>157</v>
      </c>
      <c r="P276" s="3">
        <v>166</v>
      </c>
    </row>
    <row r="277" spans="1:16" x14ac:dyDescent="0.3">
      <c r="A277" s="3">
        <v>895</v>
      </c>
      <c r="B277" s="4">
        <v>40583</v>
      </c>
      <c r="C277" s="3">
        <v>1</v>
      </c>
      <c r="D277" s="3">
        <v>0</v>
      </c>
      <c r="E277" s="3">
        <v>2</v>
      </c>
      <c r="F277" s="3">
        <v>18</v>
      </c>
      <c r="G277" s="3" t="b">
        <v>0</v>
      </c>
      <c r="H277" s="3">
        <v>3</v>
      </c>
      <c r="I277" s="3">
        <v>2</v>
      </c>
      <c r="J277" s="3">
        <v>0.18</v>
      </c>
      <c r="K277" s="3">
        <v>0.16669999999999999</v>
      </c>
      <c r="L277" s="3">
        <v>0.47</v>
      </c>
      <c r="M277" s="3">
        <v>0.29849999999999999</v>
      </c>
      <c r="N277" s="3">
        <v>2</v>
      </c>
      <c r="O277" s="3">
        <v>168</v>
      </c>
      <c r="P277" s="3">
        <v>170</v>
      </c>
    </row>
    <row r="278" spans="1:16" x14ac:dyDescent="0.3">
      <c r="A278" s="3">
        <v>896</v>
      </c>
      <c r="B278" s="4">
        <v>40583</v>
      </c>
      <c r="C278" s="3">
        <v>1</v>
      </c>
      <c r="D278" s="3">
        <v>0</v>
      </c>
      <c r="E278" s="3">
        <v>2</v>
      </c>
      <c r="F278" s="3">
        <v>19</v>
      </c>
      <c r="G278" s="3" t="b">
        <v>0</v>
      </c>
      <c r="H278" s="3">
        <v>3</v>
      </c>
      <c r="I278" s="3">
        <v>3</v>
      </c>
      <c r="J278" s="3">
        <v>0.14000000000000001</v>
      </c>
      <c r="K278" s="3">
        <v>0.1212</v>
      </c>
      <c r="L278" s="3">
        <v>0.86</v>
      </c>
      <c r="M278" s="3">
        <v>0.25369999999999998</v>
      </c>
      <c r="N278" s="3">
        <v>1</v>
      </c>
      <c r="O278" s="3">
        <v>87</v>
      </c>
      <c r="P278" s="3">
        <v>88</v>
      </c>
    </row>
    <row r="279" spans="1:16" x14ac:dyDescent="0.3">
      <c r="A279" s="3">
        <v>897</v>
      </c>
      <c r="B279" s="4">
        <v>40583</v>
      </c>
      <c r="C279" s="3">
        <v>1</v>
      </c>
      <c r="D279" s="3">
        <v>0</v>
      </c>
      <c r="E279" s="3">
        <v>2</v>
      </c>
      <c r="F279" s="3">
        <v>20</v>
      </c>
      <c r="G279" s="3" t="b">
        <v>0</v>
      </c>
      <c r="H279" s="3">
        <v>3</v>
      </c>
      <c r="I279" s="3">
        <v>3</v>
      </c>
      <c r="J279" s="3">
        <v>0.14000000000000001</v>
      </c>
      <c r="K279" s="3">
        <v>0.1515</v>
      </c>
      <c r="L279" s="3">
        <v>0.86</v>
      </c>
      <c r="M279" s="3">
        <v>0.16420000000000001</v>
      </c>
      <c r="N279" s="3">
        <v>0</v>
      </c>
      <c r="O279" s="3">
        <v>84</v>
      </c>
      <c r="P279" s="3">
        <v>84</v>
      </c>
    </row>
    <row r="280" spans="1:16" x14ac:dyDescent="0.3">
      <c r="A280" s="3">
        <v>898</v>
      </c>
      <c r="B280" s="4">
        <v>40583</v>
      </c>
      <c r="C280" s="3">
        <v>1</v>
      </c>
      <c r="D280" s="3">
        <v>0</v>
      </c>
      <c r="E280" s="3">
        <v>2</v>
      </c>
      <c r="F280" s="3">
        <v>21</v>
      </c>
      <c r="G280" s="3" t="b">
        <v>0</v>
      </c>
      <c r="H280" s="3">
        <v>3</v>
      </c>
      <c r="I280" s="3">
        <v>2</v>
      </c>
      <c r="J280" s="3">
        <v>0.14000000000000001</v>
      </c>
      <c r="K280" s="3">
        <v>0.1515</v>
      </c>
      <c r="L280" s="3">
        <v>0.86</v>
      </c>
      <c r="M280" s="3">
        <v>0.16420000000000001</v>
      </c>
      <c r="N280" s="3">
        <v>0</v>
      </c>
      <c r="O280" s="3">
        <v>83</v>
      </c>
      <c r="P280" s="3">
        <v>83</v>
      </c>
    </row>
    <row r="281" spans="1:16" x14ac:dyDescent="0.3">
      <c r="A281" s="3">
        <v>899</v>
      </c>
      <c r="B281" s="4">
        <v>40583</v>
      </c>
      <c r="C281" s="3">
        <v>1</v>
      </c>
      <c r="D281" s="3">
        <v>0</v>
      </c>
      <c r="E281" s="3">
        <v>2</v>
      </c>
      <c r="F281" s="3">
        <v>22</v>
      </c>
      <c r="G281" s="3" t="b">
        <v>0</v>
      </c>
      <c r="H281" s="3">
        <v>3</v>
      </c>
      <c r="I281" s="3">
        <v>3</v>
      </c>
      <c r="J281" s="3">
        <v>0.16</v>
      </c>
      <c r="K281" s="3">
        <v>0.16669999999999999</v>
      </c>
      <c r="L281" s="3">
        <v>0.8</v>
      </c>
      <c r="M281" s="3">
        <v>0.16420000000000001</v>
      </c>
      <c r="N281" s="3">
        <v>4</v>
      </c>
      <c r="O281" s="3">
        <v>42</v>
      </c>
      <c r="P281" s="3">
        <v>46</v>
      </c>
    </row>
    <row r="282" spans="1:16" x14ac:dyDescent="0.3">
      <c r="A282" s="3">
        <v>900</v>
      </c>
      <c r="B282" s="4">
        <v>40583</v>
      </c>
      <c r="C282" s="3">
        <v>1</v>
      </c>
      <c r="D282" s="3">
        <v>0</v>
      </c>
      <c r="E282" s="3">
        <v>2</v>
      </c>
      <c r="F282" s="3">
        <v>23</v>
      </c>
      <c r="G282" s="3" t="b">
        <v>0</v>
      </c>
      <c r="H282" s="3">
        <v>3</v>
      </c>
      <c r="I282" s="3">
        <v>3</v>
      </c>
      <c r="J282" s="3">
        <v>0.16</v>
      </c>
      <c r="K282" s="3">
        <v>0.1515</v>
      </c>
      <c r="L282" s="3">
        <v>0.8</v>
      </c>
      <c r="M282" s="3">
        <v>0.19400000000000001</v>
      </c>
      <c r="N282" s="3">
        <v>0</v>
      </c>
      <c r="O282" s="3">
        <v>37</v>
      </c>
      <c r="P282" s="3">
        <v>37</v>
      </c>
    </row>
    <row r="283" spans="1:16" x14ac:dyDescent="0.3">
      <c r="A283" s="3">
        <v>901</v>
      </c>
      <c r="B283" s="4">
        <v>40584</v>
      </c>
      <c r="C283" s="3">
        <v>1</v>
      </c>
      <c r="D283" s="3">
        <v>0</v>
      </c>
      <c r="E283" s="3">
        <v>2</v>
      </c>
      <c r="F283" s="3">
        <v>0</v>
      </c>
      <c r="G283" s="3" t="b">
        <v>0</v>
      </c>
      <c r="H283" s="3">
        <v>4</v>
      </c>
      <c r="I283" s="3">
        <v>3</v>
      </c>
      <c r="J283" s="3">
        <v>0.14000000000000001</v>
      </c>
      <c r="K283" s="3">
        <v>0.13639999999999999</v>
      </c>
      <c r="L283" s="3">
        <v>0.86</v>
      </c>
      <c r="M283" s="3">
        <v>0.19400000000000001</v>
      </c>
      <c r="N283" s="3">
        <v>0</v>
      </c>
      <c r="O283" s="3">
        <v>16</v>
      </c>
      <c r="P283" s="3">
        <v>16</v>
      </c>
    </row>
    <row r="284" spans="1:16" x14ac:dyDescent="0.3">
      <c r="A284" s="3">
        <v>902</v>
      </c>
      <c r="B284" s="4">
        <v>40584</v>
      </c>
      <c r="C284" s="3">
        <v>1</v>
      </c>
      <c r="D284" s="3">
        <v>0</v>
      </c>
      <c r="E284" s="3">
        <v>2</v>
      </c>
      <c r="F284" s="3">
        <v>1</v>
      </c>
      <c r="G284" s="3" t="b">
        <v>0</v>
      </c>
      <c r="H284" s="3">
        <v>4</v>
      </c>
      <c r="I284" s="3">
        <v>3</v>
      </c>
      <c r="J284" s="3">
        <v>0.14000000000000001</v>
      </c>
      <c r="K284" s="3">
        <v>0.1515</v>
      </c>
      <c r="L284" s="3">
        <v>0.8</v>
      </c>
      <c r="M284" s="3">
        <v>0.1343</v>
      </c>
      <c r="N284" s="3">
        <v>0</v>
      </c>
      <c r="O284" s="3">
        <v>7</v>
      </c>
      <c r="P284" s="3">
        <v>7</v>
      </c>
    </row>
    <row r="285" spans="1:16" x14ac:dyDescent="0.3">
      <c r="A285" s="3">
        <v>903</v>
      </c>
      <c r="B285" s="4">
        <v>40584</v>
      </c>
      <c r="C285" s="3">
        <v>1</v>
      </c>
      <c r="D285" s="3">
        <v>0</v>
      </c>
      <c r="E285" s="3">
        <v>2</v>
      </c>
      <c r="F285" s="3">
        <v>2</v>
      </c>
      <c r="G285" s="3" t="b">
        <v>0</v>
      </c>
      <c r="H285" s="3">
        <v>4</v>
      </c>
      <c r="I285" s="3">
        <v>3</v>
      </c>
      <c r="J285" s="3">
        <v>0.14000000000000001</v>
      </c>
      <c r="K285" s="3">
        <v>0.1515</v>
      </c>
      <c r="L285" s="3">
        <v>0.8</v>
      </c>
      <c r="M285" s="3">
        <v>0.1343</v>
      </c>
      <c r="N285" s="3">
        <v>0</v>
      </c>
      <c r="O285" s="3">
        <v>3</v>
      </c>
      <c r="P285" s="3">
        <v>3</v>
      </c>
    </row>
    <row r="286" spans="1:16" x14ac:dyDescent="0.3">
      <c r="A286" s="3">
        <v>904</v>
      </c>
      <c r="B286" s="4">
        <v>40584</v>
      </c>
      <c r="C286" s="3">
        <v>1</v>
      </c>
      <c r="D286" s="3">
        <v>0</v>
      </c>
      <c r="E286" s="3">
        <v>2</v>
      </c>
      <c r="F286" s="3">
        <v>4</v>
      </c>
      <c r="G286" s="3" t="b">
        <v>0</v>
      </c>
      <c r="H286" s="3">
        <v>4</v>
      </c>
      <c r="I286" s="3">
        <v>2</v>
      </c>
      <c r="J286" s="3">
        <v>0.14000000000000001</v>
      </c>
      <c r="K286" s="3">
        <v>0.13639999999999999</v>
      </c>
      <c r="L286" s="3">
        <v>0.59</v>
      </c>
      <c r="M286" s="3">
        <v>0.22389999999999999</v>
      </c>
      <c r="N286" s="3">
        <v>0</v>
      </c>
      <c r="O286" s="3">
        <v>1</v>
      </c>
      <c r="P286" s="3">
        <v>1</v>
      </c>
    </row>
    <row r="287" spans="1:16" x14ac:dyDescent="0.3">
      <c r="A287" s="3">
        <v>905</v>
      </c>
      <c r="B287" s="4">
        <v>40584</v>
      </c>
      <c r="C287" s="3">
        <v>1</v>
      </c>
      <c r="D287" s="3">
        <v>0</v>
      </c>
      <c r="E287" s="3">
        <v>2</v>
      </c>
      <c r="F287" s="3">
        <v>5</v>
      </c>
      <c r="G287" s="3" t="b">
        <v>0</v>
      </c>
      <c r="H287" s="3">
        <v>4</v>
      </c>
      <c r="I287" s="3">
        <v>2</v>
      </c>
      <c r="J287" s="3">
        <v>0.12</v>
      </c>
      <c r="K287" s="3">
        <v>0.1212</v>
      </c>
      <c r="L287" s="3">
        <v>0.5</v>
      </c>
      <c r="M287" s="3">
        <v>0.22389999999999999</v>
      </c>
      <c r="N287" s="3">
        <v>0</v>
      </c>
      <c r="O287" s="3">
        <v>6</v>
      </c>
      <c r="P287" s="3">
        <v>6</v>
      </c>
    </row>
    <row r="288" spans="1:16" x14ac:dyDescent="0.3">
      <c r="A288" s="3">
        <v>906</v>
      </c>
      <c r="B288" s="4">
        <v>40584</v>
      </c>
      <c r="C288" s="3">
        <v>1</v>
      </c>
      <c r="D288" s="3">
        <v>0</v>
      </c>
      <c r="E288" s="3">
        <v>2</v>
      </c>
      <c r="F288" s="3">
        <v>6</v>
      </c>
      <c r="G288" s="3" t="b">
        <v>0</v>
      </c>
      <c r="H288" s="3">
        <v>4</v>
      </c>
      <c r="I288" s="3">
        <v>2</v>
      </c>
      <c r="J288" s="3">
        <v>0.12</v>
      </c>
      <c r="K288" s="3">
        <v>0.1212</v>
      </c>
      <c r="L288" s="3">
        <v>0.54</v>
      </c>
      <c r="M288" s="3">
        <v>0.28360000000000002</v>
      </c>
      <c r="N288" s="3">
        <v>0</v>
      </c>
      <c r="O288" s="3">
        <v>26</v>
      </c>
      <c r="P288" s="3">
        <v>26</v>
      </c>
    </row>
    <row r="289" spans="1:16" x14ac:dyDescent="0.3">
      <c r="A289" s="3">
        <v>907</v>
      </c>
      <c r="B289" s="4">
        <v>40584</v>
      </c>
      <c r="C289" s="3">
        <v>1</v>
      </c>
      <c r="D289" s="3">
        <v>0</v>
      </c>
      <c r="E289" s="3">
        <v>2</v>
      </c>
      <c r="F289" s="3">
        <v>7</v>
      </c>
      <c r="G289" s="3" t="b">
        <v>0</v>
      </c>
      <c r="H289" s="3">
        <v>4</v>
      </c>
      <c r="I289" s="3">
        <v>1</v>
      </c>
      <c r="J289" s="3">
        <v>0.1</v>
      </c>
      <c r="K289" s="3">
        <v>7.5800000000000006E-2</v>
      </c>
      <c r="L289" s="3">
        <v>0.5</v>
      </c>
      <c r="M289" s="3">
        <v>0.41789999999999999</v>
      </c>
      <c r="N289" s="3">
        <v>0</v>
      </c>
      <c r="O289" s="3">
        <v>99</v>
      </c>
      <c r="P289" s="3">
        <v>99</v>
      </c>
    </row>
    <row r="290" spans="1:16" x14ac:dyDescent="0.3">
      <c r="A290" s="3">
        <v>908</v>
      </c>
      <c r="B290" s="4">
        <v>40584</v>
      </c>
      <c r="C290" s="3">
        <v>1</v>
      </c>
      <c r="D290" s="3">
        <v>0</v>
      </c>
      <c r="E290" s="3">
        <v>2</v>
      </c>
      <c r="F290" s="3">
        <v>8</v>
      </c>
      <c r="G290" s="3" t="b">
        <v>0</v>
      </c>
      <c r="H290" s="3">
        <v>4</v>
      </c>
      <c r="I290" s="3">
        <v>1</v>
      </c>
      <c r="J290" s="3">
        <v>0.1</v>
      </c>
      <c r="K290" s="3">
        <v>7.5800000000000006E-2</v>
      </c>
      <c r="L290" s="3">
        <v>0.49</v>
      </c>
      <c r="M290" s="3">
        <v>0.32840000000000003</v>
      </c>
      <c r="N290" s="3">
        <v>5</v>
      </c>
      <c r="O290" s="3">
        <v>173</v>
      </c>
      <c r="P290" s="3">
        <v>178</v>
      </c>
    </row>
    <row r="291" spans="1:16" x14ac:dyDescent="0.3">
      <c r="A291" s="3">
        <v>909</v>
      </c>
      <c r="B291" s="4">
        <v>40584</v>
      </c>
      <c r="C291" s="3">
        <v>1</v>
      </c>
      <c r="D291" s="3">
        <v>0</v>
      </c>
      <c r="E291" s="3">
        <v>2</v>
      </c>
      <c r="F291" s="3">
        <v>9</v>
      </c>
      <c r="G291" s="3" t="b">
        <v>0</v>
      </c>
      <c r="H291" s="3">
        <v>4</v>
      </c>
      <c r="I291" s="3">
        <v>1</v>
      </c>
      <c r="J291" s="3">
        <v>0.12</v>
      </c>
      <c r="K291" s="3">
        <v>0.1061</v>
      </c>
      <c r="L291" s="3">
        <v>0.42</v>
      </c>
      <c r="M291" s="3">
        <v>0.35820000000000002</v>
      </c>
      <c r="N291" s="3">
        <v>1</v>
      </c>
      <c r="O291" s="3">
        <v>121</v>
      </c>
      <c r="P291" s="3">
        <v>122</v>
      </c>
    </row>
    <row r="292" spans="1:16" x14ac:dyDescent="0.3">
      <c r="A292" s="3">
        <v>910</v>
      </c>
      <c r="B292" s="4">
        <v>40584</v>
      </c>
      <c r="C292" s="3">
        <v>1</v>
      </c>
      <c r="D292" s="3">
        <v>0</v>
      </c>
      <c r="E292" s="3">
        <v>2</v>
      </c>
      <c r="F292" s="3">
        <v>10</v>
      </c>
      <c r="G292" s="3" t="b">
        <v>0</v>
      </c>
      <c r="H292" s="3">
        <v>4</v>
      </c>
      <c r="I292" s="3">
        <v>1</v>
      </c>
      <c r="J292" s="3">
        <v>0.12</v>
      </c>
      <c r="K292" s="3">
        <v>0.1061</v>
      </c>
      <c r="L292" s="3">
        <v>0.42</v>
      </c>
      <c r="M292" s="3">
        <v>0.29849999999999999</v>
      </c>
      <c r="N292" s="3">
        <v>1</v>
      </c>
      <c r="O292" s="3">
        <v>34</v>
      </c>
      <c r="P292" s="3">
        <v>35</v>
      </c>
    </row>
    <row r="293" spans="1:16" x14ac:dyDescent="0.3">
      <c r="A293" s="3">
        <v>911</v>
      </c>
      <c r="B293" s="4">
        <v>40584</v>
      </c>
      <c r="C293" s="3">
        <v>1</v>
      </c>
      <c r="D293" s="3">
        <v>0</v>
      </c>
      <c r="E293" s="3">
        <v>2</v>
      </c>
      <c r="F293" s="3">
        <v>11</v>
      </c>
      <c r="G293" s="3" t="b">
        <v>0</v>
      </c>
      <c r="H293" s="3">
        <v>4</v>
      </c>
      <c r="I293" s="3">
        <v>1</v>
      </c>
      <c r="J293" s="3">
        <v>0.14000000000000001</v>
      </c>
      <c r="K293" s="3">
        <v>0.1212</v>
      </c>
      <c r="L293" s="3">
        <v>0.39</v>
      </c>
      <c r="M293" s="3">
        <v>0.35820000000000002</v>
      </c>
      <c r="N293" s="3">
        <v>1</v>
      </c>
      <c r="O293" s="3">
        <v>44</v>
      </c>
      <c r="P293" s="3">
        <v>45</v>
      </c>
    </row>
    <row r="294" spans="1:16" x14ac:dyDescent="0.3">
      <c r="A294" s="3">
        <v>912</v>
      </c>
      <c r="B294" s="4">
        <v>40584</v>
      </c>
      <c r="C294" s="3">
        <v>1</v>
      </c>
      <c r="D294" s="3">
        <v>0</v>
      </c>
      <c r="E294" s="3">
        <v>2</v>
      </c>
      <c r="F294" s="3">
        <v>12</v>
      </c>
      <c r="G294" s="3" t="b">
        <v>0</v>
      </c>
      <c r="H294" s="3">
        <v>4</v>
      </c>
      <c r="I294" s="3">
        <v>1</v>
      </c>
      <c r="J294" s="3">
        <v>0.16</v>
      </c>
      <c r="K294" s="3">
        <v>0.13639999999999999</v>
      </c>
      <c r="L294" s="3">
        <v>0.34</v>
      </c>
      <c r="M294" s="3">
        <v>0.3881</v>
      </c>
      <c r="N294" s="3">
        <v>4</v>
      </c>
      <c r="O294" s="3">
        <v>65</v>
      </c>
      <c r="P294" s="3">
        <v>69</v>
      </c>
    </row>
    <row r="295" spans="1:16" x14ac:dyDescent="0.3">
      <c r="A295" s="3">
        <v>913</v>
      </c>
      <c r="B295" s="4">
        <v>40584</v>
      </c>
      <c r="C295" s="3">
        <v>1</v>
      </c>
      <c r="D295" s="3">
        <v>0</v>
      </c>
      <c r="E295" s="3">
        <v>2</v>
      </c>
      <c r="F295" s="3">
        <v>13</v>
      </c>
      <c r="G295" s="3" t="b">
        <v>0</v>
      </c>
      <c r="H295" s="3">
        <v>4</v>
      </c>
      <c r="I295" s="3">
        <v>1</v>
      </c>
      <c r="J295" s="3">
        <v>0.18</v>
      </c>
      <c r="K295" s="3">
        <v>0.16669999999999999</v>
      </c>
      <c r="L295" s="3">
        <v>0.28999999999999998</v>
      </c>
      <c r="M295" s="3">
        <v>0.29849999999999999</v>
      </c>
      <c r="N295" s="3">
        <v>3</v>
      </c>
      <c r="O295" s="3">
        <v>59</v>
      </c>
      <c r="P295" s="3">
        <v>62</v>
      </c>
    </row>
    <row r="296" spans="1:16" x14ac:dyDescent="0.3">
      <c r="A296" s="3">
        <v>914</v>
      </c>
      <c r="B296" s="4">
        <v>40584</v>
      </c>
      <c r="C296" s="3">
        <v>1</v>
      </c>
      <c r="D296" s="3">
        <v>0</v>
      </c>
      <c r="E296" s="3">
        <v>2</v>
      </c>
      <c r="F296" s="3">
        <v>14</v>
      </c>
      <c r="G296" s="3" t="b">
        <v>0</v>
      </c>
      <c r="H296" s="3">
        <v>4</v>
      </c>
      <c r="I296" s="3">
        <v>1</v>
      </c>
      <c r="J296" s="3">
        <v>0.2</v>
      </c>
      <c r="K296" s="3">
        <v>0.18179999999999999</v>
      </c>
      <c r="L296" s="3">
        <v>0.27</v>
      </c>
      <c r="M296" s="3">
        <v>0.28360000000000002</v>
      </c>
      <c r="N296" s="3">
        <v>6</v>
      </c>
      <c r="O296" s="3">
        <v>42</v>
      </c>
      <c r="P296" s="3">
        <v>48</v>
      </c>
    </row>
    <row r="297" spans="1:16" x14ac:dyDescent="0.3">
      <c r="A297" s="3">
        <v>915</v>
      </c>
      <c r="B297" s="4">
        <v>40584</v>
      </c>
      <c r="C297" s="3">
        <v>1</v>
      </c>
      <c r="D297" s="3">
        <v>0</v>
      </c>
      <c r="E297" s="3">
        <v>2</v>
      </c>
      <c r="F297" s="3">
        <v>15</v>
      </c>
      <c r="G297" s="3" t="b">
        <v>0</v>
      </c>
      <c r="H297" s="3">
        <v>4</v>
      </c>
      <c r="I297" s="3">
        <v>1</v>
      </c>
      <c r="J297" s="3">
        <v>0.2</v>
      </c>
      <c r="K297" s="3">
        <v>0.19700000000000001</v>
      </c>
      <c r="L297" s="3">
        <v>0.25</v>
      </c>
      <c r="M297" s="3">
        <v>0.25369999999999998</v>
      </c>
      <c r="N297" s="3">
        <v>0</v>
      </c>
      <c r="O297" s="3">
        <v>50</v>
      </c>
      <c r="P297" s="3">
        <v>50</v>
      </c>
    </row>
    <row r="298" spans="1:16" x14ac:dyDescent="0.3">
      <c r="A298" s="3">
        <v>916</v>
      </c>
      <c r="B298" s="4">
        <v>40584</v>
      </c>
      <c r="C298" s="3">
        <v>1</v>
      </c>
      <c r="D298" s="3">
        <v>0</v>
      </c>
      <c r="E298" s="3">
        <v>2</v>
      </c>
      <c r="F298" s="3">
        <v>16</v>
      </c>
      <c r="G298" s="3" t="b">
        <v>0</v>
      </c>
      <c r="H298" s="3">
        <v>4</v>
      </c>
      <c r="I298" s="3">
        <v>1</v>
      </c>
      <c r="J298" s="3">
        <v>0.2</v>
      </c>
      <c r="K298" s="3">
        <v>0.18179999999999999</v>
      </c>
      <c r="L298" s="3">
        <v>0.27</v>
      </c>
      <c r="M298" s="3">
        <v>0.29849999999999999</v>
      </c>
      <c r="N298" s="3">
        <v>4</v>
      </c>
      <c r="O298" s="3">
        <v>76</v>
      </c>
      <c r="P298" s="3">
        <v>80</v>
      </c>
    </row>
    <row r="299" spans="1:16" x14ac:dyDescent="0.3">
      <c r="A299" s="3">
        <v>917</v>
      </c>
      <c r="B299" s="4">
        <v>40584</v>
      </c>
      <c r="C299" s="3">
        <v>1</v>
      </c>
      <c r="D299" s="3">
        <v>0</v>
      </c>
      <c r="E299" s="3">
        <v>2</v>
      </c>
      <c r="F299" s="3">
        <v>17</v>
      </c>
      <c r="G299" s="3" t="b">
        <v>0</v>
      </c>
      <c r="H299" s="3">
        <v>4</v>
      </c>
      <c r="I299" s="3">
        <v>1</v>
      </c>
      <c r="J299" s="3">
        <v>0.18</v>
      </c>
      <c r="K299" s="3">
        <v>0.18179999999999999</v>
      </c>
      <c r="L299" s="3">
        <v>0.26</v>
      </c>
      <c r="M299" s="3">
        <v>0.19400000000000001</v>
      </c>
      <c r="N299" s="3">
        <v>6</v>
      </c>
      <c r="O299" s="3">
        <v>159</v>
      </c>
      <c r="P299" s="3">
        <v>165</v>
      </c>
    </row>
    <row r="300" spans="1:16" x14ac:dyDescent="0.3">
      <c r="A300" s="3">
        <v>918</v>
      </c>
      <c r="B300" s="4">
        <v>40584</v>
      </c>
      <c r="C300" s="3">
        <v>1</v>
      </c>
      <c r="D300" s="3">
        <v>0</v>
      </c>
      <c r="E300" s="3">
        <v>2</v>
      </c>
      <c r="F300" s="3">
        <v>18</v>
      </c>
      <c r="G300" s="3" t="b">
        <v>0</v>
      </c>
      <c r="H300" s="3">
        <v>4</v>
      </c>
      <c r="I300" s="3">
        <v>1</v>
      </c>
      <c r="J300" s="3">
        <v>0.16</v>
      </c>
      <c r="K300" s="3">
        <v>0.18179999999999999</v>
      </c>
      <c r="L300" s="3">
        <v>0.28000000000000003</v>
      </c>
      <c r="M300" s="3">
        <v>0.1343</v>
      </c>
      <c r="N300" s="3">
        <v>3</v>
      </c>
      <c r="O300" s="3">
        <v>157</v>
      </c>
      <c r="P300" s="3">
        <v>160</v>
      </c>
    </row>
    <row r="301" spans="1:16" x14ac:dyDescent="0.3">
      <c r="A301" s="3">
        <v>919</v>
      </c>
      <c r="B301" s="4">
        <v>40584</v>
      </c>
      <c r="C301" s="3">
        <v>1</v>
      </c>
      <c r="D301" s="3">
        <v>0</v>
      </c>
      <c r="E301" s="3">
        <v>2</v>
      </c>
      <c r="F301" s="3">
        <v>19</v>
      </c>
      <c r="G301" s="3" t="b">
        <v>0</v>
      </c>
      <c r="H301" s="3">
        <v>4</v>
      </c>
      <c r="I301" s="3">
        <v>1</v>
      </c>
      <c r="J301" s="3">
        <v>0.14000000000000001</v>
      </c>
      <c r="K301" s="3">
        <v>0.16669999999999999</v>
      </c>
      <c r="L301" s="3">
        <v>0.28000000000000003</v>
      </c>
      <c r="M301" s="3">
        <v>0.1045</v>
      </c>
      <c r="N301" s="3">
        <v>2</v>
      </c>
      <c r="O301" s="3">
        <v>110</v>
      </c>
      <c r="P301" s="3">
        <v>112</v>
      </c>
    </row>
    <row r="302" spans="1:16" x14ac:dyDescent="0.3">
      <c r="A302" s="3">
        <v>920</v>
      </c>
      <c r="B302" s="4">
        <v>40584</v>
      </c>
      <c r="C302" s="3">
        <v>1</v>
      </c>
      <c r="D302" s="3">
        <v>0</v>
      </c>
      <c r="E302" s="3">
        <v>2</v>
      </c>
      <c r="F302" s="3">
        <v>20</v>
      </c>
      <c r="G302" s="3" t="b">
        <v>0</v>
      </c>
      <c r="H302" s="3">
        <v>4</v>
      </c>
      <c r="I302" s="3">
        <v>1</v>
      </c>
      <c r="J302" s="3">
        <v>0.14000000000000001</v>
      </c>
      <c r="K302" s="3">
        <v>0.18179999999999999</v>
      </c>
      <c r="L302" s="3">
        <v>0.31</v>
      </c>
      <c r="M302" s="3">
        <v>8.9599999999999999E-2</v>
      </c>
      <c r="N302" s="3">
        <v>4</v>
      </c>
      <c r="O302" s="3">
        <v>93</v>
      </c>
      <c r="P302" s="3">
        <v>97</v>
      </c>
    </row>
    <row r="303" spans="1:16" x14ac:dyDescent="0.3">
      <c r="A303" s="3">
        <v>921</v>
      </c>
      <c r="B303" s="4">
        <v>40584</v>
      </c>
      <c r="C303" s="3">
        <v>1</v>
      </c>
      <c r="D303" s="3">
        <v>0</v>
      </c>
      <c r="E303" s="3">
        <v>2</v>
      </c>
      <c r="F303" s="3">
        <v>21</v>
      </c>
      <c r="G303" s="3" t="b">
        <v>0</v>
      </c>
      <c r="H303" s="3">
        <v>4</v>
      </c>
      <c r="I303" s="3">
        <v>1</v>
      </c>
      <c r="J303" s="3">
        <v>0.14000000000000001</v>
      </c>
      <c r="K303" s="3">
        <v>0.21210000000000001</v>
      </c>
      <c r="L303" s="3">
        <v>0.39</v>
      </c>
      <c r="M303" s="3">
        <v>0</v>
      </c>
      <c r="N303" s="3">
        <v>2</v>
      </c>
      <c r="O303" s="3">
        <v>70</v>
      </c>
      <c r="P303" s="3">
        <v>72</v>
      </c>
    </row>
    <row r="304" spans="1:16" x14ac:dyDescent="0.3">
      <c r="A304" s="3">
        <v>922</v>
      </c>
      <c r="B304" s="4">
        <v>40584</v>
      </c>
      <c r="C304" s="3">
        <v>1</v>
      </c>
      <c r="D304" s="3">
        <v>0</v>
      </c>
      <c r="E304" s="3">
        <v>2</v>
      </c>
      <c r="F304" s="3">
        <v>22</v>
      </c>
      <c r="G304" s="3" t="b">
        <v>0</v>
      </c>
      <c r="H304" s="3">
        <v>4</v>
      </c>
      <c r="I304" s="3">
        <v>1</v>
      </c>
      <c r="J304" s="3">
        <v>0.12</v>
      </c>
      <c r="K304" s="3">
        <v>0.19700000000000001</v>
      </c>
      <c r="L304" s="3">
        <v>0.39</v>
      </c>
      <c r="M304" s="3">
        <v>0</v>
      </c>
      <c r="N304" s="3">
        <v>4</v>
      </c>
      <c r="O304" s="3">
        <v>47</v>
      </c>
      <c r="P304" s="3">
        <v>51</v>
      </c>
    </row>
    <row r="305" spans="1:16" x14ac:dyDescent="0.3">
      <c r="A305" s="3">
        <v>923</v>
      </c>
      <c r="B305" s="4">
        <v>40584</v>
      </c>
      <c r="C305" s="3">
        <v>1</v>
      </c>
      <c r="D305" s="3">
        <v>0</v>
      </c>
      <c r="E305" s="3">
        <v>2</v>
      </c>
      <c r="F305" s="3">
        <v>23</v>
      </c>
      <c r="G305" s="3" t="b">
        <v>0</v>
      </c>
      <c r="H305" s="3">
        <v>4</v>
      </c>
      <c r="I305" s="3">
        <v>1</v>
      </c>
      <c r="J305" s="3">
        <v>0.12</v>
      </c>
      <c r="K305" s="3">
        <v>0.1515</v>
      </c>
      <c r="L305" s="3">
        <v>0.42</v>
      </c>
      <c r="M305" s="3">
        <v>0.1045</v>
      </c>
      <c r="N305" s="3">
        <v>1</v>
      </c>
      <c r="O305" s="3">
        <v>33</v>
      </c>
      <c r="P305" s="3">
        <v>34</v>
      </c>
    </row>
    <row r="306" spans="1:16" x14ac:dyDescent="0.3">
      <c r="A306" s="3">
        <v>924</v>
      </c>
      <c r="B306" s="4">
        <v>40585</v>
      </c>
      <c r="C306" s="3">
        <v>1</v>
      </c>
      <c r="D306" s="3">
        <v>0</v>
      </c>
      <c r="E306" s="3">
        <v>2</v>
      </c>
      <c r="F306" s="3">
        <v>0</v>
      </c>
      <c r="G306" s="3" t="b">
        <v>0</v>
      </c>
      <c r="H306" s="3">
        <v>5</v>
      </c>
      <c r="I306" s="3">
        <v>1</v>
      </c>
      <c r="J306" s="3">
        <v>0.1</v>
      </c>
      <c r="K306" s="3">
        <v>0.13639999999999999</v>
      </c>
      <c r="L306" s="3">
        <v>0.49</v>
      </c>
      <c r="M306" s="3">
        <v>0.1045</v>
      </c>
      <c r="N306" s="3">
        <v>2</v>
      </c>
      <c r="O306" s="3">
        <v>12</v>
      </c>
      <c r="P306" s="3">
        <v>14</v>
      </c>
    </row>
    <row r="307" spans="1:16" x14ac:dyDescent="0.3">
      <c r="A307" s="3">
        <v>925</v>
      </c>
      <c r="B307" s="4">
        <v>40585</v>
      </c>
      <c r="C307" s="3">
        <v>1</v>
      </c>
      <c r="D307" s="3">
        <v>0</v>
      </c>
      <c r="E307" s="3">
        <v>2</v>
      </c>
      <c r="F307" s="3">
        <v>1</v>
      </c>
      <c r="G307" s="3" t="b">
        <v>0</v>
      </c>
      <c r="H307" s="3">
        <v>5</v>
      </c>
      <c r="I307" s="3">
        <v>1</v>
      </c>
      <c r="J307" s="3">
        <v>0.1</v>
      </c>
      <c r="K307" s="3">
        <v>0.13639999999999999</v>
      </c>
      <c r="L307" s="3">
        <v>0.54</v>
      </c>
      <c r="M307" s="3">
        <v>8.9599999999999999E-2</v>
      </c>
      <c r="N307" s="3">
        <v>1</v>
      </c>
      <c r="O307" s="3">
        <v>6</v>
      </c>
      <c r="P307" s="3">
        <v>7</v>
      </c>
    </row>
    <row r="308" spans="1:16" x14ac:dyDescent="0.3">
      <c r="A308" s="3">
        <v>926</v>
      </c>
      <c r="B308" s="4">
        <v>40585</v>
      </c>
      <c r="C308" s="3">
        <v>1</v>
      </c>
      <c r="D308" s="3">
        <v>0</v>
      </c>
      <c r="E308" s="3">
        <v>2</v>
      </c>
      <c r="F308" s="3">
        <v>2</v>
      </c>
      <c r="G308" s="3" t="b">
        <v>0</v>
      </c>
      <c r="H308" s="3">
        <v>5</v>
      </c>
      <c r="I308" s="3">
        <v>1</v>
      </c>
      <c r="J308" s="3">
        <v>0.1</v>
      </c>
      <c r="K308" s="3">
        <v>0.13639999999999999</v>
      </c>
      <c r="L308" s="3">
        <v>0.54</v>
      </c>
      <c r="M308" s="3">
        <v>8.9599999999999999E-2</v>
      </c>
      <c r="N308" s="3">
        <v>0</v>
      </c>
      <c r="O308" s="3">
        <v>3</v>
      </c>
      <c r="P308" s="3">
        <v>3</v>
      </c>
    </row>
    <row r="309" spans="1:16" x14ac:dyDescent="0.3">
      <c r="A309" s="3">
        <v>927</v>
      </c>
      <c r="B309" s="4">
        <v>40585</v>
      </c>
      <c r="C309" s="3">
        <v>1</v>
      </c>
      <c r="D309" s="3">
        <v>0</v>
      </c>
      <c r="E309" s="3">
        <v>2</v>
      </c>
      <c r="F309" s="3">
        <v>5</v>
      </c>
      <c r="G309" s="3" t="b">
        <v>0</v>
      </c>
      <c r="H309" s="3">
        <v>5</v>
      </c>
      <c r="I309" s="3">
        <v>1</v>
      </c>
      <c r="J309" s="3">
        <v>0.08</v>
      </c>
      <c r="K309" s="3">
        <v>0.1212</v>
      </c>
      <c r="L309" s="3">
        <v>0.63</v>
      </c>
      <c r="M309" s="3">
        <v>8.9599999999999999E-2</v>
      </c>
      <c r="N309" s="3">
        <v>0</v>
      </c>
      <c r="O309" s="3">
        <v>4</v>
      </c>
      <c r="P309" s="3">
        <v>4</v>
      </c>
    </row>
    <row r="310" spans="1:16" x14ac:dyDescent="0.3">
      <c r="A310" s="3">
        <v>928</v>
      </c>
      <c r="B310" s="4">
        <v>40585</v>
      </c>
      <c r="C310" s="3">
        <v>1</v>
      </c>
      <c r="D310" s="3">
        <v>0</v>
      </c>
      <c r="E310" s="3">
        <v>2</v>
      </c>
      <c r="F310" s="3">
        <v>6</v>
      </c>
      <c r="G310" s="3" t="b">
        <v>0</v>
      </c>
      <c r="H310" s="3">
        <v>5</v>
      </c>
      <c r="I310" s="3">
        <v>1</v>
      </c>
      <c r="J310" s="3">
        <v>0.1</v>
      </c>
      <c r="K310" s="3">
        <v>0.18179999999999999</v>
      </c>
      <c r="L310" s="3">
        <v>0.68</v>
      </c>
      <c r="M310" s="3">
        <v>0</v>
      </c>
      <c r="N310" s="3">
        <v>1</v>
      </c>
      <c r="O310" s="3">
        <v>23</v>
      </c>
      <c r="P310" s="3">
        <v>24</v>
      </c>
    </row>
    <row r="311" spans="1:16" x14ac:dyDescent="0.3">
      <c r="A311" s="3">
        <v>929</v>
      </c>
      <c r="B311" s="4">
        <v>40585</v>
      </c>
      <c r="C311" s="3">
        <v>1</v>
      </c>
      <c r="D311" s="3">
        <v>0</v>
      </c>
      <c r="E311" s="3">
        <v>2</v>
      </c>
      <c r="F311" s="3">
        <v>7</v>
      </c>
      <c r="G311" s="3" t="b">
        <v>0</v>
      </c>
      <c r="H311" s="3">
        <v>5</v>
      </c>
      <c r="I311" s="3">
        <v>1</v>
      </c>
      <c r="J311" s="3">
        <v>0.08</v>
      </c>
      <c r="K311" s="3">
        <v>0.16669999999999999</v>
      </c>
      <c r="L311" s="3">
        <v>0.73</v>
      </c>
      <c r="M311" s="3">
        <v>0</v>
      </c>
      <c r="N311" s="3">
        <v>1</v>
      </c>
      <c r="O311" s="3">
        <v>73</v>
      </c>
      <c r="P311" s="3">
        <v>74</v>
      </c>
    </row>
    <row r="312" spans="1:16" x14ac:dyDescent="0.3">
      <c r="A312" s="3">
        <v>930</v>
      </c>
      <c r="B312" s="4">
        <v>40585</v>
      </c>
      <c r="C312" s="3">
        <v>1</v>
      </c>
      <c r="D312" s="3">
        <v>0</v>
      </c>
      <c r="E312" s="3">
        <v>2</v>
      </c>
      <c r="F312" s="3">
        <v>8</v>
      </c>
      <c r="G312" s="3" t="b">
        <v>0</v>
      </c>
      <c r="H312" s="3">
        <v>5</v>
      </c>
      <c r="I312" s="3">
        <v>1</v>
      </c>
      <c r="J312" s="3">
        <v>0.1</v>
      </c>
      <c r="K312" s="3">
        <v>0.1212</v>
      </c>
      <c r="L312" s="3">
        <v>0.74</v>
      </c>
      <c r="M312" s="3">
        <v>0.16420000000000001</v>
      </c>
      <c r="N312" s="3">
        <v>4</v>
      </c>
      <c r="O312" s="3">
        <v>212</v>
      </c>
      <c r="P312" s="3">
        <v>216</v>
      </c>
    </row>
    <row r="313" spans="1:16" x14ac:dyDescent="0.3">
      <c r="A313" s="3">
        <v>931</v>
      </c>
      <c r="B313" s="4">
        <v>40585</v>
      </c>
      <c r="C313" s="3">
        <v>1</v>
      </c>
      <c r="D313" s="3">
        <v>0</v>
      </c>
      <c r="E313" s="3">
        <v>2</v>
      </c>
      <c r="F313" s="3">
        <v>9</v>
      </c>
      <c r="G313" s="3" t="b">
        <v>0</v>
      </c>
      <c r="H313" s="3">
        <v>5</v>
      </c>
      <c r="I313" s="3">
        <v>1</v>
      </c>
      <c r="J313" s="3">
        <v>0.12</v>
      </c>
      <c r="K313" s="3">
        <v>0.1212</v>
      </c>
      <c r="L313" s="3">
        <v>0.74</v>
      </c>
      <c r="M313" s="3">
        <v>0.22389999999999999</v>
      </c>
      <c r="N313" s="3">
        <v>8</v>
      </c>
      <c r="O313" s="3">
        <v>132</v>
      </c>
      <c r="P313" s="3">
        <v>140</v>
      </c>
    </row>
    <row r="314" spans="1:16" x14ac:dyDescent="0.3">
      <c r="A314" s="3">
        <v>932</v>
      </c>
      <c r="B314" s="4">
        <v>40585</v>
      </c>
      <c r="C314" s="3">
        <v>1</v>
      </c>
      <c r="D314" s="3">
        <v>0</v>
      </c>
      <c r="E314" s="3">
        <v>2</v>
      </c>
      <c r="F314" s="3">
        <v>10</v>
      </c>
      <c r="G314" s="3" t="b">
        <v>0</v>
      </c>
      <c r="H314" s="3">
        <v>5</v>
      </c>
      <c r="I314" s="3">
        <v>1</v>
      </c>
      <c r="J314" s="3">
        <v>0.14000000000000001</v>
      </c>
      <c r="K314" s="3">
        <v>0.13639999999999999</v>
      </c>
      <c r="L314" s="3">
        <v>0.69</v>
      </c>
      <c r="M314" s="3">
        <v>0.19400000000000001</v>
      </c>
      <c r="N314" s="3">
        <v>5</v>
      </c>
      <c r="O314" s="3">
        <v>39</v>
      </c>
      <c r="P314" s="3">
        <v>44</v>
      </c>
    </row>
    <row r="315" spans="1:16" x14ac:dyDescent="0.3">
      <c r="A315" s="3">
        <v>933</v>
      </c>
      <c r="B315" s="4">
        <v>40585</v>
      </c>
      <c r="C315" s="3">
        <v>1</v>
      </c>
      <c r="D315" s="3">
        <v>0</v>
      </c>
      <c r="E315" s="3">
        <v>2</v>
      </c>
      <c r="F315" s="3">
        <v>11</v>
      </c>
      <c r="G315" s="3" t="b">
        <v>0</v>
      </c>
      <c r="H315" s="3">
        <v>5</v>
      </c>
      <c r="I315" s="3">
        <v>1</v>
      </c>
      <c r="J315" s="3">
        <v>0.22</v>
      </c>
      <c r="K315" s="3">
        <v>0.2273</v>
      </c>
      <c r="L315" s="3">
        <v>0.47</v>
      </c>
      <c r="M315" s="3">
        <v>0.1343</v>
      </c>
      <c r="N315" s="3">
        <v>12</v>
      </c>
      <c r="O315" s="3">
        <v>52</v>
      </c>
      <c r="P315" s="3">
        <v>64</v>
      </c>
    </row>
    <row r="316" spans="1:16" x14ac:dyDescent="0.3">
      <c r="A316" s="3">
        <v>934</v>
      </c>
      <c r="B316" s="4">
        <v>40585</v>
      </c>
      <c r="C316" s="3">
        <v>1</v>
      </c>
      <c r="D316" s="3">
        <v>0</v>
      </c>
      <c r="E316" s="3">
        <v>2</v>
      </c>
      <c r="F316" s="3">
        <v>12</v>
      </c>
      <c r="G316" s="3" t="b">
        <v>0</v>
      </c>
      <c r="H316" s="3">
        <v>5</v>
      </c>
      <c r="I316" s="3">
        <v>1</v>
      </c>
      <c r="J316" s="3">
        <v>0.22</v>
      </c>
      <c r="K316" s="3">
        <v>0.2273</v>
      </c>
      <c r="L316" s="3">
        <v>0.47</v>
      </c>
      <c r="M316" s="3">
        <v>0.1343</v>
      </c>
      <c r="N316" s="3">
        <v>7</v>
      </c>
      <c r="O316" s="3">
        <v>64</v>
      </c>
      <c r="P316" s="3">
        <v>71</v>
      </c>
    </row>
    <row r="317" spans="1:16" x14ac:dyDescent="0.3">
      <c r="A317" s="3">
        <v>935</v>
      </c>
      <c r="B317" s="4">
        <v>40585</v>
      </c>
      <c r="C317" s="3">
        <v>1</v>
      </c>
      <c r="D317" s="3">
        <v>0</v>
      </c>
      <c r="E317" s="3">
        <v>2</v>
      </c>
      <c r="F317" s="3">
        <v>13</v>
      </c>
      <c r="G317" s="3" t="b">
        <v>0</v>
      </c>
      <c r="H317" s="3">
        <v>5</v>
      </c>
      <c r="I317" s="3">
        <v>1</v>
      </c>
      <c r="J317" s="3">
        <v>0.24</v>
      </c>
      <c r="K317" s="3">
        <v>0.2273</v>
      </c>
      <c r="L317" s="3">
        <v>0.35</v>
      </c>
      <c r="M317" s="3">
        <v>0.19400000000000001</v>
      </c>
      <c r="N317" s="3">
        <v>21</v>
      </c>
      <c r="O317" s="3">
        <v>89</v>
      </c>
      <c r="P317" s="3">
        <v>110</v>
      </c>
    </row>
    <row r="318" spans="1:16" x14ac:dyDescent="0.3">
      <c r="A318" s="3">
        <v>936</v>
      </c>
      <c r="B318" s="4">
        <v>40585</v>
      </c>
      <c r="C318" s="3">
        <v>1</v>
      </c>
      <c r="D318" s="3">
        <v>0</v>
      </c>
      <c r="E318" s="3">
        <v>2</v>
      </c>
      <c r="F318" s="3">
        <v>14</v>
      </c>
      <c r="G318" s="3" t="b">
        <v>0</v>
      </c>
      <c r="H318" s="3">
        <v>5</v>
      </c>
      <c r="I318" s="3">
        <v>1</v>
      </c>
      <c r="J318" s="3">
        <v>0.3</v>
      </c>
      <c r="K318" s="3">
        <v>0.28789999999999999</v>
      </c>
      <c r="L318" s="3">
        <v>0.26</v>
      </c>
      <c r="M318" s="3">
        <v>0.25369999999999998</v>
      </c>
      <c r="N318" s="3">
        <v>17</v>
      </c>
      <c r="O318" s="3">
        <v>67</v>
      </c>
      <c r="P318" s="3">
        <v>84</v>
      </c>
    </row>
    <row r="319" spans="1:16" x14ac:dyDescent="0.3">
      <c r="A319" s="3">
        <v>937</v>
      </c>
      <c r="B319" s="4">
        <v>40585</v>
      </c>
      <c r="C319" s="3">
        <v>1</v>
      </c>
      <c r="D319" s="3">
        <v>0</v>
      </c>
      <c r="E319" s="3">
        <v>2</v>
      </c>
      <c r="F319" s="3">
        <v>15</v>
      </c>
      <c r="G319" s="3" t="b">
        <v>0</v>
      </c>
      <c r="H319" s="3">
        <v>5</v>
      </c>
      <c r="I319" s="3">
        <v>1</v>
      </c>
      <c r="J319" s="3">
        <v>0.32</v>
      </c>
      <c r="K319" s="3">
        <v>0.31819999999999998</v>
      </c>
      <c r="L319" s="3">
        <v>0.21</v>
      </c>
      <c r="M319" s="3">
        <v>0.16420000000000001</v>
      </c>
      <c r="N319" s="3">
        <v>12</v>
      </c>
      <c r="O319" s="3">
        <v>62</v>
      </c>
      <c r="P319" s="3">
        <v>74</v>
      </c>
    </row>
    <row r="320" spans="1:16" x14ac:dyDescent="0.3">
      <c r="A320" s="3">
        <v>938</v>
      </c>
      <c r="B320" s="4">
        <v>40585</v>
      </c>
      <c r="C320" s="3">
        <v>1</v>
      </c>
      <c r="D320" s="3">
        <v>0</v>
      </c>
      <c r="E320" s="3">
        <v>2</v>
      </c>
      <c r="F320" s="3">
        <v>16</v>
      </c>
      <c r="G320" s="3" t="b">
        <v>0</v>
      </c>
      <c r="H320" s="3">
        <v>5</v>
      </c>
      <c r="I320" s="3">
        <v>1</v>
      </c>
      <c r="J320" s="3">
        <v>0.3</v>
      </c>
      <c r="K320" s="3">
        <v>0.28789999999999999</v>
      </c>
      <c r="L320" s="3">
        <v>0.28000000000000003</v>
      </c>
      <c r="M320" s="3">
        <v>0.19400000000000001</v>
      </c>
      <c r="N320" s="3">
        <v>14</v>
      </c>
      <c r="O320" s="3">
        <v>111</v>
      </c>
      <c r="P320" s="3">
        <v>125</v>
      </c>
    </row>
    <row r="321" spans="1:16" x14ac:dyDescent="0.3">
      <c r="A321" s="3">
        <v>939</v>
      </c>
      <c r="B321" s="4">
        <v>40585</v>
      </c>
      <c r="C321" s="3">
        <v>1</v>
      </c>
      <c r="D321" s="3">
        <v>0</v>
      </c>
      <c r="E321" s="3">
        <v>2</v>
      </c>
      <c r="F321" s="3">
        <v>17</v>
      </c>
      <c r="G321" s="3" t="b">
        <v>0</v>
      </c>
      <c r="H321" s="3">
        <v>5</v>
      </c>
      <c r="I321" s="3">
        <v>1</v>
      </c>
      <c r="J321" s="3">
        <v>0.3</v>
      </c>
      <c r="K321" s="3">
        <v>0.33329999999999999</v>
      </c>
      <c r="L321" s="3">
        <v>0.24</v>
      </c>
      <c r="M321" s="3">
        <v>0</v>
      </c>
      <c r="N321" s="3">
        <v>18</v>
      </c>
      <c r="O321" s="3">
        <v>193</v>
      </c>
      <c r="P321" s="3">
        <v>211</v>
      </c>
    </row>
    <row r="322" spans="1:16" x14ac:dyDescent="0.3">
      <c r="A322" s="3">
        <v>940</v>
      </c>
      <c r="B322" s="4">
        <v>40585</v>
      </c>
      <c r="C322" s="3">
        <v>1</v>
      </c>
      <c r="D322" s="3">
        <v>0</v>
      </c>
      <c r="E322" s="3">
        <v>2</v>
      </c>
      <c r="F322" s="3">
        <v>18</v>
      </c>
      <c r="G322" s="3" t="b">
        <v>0</v>
      </c>
      <c r="H322" s="3">
        <v>5</v>
      </c>
      <c r="I322" s="3">
        <v>1</v>
      </c>
      <c r="J322" s="3">
        <v>0.28000000000000003</v>
      </c>
      <c r="K322" s="3">
        <v>0.31819999999999998</v>
      </c>
      <c r="L322" s="3">
        <v>0.28000000000000003</v>
      </c>
      <c r="M322" s="3">
        <v>0</v>
      </c>
      <c r="N322" s="3">
        <v>9</v>
      </c>
      <c r="O322" s="3">
        <v>165</v>
      </c>
      <c r="P322" s="3">
        <v>174</v>
      </c>
    </row>
    <row r="323" spans="1:16" x14ac:dyDescent="0.3">
      <c r="A323" s="3">
        <v>941</v>
      </c>
      <c r="B323" s="4">
        <v>40585</v>
      </c>
      <c r="C323" s="3">
        <v>1</v>
      </c>
      <c r="D323" s="3">
        <v>0</v>
      </c>
      <c r="E323" s="3">
        <v>2</v>
      </c>
      <c r="F323" s="3">
        <v>19</v>
      </c>
      <c r="G323" s="3" t="b">
        <v>0</v>
      </c>
      <c r="H323" s="3">
        <v>5</v>
      </c>
      <c r="I323" s="3">
        <v>1</v>
      </c>
      <c r="J323" s="3">
        <v>0.26</v>
      </c>
      <c r="K323" s="3">
        <v>0.30299999999999999</v>
      </c>
      <c r="L323" s="3">
        <v>0.33</v>
      </c>
      <c r="M323" s="3">
        <v>0</v>
      </c>
      <c r="N323" s="3">
        <v>7</v>
      </c>
      <c r="O323" s="3">
        <v>94</v>
      </c>
      <c r="P323" s="3">
        <v>101</v>
      </c>
    </row>
    <row r="324" spans="1:16" x14ac:dyDescent="0.3">
      <c r="A324" s="3">
        <v>942</v>
      </c>
      <c r="B324" s="4">
        <v>40585</v>
      </c>
      <c r="C324" s="3">
        <v>1</v>
      </c>
      <c r="D324" s="3">
        <v>0</v>
      </c>
      <c r="E324" s="3">
        <v>2</v>
      </c>
      <c r="F324" s="3">
        <v>20</v>
      </c>
      <c r="G324" s="3" t="b">
        <v>0</v>
      </c>
      <c r="H324" s="3">
        <v>5</v>
      </c>
      <c r="I324" s="3">
        <v>1</v>
      </c>
      <c r="J324" s="3">
        <v>0.22</v>
      </c>
      <c r="K324" s="3">
        <v>0.2273</v>
      </c>
      <c r="L324" s="3">
        <v>0.55000000000000004</v>
      </c>
      <c r="M324" s="3">
        <v>0.1343</v>
      </c>
      <c r="N324" s="3">
        <v>2</v>
      </c>
      <c r="O324" s="3">
        <v>61</v>
      </c>
      <c r="P324" s="3">
        <v>63</v>
      </c>
    </row>
    <row r="325" spans="1:16" x14ac:dyDescent="0.3">
      <c r="A325" s="3">
        <v>943</v>
      </c>
      <c r="B325" s="4">
        <v>40585</v>
      </c>
      <c r="C325" s="3">
        <v>1</v>
      </c>
      <c r="D325" s="3">
        <v>0</v>
      </c>
      <c r="E325" s="3">
        <v>2</v>
      </c>
      <c r="F325" s="3">
        <v>21</v>
      </c>
      <c r="G325" s="3" t="b">
        <v>0</v>
      </c>
      <c r="H325" s="3">
        <v>5</v>
      </c>
      <c r="I325" s="3">
        <v>1</v>
      </c>
      <c r="J325" s="3">
        <v>0.2</v>
      </c>
      <c r="K325" s="3">
        <v>0.21210000000000001</v>
      </c>
      <c r="L325" s="3">
        <v>0.59</v>
      </c>
      <c r="M325" s="3">
        <v>0.1343</v>
      </c>
      <c r="N325" s="3">
        <v>1</v>
      </c>
      <c r="O325" s="3">
        <v>46</v>
      </c>
      <c r="P325" s="3">
        <v>47</v>
      </c>
    </row>
    <row r="326" spans="1:16" x14ac:dyDescent="0.3">
      <c r="A326" s="3">
        <v>944</v>
      </c>
      <c r="B326" s="4">
        <v>40585</v>
      </c>
      <c r="C326" s="3">
        <v>1</v>
      </c>
      <c r="D326" s="3">
        <v>0</v>
      </c>
      <c r="E326" s="3">
        <v>2</v>
      </c>
      <c r="F326" s="3">
        <v>22</v>
      </c>
      <c r="G326" s="3" t="b">
        <v>0</v>
      </c>
      <c r="H326" s="3">
        <v>5</v>
      </c>
      <c r="I326" s="3">
        <v>1</v>
      </c>
      <c r="J326" s="3">
        <v>0.2</v>
      </c>
      <c r="K326" s="3">
        <v>0.2273</v>
      </c>
      <c r="L326" s="3">
        <v>0.64</v>
      </c>
      <c r="M326" s="3">
        <v>8.9599999999999999E-2</v>
      </c>
      <c r="N326" s="3">
        <v>2</v>
      </c>
      <c r="O326" s="3">
        <v>41</v>
      </c>
      <c r="P326" s="3">
        <v>43</v>
      </c>
    </row>
    <row r="327" spans="1:16" x14ac:dyDescent="0.3">
      <c r="A327" s="3">
        <v>945</v>
      </c>
      <c r="B327" s="4">
        <v>40585</v>
      </c>
      <c r="C327" s="3">
        <v>1</v>
      </c>
      <c r="D327" s="3">
        <v>0</v>
      </c>
      <c r="E327" s="3">
        <v>2</v>
      </c>
      <c r="F327" s="3">
        <v>23</v>
      </c>
      <c r="G327" s="3" t="b">
        <v>0</v>
      </c>
      <c r="H327" s="3">
        <v>5</v>
      </c>
      <c r="I327" s="3">
        <v>1</v>
      </c>
      <c r="J327" s="3">
        <v>0.18</v>
      </c>
      <c r="K327" s="3">
        <v>0.2424</v>
      </c>
      <c r="L327" s="3">
        <v>0.69</v>
      </c>
      <c r="M327" s="3">
        <v>0</v>
      </c>
      <c r="N327" s="3">
        <v>5</v>
      </c>
      <c r="O327" s="3">
        <v>48</v>
      </c>
      <c r="P327" s="3">
        <v>53</v>
      </c>
    </row>
    <row r="328" spans="1:16" x14ac:dyDescent="0.3">
      <c r="A328" s="3">
        <v>946</v>
      </c>
      <c r="B328" s="4">
        <v>40586</v>
      </c>
      <c r="C328" s="3">
        <v>1</v>
      </c>
      <c r="D328" s="3">
        <v>0</v>
      </c>
      <c r="E328" s="3">
        <v>2</v>
      </c>
      <c r="F328" s="3">
        <v>0</v>
      </c>
      <c r="G328" s="3" t="b">
        <v>0</v>
      </c>
      <c r="H328" s="3">
        <v>6</v>
      </c>
      <c r="I328" s="3">
        <v>1</v>
      </c>
      <c r="J328" s="3">
        <v>0.16</v>
      </c>
      <c r="K328" s="3">
        <v>0.19700000000000001</v>
      </c>
      <c r="L328" s="3">
        <v>0.69</v>
      </c>
      <c r="M328" s="3">
        <v>8.9599999999999999E-2</v>
      </c>
      <c r="N328" s="3">
        <v>3</v>
      </c>
      <c r="O328" s="3">
        <v>27</v>
      </c>
      <c r="P328" s="3">
        <v>30</v>
      </c>
    </row>
    <row r="329" spans="1:16" x14ac:dyDescent="0.3">
      <c r="A329" s="3">
        <v>947</v>
      </c>
      <c r="B329" s="4">
        <v>40586</v>
      </c>
      <c r="C329" s="3">
        <v>1</v>
      </c>
      <c r="D329" s="3">
        <v>0</v>
      </c>
      <c r="E329" s="3">
        <v>2</v>
      </c>
      <c r="F329" s="3">
        <v>1</v>
      </c>
      <c r="G329" s="3" t="b">
        <v>0</v>
      </c>
      <c r="H329" s="3">
        <v>6</v>
      </c>
      <c r="I329" s="3">
        <v>1</v>
      </c>
      <c r="J329" s="3">
        <v>0.14000000000000001</v>
      </c>
      <c r="K329" s="3">
        <v>0.21210000000000001</v>
      </c>
      <c r="L329" s="3">
        <v>0.86</v>
      </c>
      <c r="M329" s="3">
        <v>0</v>
      </c>
      <c r="N329" s="3">
        <v>2</v>
      </c>
      <c r="O329" s="3">
        <v>22</v>
      </c>
      <c r="P329" s="3">
        <v>24</v>
      </c>
    </row>
    <row r="330" spans="1:16" x14ac:dyDescent="0.3">
      <c r="A330" s="3">
        <v>948</v>
      </c>
      <c r="B330" s="4">
        <v>40586</v>
      </c>
      <c r="C330" s="3">
        <v>1</v>
      </c>
      <c r="D330" s="3">
        <v>0</v>
      </c>
      <c r="E330" s="3">
        <v>2</v>
      </c>
      <c r="F330" s="3">
        <v>2</v>
      </c>
      <c r="G330" s="3" t="b">
        <v>0</v>
      </c>
      <c r="H330" s="3">
        <v>6</v>
      </c>
      <c r="I330" s="3">
        <v>1</v>
      </c>
      <c r="J330" s="3">
        <v>0.14000000000000001</v>
      </c>
      <c r="K330" s="3">
        <v>0.21210000000000001</v>
      </c>
      <c r="L330" s="3">
        <v>0.8</v>
      </c>
      <c r="M330" s="3">
        <v>0</v>
      </c>
      <c r="N330" s="3">
        <v>2</v>
      </c>
      <c r="O330" s="3">
        <v>13</v>
      </c>
      <c r="P330" s="3">
        <v>15</v>
      </c>
    </row>
    <row r="331" spans="1:16" x14ac:dyDescent="0.3">
      <c r="A331" s="3">
        <v>949</v>
      </c>
      <c r="B331" s="4">
        <v>40586</v>
      </c>
      <c r="C331" s="3">
        <v>1</v>
      </c>
      <c r="D331" s="3">
        <v>0</v>
      </c>
      <c r="E331" s="3">
        <v>2</v>
      </c>
      <c r="F331" s="3">
        <v>3</v>
      </c>
      <c r="G331" s="3" t="b">
        <v>0</v>
      </c>
      <c r="H331" s="3">
        <v>6</v>
      </c>
      <c r="I331" s="3">
        <v>1</v>
      </c>
      <c r="J331" s="3">
        <v>0.12</v>
      </c>
      <c r="K331" s="3">
        <v>0.19700000000000001</v>
      </c>
      <c r="L331" s="3">
        <v>0.8</v>
      </c>
      <c r="M331" s="3">
        <v>0</v>
      </c>
      <c r="N331" s="3">
        <v>3</v>
      </c>
      <c r="O331" s="3">
        <v>7</v>
      </c>
      <c r="P331" s="3">
        <v>10</v>
      </c>
    </row>
    <row r="332" spans="1:16" x14ac:dyDescent="0.3">
      <c r="A332" s="3">
        <v>950</v>
      </c>
      <c r="B332" s="4">
        <v>40586</v>
      </c>
      <c r="C332" s="3">
        <v>1</v>
      </c>
      <c r="D332" s="3">
        <v>0</v>
      </c>
      <c r="E332" s="3">
        <v>2</v>
      </c>
      <c r="F332" s="3">
        <v>4</v>
      </c>
      <c r="G332" s="3" t="b">
        <v>0</v>
      </c>
      <c r="H332" s="3">
        <v>6</v>
      </c>
      <c r="I332" s="3">
        <v>1</v>
      </c>
      <c r="J332" s="3">
        <v>0.12</v>
      </c>
      <c r="K332" s="3">
        <v>0.16669999999999999</v>
      </c>
      <c r="L332" s="3">
        <v>0.74</v>
      </c>
      <c r="M332" s="3">
        <v>8.9599999999999999E-2</v>
      </c>
      <c r="N332" s="3">
        <v>0</v>
      </c>
      <c r="O332" s="3">
        <v>4</v>
      </c>
      <c r="P332" s="3">
        <v>4</v>
      </c>
    </row>
    <row r="333" spans="1:16" x14ac:dyDescent="0.3">
      <c r="A333" s="3">
        <v>951</v>
      </c>
      <c r="B333" s="4">
        <v>40586</v>
      </c>
      <c r="C333" s="3">
        <v>1</v>
      </c>
      <c r="D333" s="3">
        <v>0</v>
      </c>
      <c r="E333" s="3">
        <v>2</v>
      </c>
      <c r="F333" s="3">
        <v>5</v>
      </c>
      <c r="G333" s="3" t="b">
        <v>0</v>
      </c>
      <c r="H333" s="3">
        <v>6</v>
      </c>
      <c r="I333" s="3">
        <v>1</v>
      </c>
      <c r="J333" s="3">
        <v>0.12</v>
      </c>
      <c r="K333" s="3">
        <v>0.16669999999999999</v>
      </c>
      <c r="L333" s="3">
        <v>0.74</v>
      </c>
      <c r="M333" s="3">
        <v>8.9599999999999999E-2</v>
      </c>
      <c r="N333" s="3">
        <v>0</v>
      </c>
      <c r="O333" s="3">
        <v>1</v>
      </c>
      <c r="P333" s="3">
        <v>1</v>
      </c>
    </row>
    <row r="334" spans="1:16" x14ac:dyDescent="0.3">
      <c r="A334" s="3">
        <v>952</v>
      </c>
      <c r="B334" s="4">
        <v>40586</v>
      </c>
      <c r="C334" s="3">
        <v>1</v>
      </c>
      <c r="D334" s="3">
        <v>0</v>
      </c>
      <c r="E334" s="3">
        <v>2</v>
      </c>
      <c r="F334" s="3">
        <v>6</v>
      </c>
      <c r="G334" s="3" t="b">
        <v>0</v>
      </c>
      <c r="H334" s="3">
        <v>6</v>
      </c>
      <c r="I334" s="3">
        <v>1</v>
      </c>
      <c r="J334" s="3">
        <v>0.12</v>
      </c>
      <c r="K334" s="3">
        <v>0.13639999999999999</v>
      </c>
      <c r="L334" s="3">
        <v>0.93</v>
      </c>
      <c r="M334" s="3">
        <v>0.19400000000000001</v>
      </c>
      <c r="N334" s="3">
        <v>1</v>
      </c>
      <c r="O334" s="3">
        <v>1</v>
      </c>
      <c r="P334" s="3">
        <v>2</v>
      </c>
    </row>
    <row r="335" spans="1:16" x14ac:dyDescent="0.3">
      <c r="A335" s="3">
        <v>953</v>
      </c>
      <c r="B335" s="4">
        <v>40586</v>
      </c>
      <c r="C335" s="3">
        <v>1</v>
      </c>
      <c r="D335" s="3">
        <v>0</v>
      </c>
      <c r="E335" s="3">
        <v>2</v>
      </c>
      <c r="F335" s="3">
        <v>7</v>
      </c>
      <c r="G335" s="3" t="b">
        <v>0</v>
      </c>
      <c r="H335" s="3">
        <v>6</v>
      </c>
      <c r="I335" s="3">
        <v>1</v>
      </c>
      <c r="J335" s="3">
        <v>0.12</v>
      </c>
      <c r="K335" s="3">
        <v>0.1515</v>
      </c>
      <c r="L335" s="3">
        <v>0.8</v>
      </c>
      <c r="M335" s="3">
        <v>0.1045</v>
      </c>
      <c r="N335" s="3">
        <v>2</v>
      </c>
      <c r="O335" s="3">
        <v>9</v>
      </c>
      <c r="P335" s="3">
        <v>11</v>
      </c>
    </row>
    <row r="336" spans="1:16" x14ac:dyDescent="0.3">
      <c r="A336" s="3">
        <v>954</v>
      </c>
      <c r="B336" s="4">
        <v>40586</v>
      </c>
      <c r="C336" s="3">
        <v>1</v>
      </c>
      <c r="D336" s="3">
        <v>0</v>
      </c>
      <c r="E336" s="3">
        <v>2</v>
      </c>
      <c r="F336" s="3">
        <v>8</v>
      </c>
      <c r="G336" s="3" t="b">
        <v>0</v>
      </c>
      <c r="H336" s="3">
        <v>6</v>
      </c>
      <c r="I336" s="3">
        <v>1</v>
      </c>
      <c r="J336" s="3">
        <v>0.14000000000000001</v>
      </c>
      <c r="K336" s="3">
        <v>0.1515</v>
      </c>
      <c r="L336" s="3">
        <v>0.86</v>
      </c>
      <c r="M336" s="3">
        <v>0.1343</v>
      </c>
      <c r="N336" s="3">
        <v>2</v>
      </c>
      <c r="O336" s="3">
        <v>28</v>
      </c>
      <c r="P336" s="3">
        <v>30</v>
      </c>
    </row>
    <row r="337" spans="1:16" x14ac:dyDescent="0.3">
      <c r="A337" s="3">
        <v>955</v>
      </c>
      <c r="B337" s="4">
        <v>40586</v>
      </c>
      <c r="C337" s="3">
        <v>1</v>
      </c>
      <c r="D337" s="3">
        <v>0</v>
      </c>
      <c r="E337" s="3">
        <v>2</v>
      </c>
      <c r="F337" s="3">
        <v>9</v>
      </c>
      <c r="G337" s="3" t="b">
        <v>0</v>
      </c>
      <c r="H337" s="3">
        <v>6</v>
      </c>
      <c r="I337" s="3">
        <v>1</v>
      </c>
      <c r="J337" s="3">
        <v>0.16</v>
      </c>
      <c r="K337" s="3">
        <v>0.18179999999999999</v>
      </c>
      <c r="L337" s="3">
        <v>0.64</v>
      </c>
      <c r="M337" s="3">
        <v>0.1343</v>
      </c>
      <c r="N337" s="3">
        <v>5</v>
      </c>
      <c r="O337" s="3">
        <v>38</v>
      </c>
      <c r="P337" s="3">
        <v>43</v>
      </c>
    </row>
    <row r="338" spans="1:16" x14ac:dyDescent="0.3">
      <c r="A338" s="3">
        <v>956</v>
      </c>
      <c r="B338" s="4">
        <v>40586</v>
      </c>
      <c r="C338" s="3">
        <v>1</v>
      </c>
      <c r="D338" s="3">
        <v>0</v>
      </c>
      <c r="E338" s="3">
        <v>2</v>
      </c>
      <c r="F338" s="3">
        <v>10</v>
      </c>
      <c r="G338" s="3" t="b">
        <v>0</v>
      </c>
      <c r="H338" s="3">
        <v>6</v>
      </c>
      <c r="I338" s="3">
        <v>1</v>
      </c>
      <c r="J338" s="3">
        <v>0.22</v>
      </c>
      <c r="K338" s="3">
        <v>0.21210000000000001</v>
      </c>
      <c r="L338" s="3">
        <v>0.41</v>
      </c>
      <c r="M338" s="3">
        <v>0.25369999999999998</v>
      </c>
      <c r="N338" s="3">
        <v>13</v>
      </c>
      <c r="O338" s="3">
        <v>71</v>
      </c>
      <c r="P338" s="3">
        <v>84</v>
      </c>
    </row>
    <row r="339" spans="1:16" x14ac:dyDescent="0.3">
      <c r="A339" s="3">
        <v>957</v>
      </c>
      <c r="B339" s="4">
        <v>40586</v>
      </c>
      <c r="C339" s="3">
        <v>1</v>
      </c>
      <c r="D339" s="3">
        <v>0</v>
      </c>
      <c r="E339" s="3">
        <v>2</v>
      </c>
      <c r="F339" s="3">
        <v>11</v>
      </c>
      <c r="G339" s="3" t="b">
        <v>0</v>
      </c>
      <c r="H339" s="3">
        <v>6</v>
      </c>
      <c r="I339" s="3">
        <v>1</v>
      </c>
      <c r="J339" s="3">
        <v>0.3</v>
      </c>
      <c r="K339" s="3">
        <v>0.2727</v>
      </c>
      <c r="L339" s="3">
        <v>0.28000000000000003</v>
      </c>
      <c r="M339" s="3">
        <v>0.32840000000000003</v>
      </c>
      <c r="N339" s="3">
        <v>30</v>
      </c>
      <c r="O339" s="3">
        <v>84</v>
      </c>
      <c r="P339" s="3">
        <v>114</v>
      </c>
    </row>
    <row r="340" spans="1:16" x14ac:dyDescent="0.3">
      <c r="A340" s="3">
        <v>958</v>
      </c>
      <c r="B340" s="4">
        <v>40586</v>
      </c>
      <c r="C340" s="3">
        <v>1</v>
      </c>
      <c r="D340" s="3">
        <v>0</v>
      </c>
      <c r="E340" s="3">
        <v>2</v>
      </c>
      <c r="F340" s="3">
        <v>12</v>
      </c>
      <c r="G340" s="3" t="b">
        <v>0</v>
      </c>
      <c r="H340" s="3">
        <v>6</v>
      </c>
      <c r="I340" s="3">
        <v>1</v>
      </c>
      <c r="J340" s="3">
        <v>0.3</v>
      </c>
      <c r="K340" s="3">
        <v>0.2727</v>
      </c>
      <c r="L340" s="3">
        <v>0.39</v>
      </c>
      <c r="M340" s="3">
        <v>0.4627</v>
      </c>
      <c r="N340" s="3">
        <v>27</v>
      </c>
      <c r="O340" s="3">
        <v>93</v>
      </c>
      <c r="P340" s="3">
        <v>120</v>
      </c>
    </row>
    <row r="341" spans="1:16" x14ac:dyDescent="0.3">
      <c r="A341" s="3">
        <v>959</v>
      </c>
      <c r="B341" s="4">
        <v>40586</v>
      </c>
      <c r="C341" s="3">
        <v>1</v>
      </c>
      <c r="D341" s="3">
        <v>0</v>
      </c>
      <c r="E341" s="3">
        <v>2</v>
      </c>
      <c r="F341" s="3">
        <v>13</v>
      </c>
      <c r="G341" s="3" t="b">
        <v>0</v>
      </c>
      <c r="H341" s="3">
        <v>6</v>
      </c>
      <c r="I341" s="3">
        <v>1</v>
      </c>
      <c r="J341" s="3">
        <v>0.3</v>
      </c>
      <c r="K341" s="3">
        <v>0.2727</v>
      </c>
      <c r="L341" s="3">
        <v>0.39</v>
      </c>
      <c r="M341" s="3">
        <v>0.41789999999999999</v>
      </c>
      <c r="N341" s="3">
        <v>32</v>
      </c>
      <c r="O341" s="3">
        <v>103</v>
      </c>
      <c r="P341" s="3">
        <v>135</v>
      </c>
    </row>
    <row r="342" spans="1:16" x14ac:dyDescent="0.3">
      <c r="A342" s="3">
        <v>960</v>
      </c>
      <c r="B342" s="4">
        <v>40586</v>
      </c>
      <c r="C342" s="3">
        <v>1</v>
      </c>
      <c r="D342" s="3">
        <v>0</v>
      </c>
      <c r="E342" s="3">
        <v>2</v>
      </c>
      <c r="F342" s="3">
        <v>14</v>
      </c>
      <c r="G342" s="3" t="b">
        <v>0</v>
      </c>
      <c r="H342" s="3">
        <v>6</v>
      </c>
      <c r="I342" s="3">
        <v>1</v>
      </c>
      <c r="J342" s="3">
        <v>0.34</v>
      </c>
      <c r="K342" s="3">
        <v>0.31819999999999998</v>
      </c>
      <c r="L342" s="3">
        <v>0.31</v>
      </c>
      <c r="M342" s="3">
        <v>0.28360000000000002</v>
      </c>
      <c r="N342" s="3">
        <v>30</v>
      </c>
      <c r="O342" s="3">
        <v>90</v>
      </c>
      <c r="P342" s="3">
        <v>120</v>
      </c>
    </row>
    <row r="343" spans="1:16" x14ac:dyDescent="0.3">
      <c r="A343" s="3">
        <v>961</v>
      </c>
      <c r="B343" s="4">
        <v>40586</v>
      </c>
      <c r="C343" s="3">
        <v>1</v>
      </c>
      <c r="D343" s="3">
        <v>0</v>
      </c>
      <c r="E343" s="3">
        <v>2</v>
      </c>
      <c r="F343" s="3">
        <v>15</v>
      </c>
      <c r="G343" s="3" t="b">
        <v>0</v>
      </c>
      <c r="H343" s="3">
        <v>6</v>
      </c>
      <c r="I343" s="3">
        <v>1</v>
      </c>
      <c r="J343" s="3">
        <v>0.34</v>
      </c>
      <c r="K343" s="3">
        <v>0.30299999999999999</v>
      </c>
      <c r="L343" s="3">
        <v>0.28999999999999998</v>
      </c>
      <c r="M343" s="3">
        <v>0.41789999999999999</v>
      </c>
      <c r="N343" s="3">
        <v>47</v>
      </c>
      <c r="O343" s="3">
        <v>127</v>
      </c>
      <c r="P343" s="3">
        <v>174</v>
      </c>
    </row>
    <row r="344" spans="1:16" x14ac:dyDescent="0.3">
      <c r="A344" s="3">
        <v>962</v>
      </c>
      <c r="B344" s="4">
        <v>40586</v>
      </c>
      <c r="C344" s="3">
        <v>1</v>
      </c>
      <c r="D344" s="3">
        <v>0</v>
      </c>
      <c r="E344" s="3">
        <v>2</v>
      </c>
      <c r="F344" s="3">
        <v>16</v>
      </c>
      <c r="G344" s="3" t="b">
        <v>0</v>
      </c>
      <c r="H344" s="3">
        <v>6</v>
      </c>
      <c r="I344" s="3">
        <v>1</v>
      </c>
      <c r="J344" s="3">
        <v>0.34</v>
      </c>
      <c r="K344" s="3">
        <v>0.30299999999999999</v>
      </c>
      <c r="L344" s="3">
        <v>0.28999999999999998</v>
      </c>
      <c r="M344" s="3">
        <v>0.41789999999999999</v>
      </c>
      <c r="N344" s="3">
        <v>42</v>
      </c>
      <c r="O344" s="3">
        <v>103</v>
      </c>
      <c r="P344" s="3">
        <v>145</v>
      </c>
    </row>
    <row r="345" spans="1:16" x14ac:dyDescent="0.3">
      <c r="A345" s="3">
        <v>963</v>
      </c>
      <c r="B345" s="4">
        <v>40586</v>
      </c>
      <c r="C345" s="3">
        <v>1</v>
      </c>
      <c r="D345" s="3">
        <v>0</v>
      </c>
      <c r="E345" s="3">
        <v>2</v>
      </c>
      <c r="F345" s="3">
        <v>17</v>
      </c>
      <c r="G345" s="3" t="b">
        <v>0</v>
      </c>
      <c r="H345" s="3">
        <v>6</v>
      </c>
      <c r="I345" s="3">
        <v>1</v>
      </c>
      <c r="J345" s="3">
        <v>0.32</v>
      </c>
      <c r="K345" s="3">
        <v>0.28789999999999999</v>
      </c>
      <c r="L345" s="3">
        <v>0.31</v>
      </c>
      <c r="M345" s="3">
        <v>0.52239999999999998</v>
      </c>
      <c r="N345" s="3">
        <v>24</v>
      </c>
      <c r="O345" s="3">
        <v>113</v>
      </c>
      <c r="P345" s="3">
        <v>137</v>
      </c>
    </row>
    <row r="346" spans="1:16" x14ac:dyDescent="0.3">
      <c r="A346" s="3">
        <v>964</v>
      </c>
      <c r="B346" s="4">
        <v>40586</v>
      </c>
      <c r="C346" s="3">
        <v>1</v>
      </c>
      <c r="D346" s="3">
        <v>0</v>
      </c>
      <c r="E346" s="3">
        <v>2</v>
      </c>
      <c r="F346" s="3">
        <v>18</v>
      </c>
      <c r="G346" s="3" t="b">
        <v>0</v>
      </c>
      <c r="H346" s="3">
        <v>6</v>
      </c>
      <c r="I346" s="3">
        <v>1</v>
      </c>
      <c r="J346" s="3">
        <v>0.28000000000000003</v>
      </c>
      <c r="K346" s="3">
        <v>0.2576</v>
      </c>
      <c r="L346" s="3">
        <v>0.38</v>
      </c>
      <c r="M346" s="3">
        <v>0.32840000000000003</v>
      </c>
      <c r="N346" s="3">
        <v>4</v>
      </c>
      <c r="O346" s="3">
        <v>60</v>
      </c>
      <c r="P346" s="3">
        <v>64</v>
      </c>
    </row>
    <row r="347" spans="1:16" x14ac:dyDescent="0.3">
      <c r="A347" s="3">
        <v>965</v>
      </c>
      <c r="B347" s="4">
        <v>40586</v>
      </c>
      <c r="C347" s="3">
        <v>1</v>
      </c>
      <c r="D347" s="3">
        <v>0</v>
      </c>
      <c r="E347" s="3">
        <v>2</v>
      </c>
      <c r="F347" s="3">
        <v>19</v>
      </c>
      <c r="G347" s="3" t="b">
        <v>0</v>
      </c>
      <c r="H347" s="3">
        <v>6</v>
      </c>
      <c r="I347" s="3">
        <v>1</v>
      </c>
      <c r="J347" s="3">
        <v>0.28000000000000003</v>
      </c>
      <c r="K347" s="3">
        <v>0.2727</v>
      </c>
      <c r="L347" s="3">
        <v>0.38</v>
      </c>
      <c r="M347" s="3">
        <v>0.16420000000000001</v>
      </c>
      <c r="N347" s="3">
        <v>2</v>
      </c>
      <c r="O347" s="3">
        <v>39</v>
      </c>
      <c r="P347" s="3">
        <v>41</v>
      </c>
    </row>
    <row r="348" spans="1:16" x14ac:dyDescent="0.3">
      <c r="A348" s="3">
        <v>966</v>
      </c>
      <c r="B348" s="4">
        <v>40586</v>
      </c>
      <c r="C348" s="3">
        <v>1</v>
      </c>
      <c r="D348" s="3">
        <v>0</v>
      </c>
      <c r="E348" s="3">
        <v>2</v>
      </c>
      <c r="F348" s="3">
        <v>20</v>
      </c>
      <c r="G348" s="3" t="b">
        <v>0</v>
      </c>
      <c r="H348" s="3">
        <v>6</v>
      </c>
      <c r="I348" s="3">
        <v>1</v>
      </c>
      <c r="J348" s="3">
        <v>0.26</v>
      </c>
      <c r="K348" s="3">
        <v>0.2576</v>
      </c>
      <c r="L348" s="3">
        <v>0.41</v>
      </c>
      <c r="M348" s="3">
        <v>0.22389999999999999</v>
      </c>
      <c r="N348" s="3">
        <v>1</v>
      </c>
      <c r="O348" s="3">
        <v>39</v>
      </c>
      <c r="P348" s="3">
        <v>40</v>
      </c>
    </row>
    <row r="349" spans="1:16" x14ac:dyDescent="0.3">
      <c r="A349" s="3">
        <v>967</v>
      </c>
      <c r="B349" s="4">
        <v>40586</v>
      </c>
      <c r="C349" s="3">
        <v>1</v>
      </c>
      <c r="D349" s="3">
        <v>0</v>
      </c>
      <c r="E349" s="3">
        <v>2</v>
      </c>
      <c r="F349" s="3">
        <v>21</v>
      </c>
      <c r="G349" s="3" t="b">
        <v>0</v>
      </c>
      <c r="H349" s="3">
        <v>6</v>
      </c>
      <c r="I349" s="3">
        <v>1</v>
      </c>
      <c r="J349" s="3">
        <v>0.26</v>
      </c>
      <c r="K349" s="3">
        <v>0.30299999999999999</v>
      </c>
      <c r="L349" s="3">
        <v>0.41</v>
      </c>
      <c r="M349" s="3">
        <v>0</v>
      </c>
      <c r="N349" s="3">
        <v>9</v>
      </c>
      <c r="O349" s="3">
        <v>42</v>
      </c>
      <c r="P349" s="3">
        <v>51</v>
      </c>
    </row>
    <row r="350" spans="1:16" x14ac:dyDescent="0.3">
      <c r="A350" s="3">
        <v>968</v>
      </c>
      <c r="B350" s="4">
        <v>40586</v>
      </c>
      <c r="C350" s="3">
        <v>1</v>
      </c>
      <c r="D350" s="3">
        <v>0</v>
      </c>
      <c r="E350" s="3">
        <v>2</v>
      </c>
      <c r="F350" s="3">
        <v>22</v>
      </c>
      <c r="G350" s="3" t="b">
        <v>0</v>
      </c>
      <c r="H350" s="3">
        <v>6</v>
      </c>
      <c r="I350" s="3">
        <v>1</v>
      </c>
      <c r="J350" s="3">
        <v>0.24</v>
      </c>
      <c r="K350" s="3">
        <v>0.2576</v>
      </c>
      <c r="L350" s="3">
        <v>0.44</v>
      </c>
      <c r="M350" s="3">
        <v>8.9599999999999999E-2</v>
      </c>
      <c r="N350" s="3">
        <v>6</v>
      </c>
      <c r="O350" s="3">
        <v>39</v>
      </c>
      <c r="P350" s="3">
        <v>45</v>
      </c>
    </row>
    <row r="351" spans="1:16" x14ac:dyDescent="0.3">
      <c r="A351" s="3">
        <v>969</v>
      </c>
      <c r="B351" s="4">
        <v>40586</v>
      </c>
      <c r="C351" s="3">
        <v>1</v>
      </c>
      <c r="D351" s="3">
        <v>0</v>
      </c>
      <c r="E351" s="3">
        <v>2</v>
      </c>
      <c r="F351" s="3">
        <v>23</v>
      </c>
      <c r="G351" s="3" t="b">
        <v>0</v>
      </c>
      <c r="H351" s="3">
        <v>6</v>
      </c>
      <c r="I351" s="3">
        <v>1</v>
      </c>
      <c r="J351" s="3">
        <v>0.22</v>
      </c>
      <c r="K351" s="3">
        <v>0.2273</v>
      </c>
      <c r="L351" s="3">
        <v>0.51</v>
      </c>
      <c r="M351" s="3">
        <v>0.1343</v>
      </c>
      <c r="N351" s="3">
        <v>1</v>
      </c>
      <c r="O351" s="3">
        <v>31</v>
      </c>
      <c r="P351" s="3">
        <v>32</v>
      </c>
    </row>
    <row r="352" spans="1:16" x14ac:dyDescent="0.3">
      <c r="A352" s="3">
        <v>970</v>
      </c>
      <c r="B352" s="4">
        <v>40587</v>
      </c>
      <c r="C352" s="3">
        <v>1</v>
      </c>
      <c r="D352" s="3">
        <v>0</v>
      </c>
      <c r="E352" s="3">
        <v>2</v>
      </c>
      <c r="F352" s="3">
        <v>0</v>
      </c>
      <c r="G352" s="3" t="b">
        <v>0</v>
      </c>
      <c r="H352" s="3">
        <v>0</v>
      </c>
      <c r="I352" s="3">
        <v>1</v>
      </c>
      <c r="J352" s="3">
        <v>0.2</v>
      </c>
      <c r="K352" s="3">
        <v>0.2273</v>
      </c>
      <c r="L352" s="3">
        <v>0.64</v>
      </c>
      <c r="M352" s="3">
        <v>0.1045</v>
      </c>
      <c r="N352" s="3">
        <v>5</v>
      </c>
      <c r="O352" s="3">
        <v>34</v>
      </c>
      <c r="P352" s="3">
        <v>39</v>
      </c>
    </row>
    <row r="353" spans="1:16" x14ac:dyDescent="0.3">
      <c r="A353" s="3">
        <v>971</v>
      </c>
      <c r="B353" s="4">
        <v>40587</v>
      </c>
      <c r="C353" s="3">
        <v>1</v>
      </c>
      <c r="D353" s="3">
        <v>0</v>
      </c>
      <c r="E353" s="3">
        <v>2</v>
      </c>
      <c r="F353" s="3">
        <v>1</v>
      </c>
      <c r="G353" s="3" t="b">
        <v>0</v>
      </c>
      <c r="H353" s="3">
        <v>0</v>
      </c>
      <c r="I353" s="3">
        <v>1</v>
      </c>
      <c r="J353" s="3">
        <v>0.2</v>
      </c>
      <c r="K353" s="3">
        <v>0.2273</v>
      </c>
      <c r="L353" s="3">
        <v>0.59</v>
      </c>
      <c r="M353" s="3">
        <v>8.9599999999999999E-2</v>
      </c>
      <c r="N353" s="3">
        <v>1</v>
      </c>
      <c r="O353" s="3">
        <v>23</v>
      </c>
      <c r="P353" s="3">
        <v>24</v>
      </c>
    </row>
    <row r="354" spans="1:16" x14ac:dyDescent="0.3">
      <c r="A354" s="3">
        <v>972</v>
      </c>
      <c r="B354" s="4">
        <v>40587</v>
      </c>
      <c r="C354" s="3">
        <v>1</v>
      </c>
      <c r="D354" s="3">
        <v>0</v>
      </c>
      <c r="E354" s="3">
        <v>2</v>
      </c>
      <c r="F354" s="3">
        <v>2</v>
      </c>
      <c r="G354" s="3" t="b">
        <v>0</v>
      </c>
      <c r="H354" s="3">
        <v>0</v>
      </c>
      <c r="I354" s="3">
        <v>2</v>
      </c>
      <c r="J354" s="3">
        <v>0.2</v>
      </c>
      <c r="K354" s="3">
        <v>0.2273</v>
      </c>
      <c r="L354" s="3">
        <v>0.75</v>
      </c>
      <c r="M354" s="3">
        <v>8.9599999999999999E-2</v>
      </c>
      <c r="N354" s="3">
        <v>1</v>
      </c>
      <c r="O354" s="3">
        <v>19</v>
      </c>
      <c r="P354" s="3">
        <v>20</v>
      </c>
    </row>
    <row r="355" spans="1:16" x14ac:dyDescent="0.3">
      <c r="A355" s="3">
        <v>973</v>
      </c>
      <c r="B355" s="4">
        <v>40587</v>
      </c>
      <c r="C355" s="3">
        <v>1</v>
      </c>
      <c r="D355" s="3">
        <v>0</v>
      </c>
      <c r="E355" s="3">
        <v>2</v>
      </c>
      <c r="F355" s="3">
        <v>3</v>
      </c>
      <c r="G355" s="3" t="b">
        <v>0</v>
      </c>
      <c r="H355" s="3">
        <v>0</v>
      </c>
      <c r="I355" s="3">
        <v>2</v>
      </c>
      <c r="J355" s="3">
        <v>0.2</v>
      </c>
      <c r="K355" s="3">
        <v>0.2273</v>
      </c>
      <c r="L355" s="3">
        <v>0.69</v>
      </c>
      <c r="M355" s="3">
        <v>0.1045</v>
      </c>
      <c r="N355" s="3">
        <v>4</v>
      </c>
      <c r="O355" s="3">
        <v>8</v>
      </c>
      <c r="P355" s="3">
        <v>12</v>
      </c>
    </row>
    <row r="356" spans="1:16" x14ac:dyDescent="0.3">
      <c r="A356" s="3">
        <v>974</v>
      </c>
      <c r="B356" s="4">
        <v>40587</v>
      </c>
      <c r="C356" s="3">
        <v>1</v>
      </c>
      <c r="D356" s="3">
        <v>0</v>
      </c>
      <c r="E356" s="3">
        <v>2</v>
      </c>
      <c r="F356" s="3">
        <v>4</v>
      </c>
      <c r="G356" s="3" t="b">
        <v>0</v>
      </c>
      <c r="H356" s="3">
        <v>0</v>
      </c>
      <c r="I356" s="3">
        <v>2</v>
      </c>
      <c r="J356" s="3">
        <v>0.2</v>
      </c>
      <c r="K356" s="3">
        <v>0.21210000000000001</v>
      </c>
      <c r="L356" s="3">
        <v>0.69</v>
      </c>
      <c r="M356" s="3">
        <v>0.16420000000000001</v>
      </c>
      <c r="N356" s="3">
        <v>0</v>
      </c>
      <c r="O356" s="3">
        <v>2</v>
      </c>
      <c r="P356" s="3">
        <v>2</v>
      </c>
    </row>
    <row r="357" spans="1:16" x14ac:dyDescent="0.3">
      <c r="A357" s="3">
        <v>975</v>
      </c>
      <c r="B357" s="4">
        <v>40587</v>
      </c>
      <c r="C357" s="3">
        <v>1</v>
      </c>
      <c r="D357" s="3">
        <v>0</v>
      </c>
      <c r="E357" s="3">
        <v>2</v>
      </c>
      <c r="F357" s="3">
        <v>6</v>
      </c>
      <c r="G357" s="3" t="b">
        <v>0</v>
      </c>
      <c r="H357" s="3">
        <v>0</v>
      </c>
      <c r="I357" s="3">
        <v>2</v>
      </c>
      <c r="J357" s="3">
        <v>0.2</v>
      </c>
      <c r="K357" s="3">
        <v>0.21210000000000001</v>
      </c>
      <c r="L357" s="3">
        <v>0.69</v>
      </c>
      <c r="M357" s="3">
        <v>0.1343</v>
      </c>
      <c r="N357" s="3">
        <v>2</v>
      </c>
      <c r="O357" s="3">
        <v>3</v>
      </c>
      <c r="P357" s="3">
        <v>5</v>
      </c>
    </row>
    <row r="358" spans="1:16" x14ac:dyDescent="0.3">
      <c r="A358" s="3">
        <v>976</v>
      </c>
      <c r="B358" s="4">
        <v>40587</v>
      </c>
      <c r="C358" s="3">
        <v>1</v>
      </c>
      <c r="D358" s="3">
        <v>0</v>
      </c>
      <c r="E358" s="3">
        <v>2</v>
      </c>
      <c r="F358" s="3">
        <v>7</v>
      </c>
      <c r="G358" s="3" t="b">
        <v>0</v>
      </c>
      <c r="H358" s="3">
        <v>0</v>
      </c>
      <c r="I358" s="3">
        <v>2</v>
      </c>
      <c r="J358" s="3">
        <v>0.22</v>
      </c>
      <c r="K358" s="3">
        <v>0.2727</v>
      </c>
      <c r="L358" s="3">
        <v>0.55000000000000004</v>
      </c>
      <c r="M358" s="3">
        <v>0</v>
      </c>
      <c r="N358" s="3">
        <v>0</v>
      </c>
      <c r="O358" s="3">
        <v>3</v>
      </c>
      <c r="P358" s="3">
        <v>3</v>
      </c>
    </row>
    <row r="359" spans="1:16" x14ac:dyDescent="0.3">
      <c r="A359" s="3">
        <v>977</v>
      </c>
      <c r="B359" s="4">
        <v>40587</v>
      </c>
      <c r="C359" s="3">
        <v>1</v>
      </c>
      <c r="D359" s="3">
        <v>0</v>
      </c>
      <c r="E359" s="3">
        <v>2</v>
      </c>
      <c r="F359" s="3">
        <v>8</v>
      </c>
      <c r="G359" s="3" t="b">
        <v>0</v>
      </c>
      <c r="H359" s="3">
        <v>0</v>
      </c>
      <c r="I359" s="3">
        <v>2</v>
      </c>
      <c r="J359" s="3">
        <v>0.22</v>
      </c>
      <c r="K359" s="3">
        <v>0.2273</v>
      </c>
      <c r="L359" s="3">
        <v>0.64</v>
      </c>
      <c r="M359" s="3">
        <v>0.19400000000000001</v>
      </c>
      <c r="N359" s="3">
        <v>1</v>
      </c>
      <c r="O359" s="3">
        <v>11</v>
      </c>
      <c r="P359" s="3">
        <v>12</v>
      </c>
    </row>
    <row r="360" spans="1:16" x14ac:dyDescent="0.3">
      <c r="A360" s="3">
        <v>978</v>
      </c>
      <c r="B360" s="4">
        <v>40587</v>
      </c>
      <c r="C360" s="3">
        <v>1</v>
      </c>
      <c r="D360" s="3">
        <v>0</v>
      </c>
      <c r="E360" s="3">
        <v>2</v>
      </c>
      <c r="F360" s="3">
        <v>9</v>
      </c>
      <c r="G360" s="3" t="b">
        <v>0</v>
      </c>
      <c r="H360" s="3">
        <v>0</v>
      </c>
      <c r="I360" s="3">
        <v>2</v>
      </c>
      <c r="J360" s="3">
        <v>0.24</v>
      </c>
      <c r="K360" s="3">
        <v>0.2273</v>
      </c>
      <c r="L360" s="3">
        <v>0.6</v>
      </c>
      <c r="M360" s="3">
        <v>0.22389999999999999</v>
      </c>
      <c r="N360" s="3">
        <v>12</v>
      </c>
      <c r="O360" s="3">
        <v>35</v>
      </c>
      <c r="P360" s="3">
        <v>47</v>
      </c>
    </row>
    <row r="361" spans="1:16" x14ac:dyDescent="0.3">
      <c r="A361" s="3">
        <v>979</v>
      </c>
      <c r="B361" s="4">
        <v>40587</v>
      </c>
      <c r="C361" s="3">
        <v>1</v>
      </c>
      <c r="D361" s="3">
        <v>0</v>
      </c>
      <c r="E361" s="3">
        <v>2</v>
      </c>
      <c r="F361" s="3">
        <v>10</v>
      </c>
      <c r="G361" s="3" t="b">
        <v>0</v>
      </c>
      <c r="H361" s="3">
        <v>0</v>
      </c>
      <c r="I361" s="3">
        <v>1</v>
      </c>
      <c r="J361" s="3">
        <v>0.3</v>
      </c>
      <c r="K361" s="3">
        <v>0.2727</v>
      </c>
      <c r="L361" s="3">
        <v>0.45</v>
      </c>
      <c r="M361" s="3">
        <v>0.32840000000000003</v>
      </c>
      <c r="N361" s="3">
        <v>19</v>
      </c>
      <c r="O361" s="3">
        <v>86</v>
      </c>
      <c r="P361" s="3">
        <v>105</v>
      </c>
    </row>
    <row r="362" spans="1:16" x14ac:dyDescent="0.3">
      <c r="A362" s="3">
        <v>980</v>
      </c>
      <c r="B362" s="4">
        <v>40587</v>
      </c>
      <c r="C362" s="3">
        <v>1</v>
      </c>
      <c r="D362" s="3">
        <v>0</v>
      </c>
      <c r="E362" s="3">
        <v>2</v>
      </c>
      <c r="F362" s="3">
        <v>11</v>
      </c>
      <c r="G362" s="3" t="b">
        <v>0</v>
      </c>
      <c r="H362" s="3">
        <v>0</v>
      </c>
      <c r="I362" s="3">
        <v>1</v>
      </c>
      <c r="J362" s="3">
        <v>0.32</v>
      </c>
      <c r="K362" s="3">
        <v>0.28789999999999999</v>
      </c>
      <c r="L362" s="3">
        <v>0.39</v>
      </c>
      <c r="M362" s="3">
        <v>0.44779999999999998</v>
      </c>
      <c r="N362" s="3">
        <v>26</v>
      </c>
      <c r="O362" s="3">
        <v>86</v>
      </c>
      <c r="P362" s="3">
        <v>112</v>
      </c>
    </row>
    <row r="363" spans="1:16" x14ac:dyDescent="0.3">
      <c r="A363" s="3">
        <v>981</v>
      </c>
      <c r="B363" s="4">
        <v>40587</v>
      </c>
      <c r="C363" s="3">
        <v>1</v>
      </c>
      <c r="D363" s="3">
        <v>0</v>
      </c>
      <c r="E363" s="3">
        <v>2</v>
      </c>
      <c r="F363" s="3">
        <v>12</v>
      </c>
      <c r="G363" s="3" t="b">
        <v>0</v>
      </c>
      <c r="H363" s="3">
        <v>0</v>
      </c>
      <c r="I363" s="3">
        <v>1</v>
      </c>
      <c r="J363" s="3">
        <v>0.36</v>
      </c>
      <c r="K363" s="3">
        <v>0.31819999999999998</v>
      </c>
      <c r="L363" s="3">
        <v>0.32</v>
      </c>
      <c r="M363" s="3">
        <v>0.4627</v>
      </c>
      <c r="N363" s="3">
        <v>58</v>
      </c>
      <c r="O363" s="3">
        <v>94</v>
      </c>
      <c r="P363" s="3">
        <v>152</v>
      </c>
    </row>
    <row r="364" spans="1:16" x14ac:dyDescent="0.3">
      <c r="A364" s="3">
        <v>982</v>
      </c>
      <c r="B364" s="4">
        <v>40587</v>
      </c>
      <c r="C364" s="3">
        <v>1</v>
      </c>
      <c r="D364" s="3">
        <v>0</v>
      </c>
      <c r="E364" s="3">
        <v>2</v>
      </c>
      <c r="F364" s="3">
        <v>13</v>
      </c>
      <c r="G364" s="3" t="b">
        <v>0</v>
      </c>
      <c r="H364" s="3">
        <v>0</v>
      </c>
      <c r="I364" s="3">
        <v>1</v>
      </c>
      <c r="J364" s="3">
        <v>0.38</v>
      </c>
      <c r="K364" s="3">
        <v>0.39389999999999997</v>
      </c>
      <c r="L364" s="3">
        <v>0.28999999999999998</v>
      </c>
      <c r="M364" s="3">
        <v>0.35820000000000002</v>
      </c>
      <c r="N364" s="3">
        <v>62</v>
      </c>
      <c r="O364" s="3">
        <v>92</v>
      </c>
      <c r="P364" s="3">
        <v>154</v>
      </c>
    </row>
    <row r="365" spans="1:16" x14ac:dyDescent="0.3">
      <c r="A365" s="3">
        <v>983</v>
      </c>
      <c r="B365" s="4">
        <v>40587</v>
      </c>
      <c r="C365" s="3">
        <v>1</v>
      </c>
      <c r="D365" s="3">
        <v>0</v>
      </c>
      <c r="E365" s="3">
        <v>2</v>
      </c>
      <c r="F365" s="3">
        <v>14</v>
      </c>
      <c r="G365" s="3" t="b">
        <v>0</v>
      </c>
      <c r="H365" s="3">
        <v>0</v>
      </c>
      <c r="I365" s="3">
        <v>2</v>
      </c>
      <c r="J365" s="3">
        <v>0.4</v>
      </c>
      <c r="K365" s="3">
        <v>0.40910000000000002</v>
      </c>
      <c r="L365" s="3">
        <v>0.3</v>
      </c>
      <c r="M365" s="3">
        <v>0.41789999999999999</v>
      </c>
      <c r="N365" s="3">
        <v>51</v>
      </c>
      <c r="O365" s="3">
        <v>110</v>
      </c>
      <c r="P365" s="3">
        <v>161</v>
      </c>
    </row>
    <row r="366" spans="1:16" x14ac:dyDescent="0.3">
      <c r="A366" s="3">
        <v>984</v>
      </c>
      <c r="B366" s="4">
        <v>40587</v>
      </c>
      <c r="C366" s="3">
        <v>1</v>
      </c>
      <c r="D366" s="3">
        <v>0</v>
      </c>
      <c r="E366" s="3">
        <v>2</v>
      </c>
      <c r="F366" s="3">
        <v>15</v>
      </c>
      <c r="G366" s="3" t="b">
        <v>0</v>
      </c>
      <c r="H366" s="3">
        <v>0</v>
      </c>
      <c r="I366" s="3">
        <v>2</v>
      </c>
      <c r="J366" s="3">
        <v>0.4</v>
      </c>
      <c r="K366" s="3">
        <v>0.40910000000000002</v>
      </c>
      <c r="L366" s="3">
        <v>0.3</v>
      </c>
      <c r="M366" s="3">
        <v>0.29849999999999999</v>
      </c>
      <c r="N366" s="3">
        <v>40</v>
      </c>
      <c r="O366" s="3">
        <v>122</v>
      </c>
      <c r="P366" s="3">
        <v>162</v>
      </c>
    </row>
    <row r="367" spans="1:16" x14ac:dyDescent="0.3">
      <c r="A367" s="3">
        <v>985</v>
      </c>
      <c r="B367" s="4">
        <v>40587</v>
      </c>
      <c r="C367" s="3">
        <v>1</v>
      </c>
      <c r="D367" s="3">
        <v>0</v>
      </c>
      <c r="E367" s="3">
        <v>2</v>
      </c>
      <c r="F367" s="3">
        <v>16</v>
      </c>
      <c r="G367" s="3" t="b">
        <v>0</v>
      </c>
      <c r="H367" s="3">
        <v>0</v>
      </c>
      <c r="I367" s="3">
        <v>2</v>
      </c>
      <c r="J367" s="3">
        <v>0.42</v>
      </c>
      <c r="K367" s="3">
        <v>0.42420000000000002</v>
      </c>
      <c r="L367" s="3">
        <v>0.28000000000000003</v>
      </c>
      <c r="M367" s="3">
        <v>0.32840000000000003</v>
      </c>
      <c r="N367" s="3">
        <v>28</v>
      </c>
      <c r="O367" s="3">
        <v>106</v>
      </c>
      <c r="P367" s="3">
        <v>134</v>
      </c>
    </row>
    <row r="368" spans="1:16" x14ac:dyDescent="0.3">
      <c r="A368" s="3">
        <v>986</v>
      </c>
      <c r="B368" s="4">
        <v>40587</v>
      </c>
      <c r="C368" s="3">
        <v>1</v>
      </c>
      <c r="D368" s="3">
        <v>0</v>
      </c>
      <c r="E368" s="3">
        <v>2</v>
      </c>
      <c r="F368" s="3">
        <v>17</v>
      </c>
      <c r="G368" s="3" t="b">
        <v>0</v>
      </c>
      <c r="H368" s="3">
        <v>0</v>
      </c>
      <c r="I368" s="3">
        <v>1</v>
      </c>
      <c r="J368" s="3">
        <v>0.42</v>
      </c>
      <c r="K368" s="3">
        <v>0.42420000000000002</v>
      </c>
      <c r="L368" s="3">
        <v>0.28000000000000003</v>
      </c>
      <c r="M368" s="3">
        <v>0.32840000000000003</v>
      </c>
      <c r="N368" s="3">
        <v>30</v>
      </c>
      <c r="O368" s="3">
        <v>95</v>
      </c>
      <c r="P368" s="3">
        <v>125</v>
      </c>
    </row>
    <row r="369" spans="1:16" x14ac:dyDescent="0.3">
      <c r="A369" s="3">
        <v>987</v>
      </c>
      <c r="B369" s="4">
        <v>40587</v>
      </c>
      <c r="C369" s="3">
        <v>1</v>
      </c>
      <c r="D369" s="3">
        <v>0</v>
      </c>
      <c r="E369" s="3">
        <v>2</v>
      </c>
      <c r="F369" s="3">
        <v>18</v>
      </c>
      <c r="G369" s="3" t="b">
        <v>0</v>
      </c>
      <c r="H369" s="3">
        <v>0</v>
      </c>
      <c r="I369" s="3">
        <v>1</v>
      </c>
      <c r="J369" s="3">
        <v>0.4</v>
      </c>
      <c r="K369" s="3">
        <v>0.40910000000000002</v>
      </c>
      <c r="L369" s="3">
        <v>0.32</v>
      </c>
      <c r="M369" s="3">
        <v>0.29849999999999999</v>
      </c>
      <c r="N369" s="3">
        <v>17</v>
      </c>
      <c r="O369" s="3">
        <v>78</v>
      </c>
      <c r="P369" s="3">
        <v>95</v>
      </c>
    </row>
    <row r="370" spans="1:16" x14ac:dyDescent="0.3">
      <c r="A370" s="3">
        <v>988</v>
      </c>
      <c r="B370" s="4">
        <v>40587</v>
      </c>
      <c r="C370" s="3">
        <v>1</v>
      </c>
      <c r="D370" s="3">
        <v>0</v>
      </c>
      <c r="E370" s="3">
        <v>2</v>
      </c>
      <c r="F370" s="3">
        <v>19</v>
      </c>
      <c r="G370" s="3" t="b">
        <v>0</v>
      </c>
      <c r="H370" s="3">
        <v>0</v>
      </c>
      <c r="I370" s="3">
        <v>1</v>
      </c>
      <c r="J370" s="3">
        <v>0.4</v>
      </c>
      <c r="K370" s="3">
        <v>0.40910000000000002</v>
      </c>
      <c r="L370" s="3">
        <v>0.35</v>
      </c>
      <c r="M370" s="3">
        <v>0.28360000000000002</v>
      </c>
      <c r="N370" s="3">
        <v>11</v>
      </c>
      <c r="O370" s="3">
        <v>50</v>
      </c>
      <c r="P370" s="3">
        <v>61</v>
      </c>
    </row>
    <row r="371" spans="1:16" x14ac:dyDescent="0.3">
      <c r="A371" s="3">
        <v>989</v>
      </c>
      <c r="B371" s="4">
        <v>40587</v>
      </c>
      <c r="C371" s="3">
        <v>1</v>
      </c>
      <c r="D371" s="3">
        <v>0</v>
      </c>
      <c r="E371" s="3">
        <v>2</v>
      </c>
      <c r="F371" s="3">
        <v>20</v>
      </c>
      <c r="G371" s="3" t="b">
        <v>0</v>
      </c>
      <c r="H371" s="3">
        <v>0</v>
      </c>
      <c r="I371" s="3">
        <v>1</v>
      </c>
      <c r="J371" s="3">
        <v>0.4</v>
      </c>
      <c r="K371" s="3">
        <v>0.40910000000000002</v>
      </c>
      <c r="L371" s="3">
        <v>0.35</v>
      </c>
      <c r="M371" s="3">
        <v>0.32840000000000003</v>
      </c>
      <c r="N371" s="3">
        <v>15</v>
      </c>
      <c r="O371" s="3">
        <v>32</v>
      </c>
      <c r="P371" s="3">
        <v>47</v>
      </c>
    </row>
    <row r="372" spans="1:16" x14ac:dyDescent="0.3">
      <c r="A372" s="3">
        <v>990</v>
      </c>
      <c r="B372" s="4">
        <v>40587</v>
      </c>
      <c r="C372" s="3">
        <v>1</v>
      </c>
      <c r="D372" s="3">
        <v>0</v>
      </c>
      <c r="E372" s="3">
        <v>2</v>
      </c>
      <c r="F372" s="3">
        <v>21</v>
      </c>
      <c r="G372" s="3" t="b">
        <v>0</v>
      </c>
      <c r="H372" s="3">
        <v>0</v>
      </c>
      <c r="I372" s="3">
        <v>1</v>
      </c>
      <c r="J372" s="3">
        <v>0.4</v>
      </c>
      <c r="K372" s="3">
        <v>0.40910000000000002</v>
      </c>
      <c r="L372" s="3">
        <v>0.35</v>
      </c>
      <c r="M372" s="3">
        <v>0.35820000000000002</v>
      </c>
      <c r="N372" s="3">
        <v>6</v>
      </c>
      <c r="O372" s="3">
        <v>45</v>
      </c>
      <c r="P372" s="3">
        <v>51</v>
      </c>
    </row>
    <row r="373" spans="1:16" x14ac:dyDescent="0.3">
      <c r="A373" s="3">
        <v>991</v>
      </c>
      <c r="B373" s="4">
        <v>40587</v>
      </c>
      <c r="C373" s="3">
        <v>1</v>
      </c>
      <c r="D373" s="3">
        <v>0</v>
      </c>
      <c r="E373" s="3">
        <v>2</v>
      </c>
      <c r="F373" s="3">
        <v>22</v>
      </c>
      <c r="G373" s="3" t="b">
        <v>0</v>
      </c>
      <c r="H373" s="3">
        <v>0</v>
      </c>
      <c r="I373" s="3">
        <v>1</v>
      </c>
      <c r="J373" s="3">
        <v>0.4</v>
      </c>
      <c r="K373" s="3">
        <v>0.40910000000000002</v>
      </c>
      <c r="L373" s="3">
        <v>0.35</v>
      </c>
      <c r="M373" s="3">
        <v>0.29849999999999999</v>
      </c>
      <c r="N373" s="3">
        <v>5</v>
      </c>
      <c r="O373" s="3">
        <v>31</v>
      </c>
      <c r="P373" s="3">
        <v>36</v>
      </c>
    </row>
    <row r="374" spans="1:16" x14ac:dyDescent="0.3">
      <c r="A374" s="3">
        <v>992</v>
      </c>
      <c r="B374" s="4">
        <v>40587</v>
      </c>
      <c r="C374" s="3">
        <v>1</v>
      </c>
      <c r="D374" s="3">
        <v>0</v>
      </c>
      <c r="E374" s="3">
        <v>2</v>
      </c>
      <c r="F374" s="3">
        <v>23</v>
      </c>
      <c r="G374" s="3" t="b">
        <v>0</v>
      </c>
      <c r="H374" s="3">
        <v>0</v>
      </c>
      <c r="I374" s="3">
        <v>1</v>
      </c>
      <c r="J374" s="3">
        <v>0.4</v>
      </c>
      <c r="K374" s="3">
        <v>0.40910000000000002</v>
      </c>
      <c r="L374" s="3">
        <v>0.35</v>
      </c>
      <c r="M374" s="3">
        <v>0.35820000000000002</v>
      </c>
      <c r="N374" s="3">
        <v>3</v>
      </c>
      <c r="O374" s="3">
        <v>27</v>
      </c>
      <c r="P374" s="3">
        <v>30</v>
      </c>
    </row>
    <row r="375" spans="1:16" x14ac:dyDescent="0.3">
      <c r="A375" s="3">
        <v>993</v>
      </c>
      <c r="B375" s="4">
        <v>40588</v>
      </c>
      <c r="C375" s="3">
        <v>1</v>
      </c>
      <c r="D375" s="3">
        <v>0</v>
      </c>
      <c r="E375" s="3">
        <v>2</v>
      </c>
      <c r="F375" s="3">
        <v>0</v>
      </c>
      <c r="G375" s="3" t="b">
        <v>0</v>
      </c>
      <c r="H375" s="3">
        <v>1</v>
      </c>
      <c r="I375" s="3">
        <v>1</v>
      </c>
      <c r="J375" s="3">
        <v>0.38</v>
      </c>
      <c r="K375" s="3">
        <v>0.39389999999999997</v>
      </c>
      <c r="L375" s="3">
        <v>0.37</v>
      </c>
      <c r="M375" s="3">
        <v>0.35820000000000002</v>
      </c>
      <c r="N375" s="3">
        <v>3</v>
      </c>
      <c r="O375" s="3">
        <v>8</v>
      </c>
      <c r="P375" s="3">
        <v>11</v>
      </c>
    </row>
    <row r="376" spans="1:16" x14ac:dyDescent="0.3">
      <c r="A376" s="3">
        <v>994</v>
      </c>
      <c r="B376" s="4">
        <v>40588</v>
      </c>
      <c r="C376" s="3">
        <v>1</v>
      </c>
      <c r="D376" s="3">
        <v>0</v>
      </c>
      <c r="E376" s="3">
        <v>2</v>
      </c>
      <c r="F376" s="3">
        <v>1</v>
      </c>
      <c r="G376" s="3" t="b">
        <v>0</v>
      </c>
      <c r="H376" s="3">
        <v>1</v>
      </c>
      <c r="I376" s="3">
        <v>1</v>
      </c>
      <c r="J376" s="3">
        <v>0.38</v>
      </c>
      <c r="K376" s="3">
        <v>0.39389999999999997</v>
      </c>
      <c r="L376" s="3">
        <v>0.37</v>
      </c>
      <c r="M376" s="3">
        <v>0.35820000000000002</v>
      </c>
      <c r="N376" s="3">
        <v>1</v>
      </c>
      <c r="O376" s="3">
        <v>6</v>
      </c>
      <c r="P376" s="3">
        <v>7</v>
      </c>
    </row>
    <row r="377" spans="1:16" x14ac:dyDescent="0.3">
      <c r="A377" s="3">
        <v>995</v>
      </c>
      <c r="B377" s="4">
        <v>40588</v>
      </c>
      <c r="C377" s="3">
        <v>1</v>
      </c>
      <c r="D377" s="3">
        <v>0</v>
      </c>
      <c r="E377" s="3">
        <v>2</v>
      </c>
      <c r="F377" s="3">
        <v>2</v>
      </c>
      <c r="G377" s="3" t="b">
        <v>0</v>
      </c>
      <c r="H377" s="3">
        <v>1</v>
      </c>
      <c r="I377" s="3">
        <v>1</v>
      </c>
      <c r="J377" s="3">
        <v>0.36</v>
      </c>
      <c r="K377" s="3">
        <v>0.33329999999999999</v>
      </c>
      <c r="L377" s="3">
        <v>0.4</v>
      </c>
      <c r="M377" s="3">
        <v>0.29849999999999999</v>
      </c>
      <c r="N377" s="3">
        <v>0</v>
      </c>
      <c r="O377" s="3">
        <v>2</v>
      </c>
      <c r="P377" s="3">
        <v>2</v>
      </c>
    </row>
    <row r="378" spans="1:16" x14ac:dyDescent="0.3">
      <c r="A378" s="3">
        <v>996</v>
      </c>
      <c r="B378" s="4">
        <v>40588</v>
      </c>
      <c r="C378" s="3">
        <v>1</v>
      </c>
      <c r="D378" s="3">
        <v>0</v>
      </c>
      <c r="E378" s="3">
        <v>2</v>
      </c>
      <c r="F378" s="3">
        <v>3</v>
      </c>
      <c r="G378" s="3" t="b">
        <v>0</v>
      </c>
      <c r="H378" s="3">
        <v>1</v>
      </c>
      <c r="I378" s="3">
        <v>1</v>
      </c>
      <c r="J378" s="3">
        <v>0.34</v>
      </c>
      <c r="K378" s="3">
        <v>0.31819999999999998</v>
      </c>
      <c r="L378" s="3">
        <v>0.46</v>
      </c>
      <c r="M378" s="3">
        <v>0.22389999999999999</v>
      </c>
      <c r="N378" s="3">
        <v>1</v>
      </c>
      <c r="O378" s="3">
        <v>1</v>
      </c>
      <c r="P378" s="3">
        <v>2</v>
      </c>
    </row>
    <row r="379" spans="1:16" x14ac:dyDescent="0.3">
      <c r="A379" s="3">
        <v>997</v>
      </c>
      <c r="B379" s="4">
        <v>40588</v>
      </c>
      <c r="C379" s="3">
        <v>1</v>
      </c>
      <c r="D379" s="3">
        <v>0</v>
      </c>
      <c r="E379" s="3">
        <v>2</v>
      </c>
      <c r="F379" s="3">
        <v>4</v>
      </c>
      <c r="G379" s="3" t="b">
        <v>0</v>
      </c>
      <c r="H379" s="3">
        <v>1</v>
      </c>
      <c r="I379" s="3">
        <v>1</v>
      </c>
      <c r="J379" s="3">
        <v>0.32</v>
      </c>
      <c r="K379" s="3">
        <v>0.30299999999999999</v>
      </c>
      <c r="L379" s="3">
        <v>0.53</v>
      </c>
      <c r="M379" s="3">
        <v>0.28360000000000002</v>
      </c>
      <c r="N379" s="3">
        <v>0</v>
      </c>
      <c r="O379" s="3">
        <v>2</v>
      </c>
      <c r="P379" s="3">
        <v>2</v>
      </c>
    </row>
    <row r="380" spans="1:16" x14ac:dyDescent="0.3">
      <c r="A380" s="3">
        <v>998</v>
      </c>
      <c r="B380" s="4">
        <v>40588</v>
      </c>
      <c r="C380" s="3">
        <v>1</v>
      </c>
      <c r="D380" s="3">
        <v>0</v>
      </c>
      <c r="E380" s="3">
        <v>2</v>
      </c>
      <c r="F380" s="3">
        <v>5</v>
      </c>
      <c r="G380" s="3" t="b">
        <v>0</v>
      </c>
      <c r="H380" s="3">
        <v>1</v>
      </c>
      <c r="I380" s="3">
        <v>1</v>
      </c>
      <c r="J380" s="3">
        <v>0.32</v>
      </c>
      <c r="K380" s="3">
        <v>0.30299999999999999</v>
      </c>
      <c r="L380" s="3">
        <v>0.53</v>
      </c>
      <c r="M380" s="3">
        <v>0.28360000000000002</v>
      </c>
      <c r="N380" s="3">
        <v>0</v>
      </c>
      <c r="O380" s="3">
        <v>3</v>
      </c>
      <c r="P380" s="3">
        <v>3</v>
      </c>
    </row>
    <row r="381" spans="1:16" x14ac:dyDescent="0.3">
      <c r="A381" s="3">
        <v>999</v>
      </c>
      <c r="B381" s="4">
        <v>40588</v>
      </c>
      <c r="C381" s="3">
        <v>1</v>
      </c>
      <c r="D381" s="3">
        <v>0</v>
      </c>
      <c r="E381" s="3">
        <v>2</v>
      </c>
      <c r="F381" s="3">
        <v>6</v>
      </c>
      <c r="G381" s="3" t="b">
        <v>0</v>
      </c>
      <c r="H381" s="3">
        <v>1</v>
      </c>
      <c r="I381" s="3">
        <v>1</v>
      </c>
      <c r="J381" s="3">
        <v>0.34</v>
      </c>
      <c r="K381" s="3">
        <v>0.30299999999999999</v>
      </c>
      <c r="L381" s="3">
        <v>0.46</v>
      </c>
      <c r="M381" s="3">
        <v>0.29849999999999999</v>
      </c>
      <c r="N381" s="3">
        <v>1</v>
      </c>
      <c r="O381" s="3">
        <v>25</v>
      </c>
      <c r="P381" s="3">
        <v>26</v>
      </c>
    </row>
    <row r="382" spans="1:16" x14ac:dyDescent="0.3">
      <c r="A382" s="3">
        <v>1000</v>
      </c>
      <c r="B382" s="4">
        <v>40588</v>
      </c>
      <c r="C382" s="3">
        <v>1</v>
      </c>
      <c r="D382" s="3">
        <v>0</v>
      </c>
      <c r="E382" s="3">
        <v>2</v>
      </c>
      <c r="F382" s="3">
        <v>7</v>
      </c>
      <c r="G382" s="3" t="b">
        <v>0</v>
      </c>
      <c r="H382" s="3">
        <v>1</v>
      </c>
      <c r="I382" s="3">
        <v>1</v>
      </c>
      <c r="J382" s="3">
        <v>0.34</v>
      </c>
      <c r="K382" s="3">
        <v>0.30299999999999999</v>
      </c>
      <c r="L382" s="3">
        <v>0.46</v>
      </c>
      <c r="M382" s="3">
        <v>0.29849999999999999</v>
      </c>
      <c r="N382" s="3">
        <v>2</v>
      </c>
      <c r="O382" s="3">
        <v>96</v>
      </c>
      <c r="P382" s="3">
        <v>98</v>
      </c>
    </row>
    <row r="383" spans="1:16" x14ac:dyDescent="0.3">
      <c r="A383" s="3">
        <v>611</v>
      </c>
      <c r="B383" s="4">
        <v>40571</v>
      </c>
      <c r="C383" s="3">
        <v>1</v>
      </c>
      <c r="D383" s="3">
        <v>0</v>
      </c>
      <c r="E383" s="3">
        <v>1</v>
      </c>
      <c r="F383" s="3">
        <v>16</v>
      </c>
      <c r="G383" s="3" t="b">
        <v>0</v>
      </c>
      <c r="H383" s="3">
        <v>5</v>
      </c>
      <c r="I383" s="3">
        <v>1</v>
      </c>
      <c r="J383" s="3">
        <v>0.22</v>
      </c>
      <c r="K383" s="3">
        <v>0.2727</v>
      </c>
      <c r="L383" s="3">
        <v>0.8</v>
      </c>
      <c r="M383" s="3">
        <v>0</v>
      </c>
      <c r="N383" s="3">
        <v>10</v>
      </c>
      <c r="O383" s="3">
        <v>70</v>
      </c>
      <c r="P383" s="3">
        <v>80</v>
      </c>
    </row>
    <row r="384" spans="1:16" x14ac:dyDescent="0.3">
      <c r="A384" s="3">
        <v>612</v>
      </c>
      <c r="B384" s="4">
        <v>40571</v>
      </c>
      <c r="C384" s="3">
        <v>1</v>
      </c>
      <c r="D384" s="3">
        <v>0</v>
      </c>
      <c r="E384" s="3">
        <v>1</v>
      </c>
      <c r="F384" s="3">
        <v>17</v>
      </c>
      <c r="G384" s="3" t="b">
        <v>0</v>
      </c>
      <c r="H384" s="3">
        <v>5</v>
      </c>
      <c r="I384" s="3">
        <v>1</v>
      </c>
      <c r="J384" s="3">
        <v>0.24</v>
      </c>
      <c r="K384" s="3">
        <v>0.2424</v>
      </c>
      <c r="L384" s="3">
        <v>0.75</v>
      </c>
      <c r="M384" s="3">
        <v>0.1343</v>
      </c>
      <c r="N384" s="3">
        <v>2</v>
      </c>
      <c r="O384" s="3">
        <v>147</v>
      </c>
      <c r="P384" s="3">
        <v>149</v>
      </c>
    </row>
    <row r="385" spans="1:16" x14ac:dyDescent="0.3">
      <c r="A385" s="3">
        <v>613</v>
      </c>
      <c r="B385" s="4">
        <v>40571</v>
      </c>
      <c r="C385" s="3">
        <v>1</v>
      </c>
      <c r="D385" s="3">
        <v>0</v>
      </c>
      <c r="E385" s="3">
        <v>1</v>
      </c>
      <c r="F385" s="3">
        <v>18</v>
      </c>
      <c r="G385" s="3" t="b">
        <v>0</v>
      </c>
      <c r="H385" s="3">
        <v>5</v>
      </c>
      <c r="I385" s="3">
        <v>1</v>
      </c>
      <c r="J385" s="3">
        <v>0.24</v>
      </c>
      <c r="K385" s="3">
        <v>0.2273</v>
      </c>
      <c r="L385" s="3">
        <v>0.75</v>
      </c>
      <c r="M385" s="3">
        <v>0.19400000000000001</v>
      </c>
      <c r="N385" s="3">
        <v>2</v>
      </c>
      <c r="O385" s="3">
        <v>107</v>
      </c>
      <c r="P385" s="3">
        <v>109</v>
      </c>
    </row>
    <row r="386" spans="1:16" x14ac:dyDescent="0.3">
      <c r="A386" s="3">
        <v>614</v>
      </c>
      <c r="B386" s="4">
        <v>40571</v>
      </c>
      <c r="C386" s="3">
        <v>1</v>
      </c>
      <c r="D386" s="3">
        <v>0</v>
      </c>
      <c r="E386" s="3">
        <v>1</v>
      </c>
      <c r="F386" s="3">
        <v>19</v>
      </c>
      <c r="G386" s="3" t="b">
        <v>0</v>
      </c>
      <c r="H386" s="3">
        <v>5</v>
      </c>
      <c r="I386" s="3">
        <v>2</v>
      </c>
      <c r="J386" s="3">
        <v>0.24</v>
      </c>
      <c r="K386" s="3">
        <v>0.2424</v>
      </c>
      <c r="L386" s="3">
        <v>0.75</v>
      </c>
      <c r="M386" s="3">
        <v>0.1343</v>
      </c>
      <c r="N386" s="3">
        <v>5</v>
      </c>
      <c r="O386" s="3">
        <v>84</v>
      </c>
      <c r="P386" s="3">
        <v>89</v>
      </c>
    </row>
    <row r="387" spans="1:16" x14ac:dyDescent="0.3">
      <c r="A387" s="3">
        <v>615</v>
      </c>
      <c r="B387" s="4">
        <v>40571</v>
      </c>
      <c r="C387" s="3">
        <v>1</v>
      </c>
      <c r="D387" s="3">
        <v>0</v>
      </c>
      <c r="E387" s="3">
        <v>1</v>
      </c>
      <c r="F387" s="3">
        <v>20</v>
      </c>
      <c r="G387" s="3" t="b">
        <v>0</v>
      </c>
      <c r="H387" s="3">
        <v>5</v>
      </c>
      <c r="I387" s="3">
        <v>2</v>
      </c>
      <c r="J387" s="3">
        <v>0.24</v>
      </c>
      <c r="K387" s="3">
        <v>0.2273</v>
      </c>
      <c r="L387" s="3">
        <v>0.7</v>
      </c>
      <c r="M387" s="3">
        <v>0.19400000000000001</v>
      </c>
      <c r="N387" s="3">
        <v>1</v>
      </c>
      <c r="O387" s="3">
        <v>61</v>
      </c>
      <c r="P387" s="3">
        <v>62</v>
      </c>
    </row>
    <row r="388" spans="1:16" x14ac:dyDescent="0.3">
      <c r="A388" s="3">
        <v>616</v>
      </c>
      <c r="B388" s="4">
        <v>40571</v>
      </c>
      <c r="C388" s="3">
        <v>1</v>
      </c>
      <c r="D388" s="3">
        <v>0</v>
      </c>
      <c r="E388" s="3">
        <v>1</v>
      </c>
      <c r="F388" s="3">
        <v>21</v>
      </c>
      <c r="G388" s="3" t="b">
        <v>0</v>
      </c>
      <c r="H388" s="3">
        <v>5</v>
      </c>
      <c r="I388" s="3">
        <v>2</v>
      </c>
      <c r="J388" s="3">
        <v>0.22</v>
      </c>
      <c r="K388" s="3">
        <v>0.2273</v>
      </c>
      <c r="L388" s="3">
        <v>0.75</v>
      </c>
      <c r="M388" s="3">
        <v>0.1343</v>
      </c>
      <c r="N388" s="3">
        <v>1</v>
      </c>
      <c r="O388" s="3">
        <v>57</v>
      </c>
      <c r="P388" s="3">
        <v>58</v>
      </c>
    </row>
    <row r="389" spans="1:16" x14ac:dyDescent="0.3">
      <c r="A389" s="3">
        <v>617</v>
      </c>
      <c r="B389" s="4">
        <v>40571</v>
      </c>
      <c r="C389" s="3">
        <v>1</v>
      </c>
      <c r="D389" s="3">
        <v>0</v>
      </c>
      <c r="E389" s="3">
        <v>1</v>
      </c>
      <c r="F389" s="3">
        <v>22</v>
      </c>
      <c r="G389" s="3" t="b">
        <v>0</v>
      </c>
      <c r="H389" s="3">
        <v>5</v>
      </c>
      <c r="I389" s="3">
        <v>1</v>
      </c>
      <c r="J389" s="3">
        <v>0.24</v>
      </c>
      <c r="K389" s="3">
        <v>0.21210000000000001</v>
      </c>
      <c r="L389" s="3">
        <v>0.65</v>
      </c>
      <c r="M389" s="3">
        <v>0.35820000000000002</v>
      </c>
      <c r="N389" s="3">
        <v>0</v>
      </c>
      <c r="O389" s="3">
        <v>26</v>
      </c>
      <c r="P389" s="3">
        <v>26</v>
      </c>
    </row>
    <row r="390" spans="1:16" x14ac:dyDescent="0.3">
      <c r="A390" s="3">
        <v>618</v>
      </c>
      <c r="B390" s="4">
        <v>40571</v>
      </c>
      <c r="C390" s="3">
        <v>1</v>
      </c>
      <c r="D390" s="3">
        <v>0</v>
      </c>
      <c r="E390" s="3">
        <v>1</v>
      </c>
      <c r="F390" s="3">
        <v>23</v>
      </c>
      <c r="G390" s="3" t="b">
        <v>0</v>
      </c>
      <c r="H390" s="3">
        <v>5</v>
      </c>
      <c r="I390" s="3">
        <v>1</v>
      </c>
      <c r="J390" s="3">
        <v>0.24</v>
      </c>
      <c r="K390" s="3">
        <v>0.2273</v>
      </c>
      <c r="L390" s="3">
        <v>0.6</v>
      </c>
      <c r="M390" s="3">
        <v>0.22389999999999999</v>
      </c>
      <c r="N390" s="3">
        <v>1</v>
      </c>
      <c r="O390" s="3">
        <v>22</v>
      </c>
      <c r="P390" s="3">
        <v>23</v>
      </c>
    </row>
    <row r="391" spans="1:16" x14ac:dyDescent="0.3">
      <c r="A391" s="3">
        <v>619</v>
      </c>
      <c r="B391" s="4">
        <v>40572</v>
      </c>
      <c r="C391" s="3">
        <v>1</v>
      </c>
      <c r="D391" s="3">
        <v>0</v>
      </c>
      <c r="E391" s="3">
        <v>1</v>
      </c>
      <c r="F391" s="3">
        <v>0</v>
      </c>
      <c r="G391" s="3" t="b">
        <v>0</v>
      </c>
      <c r="H391" s="3">
        <v>6</v>
      </c>
      <c r="I391" s="3">
        <v>1</v>
      </c>
      <c r="J391" s="3">
        <v>0.22</v>
      </c>
      <c r="K391" s="3">
        <v>0.19700000000000001</v>
      </c>
      <c r="L391" s="3">
        <v>0.64</v>
      </c>
      <c r="M391" s="3">
        <v>0.35820000000000002</v>
      </c>
      <c r="N391" s="3">
        <v>2</v>
      </c>
      <c r="O391" s="3">
        <v>26</v>
      </c>
      <c r="P391" s="3">
        <v>28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CFD8-2A00-44DB-BAAE-8A5EAD53B03F}">
  <dimension ref="A1"/>
  <sheetViews>
    <sheetView workbookViewId="0">
      <selection activeCell="S58" sqref="S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2F3279-5914-48E0-8887-C2A3EC56B3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Daily demand pivot</vt:lpstr>
      <vt:lpstr>weather condition demand pivot </vt:lpstr>
      <vt:lpstr>Holiday vs working day pivot</vt:lpstr>
      <vt:lpstr>Bike demand analysis pivot</vt:lpstr>
      <vt:lpstr>temperature category vs cnt</vt:lpstr>
      <vt:lpstr>final Bike Sharing Data</vt:lpstr>
      <vt:lpstr>kpi1</vt:lpstr>
      <vt:lpstr>merged set1,2</vt:lpstr>
      <vt:lpstr>Data set_1</vt:lpstr>
      <vt:lpstr>Data set_2</vt:lpstr>
      <vt:lpstr>Data set_3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MPB10</dc:creator>
  <cp:lastModifiedBy>Tushar malik</cp:lastModifiedBy>
  <dcterms:created xsi:type="dcterms:W3CDTF">2026-03-10T09:55:48Z</dcterms:created>
  <dcterms:modified xsi:type="dcterms:W3CDTF">2026-03-28T14:22:46Z</dcterms:modified>
</cp:coreProperties>
</file>